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anti/Documents/EAFIT/Coyuntura/Informe semestral/Balanza de pagos/2026-1/Excel/"/>
    </mc:Choice>
  </mc:AlternateContent>
  <xr:revisionPtr revIDLastSave="0" documentId="13_ncr:1_{E498E2B2-A820-9B4A-B387-51191B9E0F76}" xr6:coauthVersionLast="47" xr6:coauthVersionMax="47" xr10:uidLastSave="{00000000-0000-0000-0000-000000000000}"/>
  <bookViews>
    <workbookView xWindow="0" yWindow="500" windowWidth="28800" windowHeight="16080" firstSheet="4" activeTab="8" xr2:uid="{DDE47CF5-652E-4491-A106-D8B0562C21B3}"/>
  </bookViews>
  <sheets>
    <sheet name="Cuenta Corriente" sheetId="1" r:id="rId1"/>
    <sheet name="PIB" sheetId="27" r:id="rId2"/>
    <sheet name="Cuenta Financiera " sheetId="20" r:id="rId3"/>
    <sheet name="Participación Exportaciones" sheetId="13" r:id="rId4"/>
    <sheet name="Exportaciones tradicionales" sheetId="22" r:id="rId5"/>
    <sheet name="Participaciones Rubros CF" sheetId="15" r:id="rId6"/>
    <sheet name="Cuenta corriente - semestre" sheetId="16" r:id="rId7"/>
    <sheet name="Cuenta corriente - anual" sheetId="26" r:id="rId8"/>
    <sheet name="Data-cuentacorriente" sheetId="25" r:id="rId9"/>
    <sheet name="Cuenta financiera - Anual" sheetId="17" r:id="rId10"/>
    <sheet name="Data-cuentafin" sheetId="28" r:id="rId11"/>
    <sheet name="participaciones IED" sheetId="24" r:id="rId12"/>
  </sheets>
  <definedNames>
    <definedName name="_xlnm._FilterDatabase" localSheetId="8" hidden="1">'Data-cuentacorriente'!$A$24:$T$24</definedName>
    <definedName name="_xlnm._FilterDatabase" localSheetId="10" hidden="1">'Data-cuentafin'!$A$22:$R$22</definedName>
    <definedName name="_xlnm._FilterDatabase" localSheetId="11" hidden="1">'participaciones IED'!$A$1:$N$29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4" i="13" l="1"/>
  <c r="F194" i="13"/>
  <c r="G194" i="13"/>
  <c r="H194" i="13"/>
  <c r="I194" i="13"/>
  <c r="J194" i="13"/>
  <c r="K194" i="13"/>
  <c r="L194" i="13"/>
  <c r="M194" i="13"/>
  <c r="N194" i="13"/>
  <c r="O194" i="13"/>
  <c r="P194" i="13"/>
  <c r="Q194" i="13"/>
  <c r="R194" i="13"/>
  <c r="S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J194" i="13"/>
  <c r="AK194" i="13"/>
  <c r="AL194" i="13"/>
  <c r="AM194" i="13"/>
  <c r="AN194" i="13"/>
  <c r="AO194" i="13"/>
  <c r="AP194" i="13"/>
  <c r="AQ194" i="13"/>
  <c r="AR194" i="13"/>
  <c r="AS194" i="13"/>
  <c r="AT194" i="13"/>
  <c r="AU194" i="13"/>
  <c r="AV194" i="13"/>
  <c r="AW194" i="13"/>
  <c r="AX194" i="13"/>
  <c r="AY194" i="13"/>
  <c r="AZ194" i="13"/>
  <c r="BA194" i="13"/>
  <c r="BB194" i="13"/>
  <c r="BC194" i="13"/>
  <c r="BD194" i="13"/>
  <c r="BE194" i="13"/>
  <c r="BF194" i="13"/>
  <c r="BG194" i="13"/>
  <c r="BH194" i="13"/>
  <c r="BI194" i="13"/>
  <c r="BJ194" i="13"/>
  <c r="BK194" i="13"/>
  <c r="BL194" i="13"/>
  <c r="BM194" i="13"/>
  <c r="BN194" i="13"/>
  <c r="BO194" i="13"/>
  <c r="BP194" i="13"/>
  <c r="BQ194" i="13"/>
  <c r="BR194" i="13"/>
  <c r="BS194" i="13"/>
  <c r="BT194" i="13"/>
  <c r="BU194" i="13"/>
  <c r="BV194" i="13"/>
  <c r="BW194" i="13"/>
  <c r="BX194" i="13"/>
  <c r="BY194" i="13"/>
  <c r="BZ194" i="13"/>
  <c r="CA194" i="13"/>
  <c r="CB194" i="13"/>
  <c r="CC194" i="13"/>
  <c r="CD194" i="13"/>
  <c r="CE194" i="13"/>
  <c r="CF194" i="13"/>
  <c r="CG194" i="13"/>
  <c r="CH194" i="13"/>
  <c r="CI194" i="13"/>
  <c r="CJ194" i="13"/>
  <c r="CK194" i="13"/>
  <c r="CL194" i="13"/>
  <c r="CM194" i="13"/>
  <c r="CN194" i="13"/>
  <c r="CO194" i="13"/>
  <c r="CP194" i="13"/>
  <c r="CQ194" i="13"/>
  <c r="CR194" i="13"/>
  <c r="CS194" i="13"/>
  <c r="CT194" i="13"/>
  <c r="CU194" i="13"/>
  <c r="CV194" i="13"/>
  <c r="E195" i="13"/>
  <c r="F195" i="13"/>
  <c r="G195" i="13"/>
  <c r="H195" i="13"/>
  <c r="I195" i="13"/>
  <c r="J195" i="13"/>
  <c r="K195" i="13"/>
  <c r="L195" i="13"/>
  <c r="M195" i="13"/>
  <c r="N195" i="13"/>
  <c r="O195" i="13"/>
  <c r="P195" i="13"/>
  <c r="Q195" i="13"/>
  <c r="R195" i="13"/>
  <c r="S195" i="13"/>
  <c r="T195" i="13"/>
  <c r="U195" i="13"/>
  <c r="V195" i="13"/>
  <c r="W195" i="13"/>
  <c r="X195" i="13"/>
  <c r="Y195" i="13"/>
  <c r="Z195" i="13"/>
  <c r="AA195" i="13"/>
  <c r="AB195" i="13"/>
  <c r="AC195" i="13"/>
  <c r="AD195" i="13"/>
  <c r="AE195" i="13"/>
  <c r="AF195" i="13"/>
  <c r="AG195" i="13"/>
  <c r="AH195" i="13"/>
  <c r="AI195" i="13"/>
  <c r="AJ195" i="13"/>
  <c r="AK195" i="13"/>
  <c r="AL195" i="13"/>
  <c r="AM195" i="13"/>
  <c r="AN195" i="13"/>
  <c r="AO195" i="13"/>
  <c r="AP195" i="13"/>
  <c r="AQ195" i="13"/>
  <c r="AR195" i="13"/>
  <c r="AS195" i="13"/>
  <c r="AT195" i="13"/>
  <c r="AU195" i="13"/>
  <c r="AV195" i="13"/>
  <c r="AW195" i="13"/>
  <c r="AX195" i="13"/>
  <c r="AY195" i="13"/>
  <c r="AZ195" i="13"/>
  <c r="BA195" i="13"/>
  <c r="BB195" i="13"/>
  <c r="BC195" i="13"/>
  <c r="BD195" i="13"/>
  <c r="BE195" i="13"/>
  <c r="BF195" i="13"/>
  <c r="BG195" i="13"/>
  <c r="BH195" i="13"/>
  <c r="BI195" i="13"/>
  <c r="BJ195" i="13"/>
  <c r="BK195" i="13"/>
  <c r="BL195" i="13"/>
  <c r="BM195" i="13"/>
  <c r="BN195" i="13"/>
  <c r="BO195" i="13"/>
  <c r="BP195" i="13"/>
  <c r="BQ195" i="13"/>
  <c r="BR195" i="13"/>
  <c r="BS195" i="13"/>
  <c r="BT195" i="13"/>
  <c r="BU195" i="13"/>
  <c r="BV195" i="13"/>
  <c r="BW195" i="13"/>
  <c r="BX195" i="13"/>
  <c r="BY195" i="13"/>
  <c r="BZ195" i="13"/>
  <c r="CA195" i="13"/>
  <c r="CB195" i="13"/>
  <c r="CC195" i="13"/>
  <c r="CD195" i="13"/>
  <c r="CE195" i="13"/>
  <c r="CF195" i="13"/>
  <c r="CG195" i="13"/>
  <c r="CH195" i="13"/>
  <c r="CI195" i="13"/>
  <c r="CJ195" i="13"/>
  <c r="CK195" i="13"/>
  <c r="CL195" i="13"/>
  <c r="CM195" i="13"/>
  <c r="CN195" i="13"/>
  <c r="CO195" i="13"/>
  <c r="CP195" i="13"/>
  <c r="CQ195" i="13"/>
  <c r="CR195" i="13"/>
  <c r="CS195" i="13"/>
  <c r="CT195" i="13"/>
  <c r="CU195" i="13"/>
  <c r="CV195" i="13"/>
  <c r="D195" i="13"/>
  <c r="D194" i="13"/>
  <c r="E191" i="13"/>
  <c r="F191" i="13"/>
  <c r="G191" i="13"/>
  <c r="H191" i="13"/>
  <c r="I191" i="13"/>
  <c r="J191" i="13"/>
  <c r="K191" i="13"/>
  <c r="L191" i="13"/>
  <c r="M191" i="13"/>
  <c r="N191" i="13"/>
  <c r="O191" i="13"/>
  <c r="P191" i="13"/>
  <c r="Q191" i="13"/>
  <c r="R191" i="13"/>
  <c r="S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AJ191" i="13"/>
  <c r="AK191" i="13"/>
  <c r="AL191" i="13"/>
  <c r="AM191" i="13"/>
  <c r="AN191" i="13"/>
  <c r="AO191" i="13"/>
  <c r="AP191" i="13"/>
  <c r="AQ191" i="13"/>
  <c r="AR191" i="13"/>
  <c r="AS191" i="13"/>
  <c r="AT191" i="13"/>
  <c r="AU191" i="13"/>
  <c r="AV191" i="13"/>
  <c r="AW191" i="13"/>
  <c r="AX191" i="13"/>
  <c r="AY191" i="13"/>
  <c r="AZ191" i="13"/>
  <c r="BA191" i="13"/>
  <c r="BB191" i="13"/>
  <c r="BC191" i="13"/>
  <c r="BD191" i="13"/>
  <c r="BE191" i="13"/>
  <c r="BF191" i="13"/>
  <c r="BG191" i="13"/>
  <c r="BH191" i="13"/>
  <c r="BI191" i="13"/>
  <c r="BJ191" i="13"/>
  <c r="BK191" i="13"/>
  <c r="BL191" i="13"/>
  <c r="BM191" i="13"/>
  <c r="BN191" i="13"/>
  <c r="BO191" i="13"/>
  <c r="BP191" i="13"/>
  <c r="BQ191" i="13"/>
  <c r="BR191" i="13"/>
  <c r="BS191" i="13"/>
  <c r="BT191" i="13"/>
  <c r="BU191" i="13"/>
  <c r="BV191" i="13"/>
  <c r="BW191" i="13"/>
  <c r="BX191" i="13"/>
  <c r="BY191" i="13"/>
  <c r="BZ191" i="13"/>
  <c r="CA191" i="13"/>
  <c r="CB191" i="13"/>
  <c r="CC191" i="13"/>
  <c r="CD191" i="13"/>
  <c r="CE191" i="13"/>
  <c r="CF191" i="13"/>
  <c r="CG191" i="13"/>
  <c r="CH191" i="13"/>
  <c r="CI191" i="13"/>
  <c r="CJ191" i="13"/>
  <c r="CK191" i="13"/>
  <c r="CL191" i="13"/>
  <c r="CM191" i="13"/>
  <c r="CN191" i="13"/>
  <c r="CO191" i="13"/>
  <c r="CP191" i="13"/>
  <c r="CQ191" i="13"/>
  <c r="CR191" i="13"/>
  <c r="CS191" i="13"/>
  <c r="CT191" i="13"/>
  <c r="CU191" i="13"/>
  <c r="CV191" i="13"/>
  <c r="E192" i="13"/>
  <c r="F192" i="13"/>
  <c r="G192" i="13"/>
  <c r="H192" i="13"/>
  <c r="I192" i="13"/>
  <c r="J192" i="13"/>
  <c r="K192" i="13"/>
  <c r="L192" i="13"/>
  <c r="M192" i="13"/>
  <c r="N192" i="13"/>
  <c r="O192" i="13"/>
  <c r="P192" i="13"/>
  <c r="Q192" i="13"/>
  <c r="R192" i="13"/>
  <c r="S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AJ192" i="13"/>
  <c r="AK192" i="13"/>
  <c r="AL192" i="13"/>
  <c r="AM192" i="13"/>
  <c r="AN192" i="13"/>
  <c r="AO192" i="13"/>
  <c r="AP192" i="13"/>
  <c r="AQ192" i="13"/>
  <c r="AR192" i="13"/>
  <c r="AS192" i="13"/>
  <c r="AT192" i="13"/>
  <c r="AU192" i="13"/>
  <c r="AV192" i="13"/>
  <c r="AW192" i="13"/>
  <c r="AX192" i="13"/>
  <c r="AY192" i="13"/>
  <c r="AZ192" i="13"/>
  <c r="BA192" i="13"/>
  <c r="BB192" i="13"/>
  <c r="BC192" i="13"/>
  <c r="BD192" i="13"/>
  <c r="BE192" i="13"/>
  <c r="BF192" i="13"/>
  <c r="BG192" i="13"/>
  <c r="BH192" i="13"/>
  <c r="BI192" i="13"/>
  <c r="BJ192" i="13"/>
  <c r="BK192" i="13"/>
  <c r="BL192" i="13"/>
  <c r="BM192" i="13"/>
  <c r="BN192" i="13"/>
  <c r="BO192" i="13"/>
  <c r="BP192" i="13"/>
  <c r="BQ192" i="13"/>
  <c r="BR192" i="13"/>
  <c r="BS192" i="13"/>
  <c r="BT192" i="13"/>
  <c r="BU192" i="13"/>
  <c r="BV192" i="13"/>
  <c r="BW192" i="13"/>
  <c r="BX192" i="13"/>
  <c r="BY192" i="13"/>
  <c r="BZ192" i="13"/>
  <c r="CA192" i="13"/>
  <c r="CB192" i="13"/>
  <c r="CC192" i="13"/>
  <c r="CD192" i="13"/>
  <c r="CE192" i="13"/>
  <c r="CF192" i="13"/>
  <c r="CG192" i="13"/>
  <c r="CH192" i="13"/>
  <c r="CI192" i="13"/>
  <c r="CJ192" i="13"/>
  <c r="CK192" i="13"/>
  <c r="CL192" i="13"/>
  <c r="CM192" i="13"/>
  <c r="CN192" i="13"/>
  <c r="CO192" i="13"/>
  <c r="CP192" i="13"/>
  <c r="CQ192" i="13"/>
  <c r="CR192" i="13"/>
  <c r="CS192" i="13"/>
  <c r="CT192" i="13"/>
  <c r="CU192" i="13"/>
  <c r="CV192" i="13"/>
  <c r="D191" i="13"/>
  <c r="D192" i="13"/>
  <c r="E169" i="13"/>
  <c r="F169" i="13"/>
  <c r="G169" i="13"/>
  <c r="H169" i="13"/>
  <c r="I169" i="13"/>
  <c r="J169" i="13"/>
  <c r="K169" i="13"/>
  <c r="L169" i="13"/>
  <c r="M169" i="13"/>
  <c r="N169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AJ169" i="13"/>
  <c r="AK169" i="13"/>
  <c r="AL169" i="13"/>
  <c r="AM169" i="13"/>
  <c r="AN169" i="13"/>
  <c r="AO169" i="13"/>
  <c r="AP169" i="13"/>
  <c r="AQ169" i="13"/>
  <c r="AR169" i="13"/>
  <c r="AS169" i="13"/>
  <c r="AT169" i="13"/>
  <c r="AU169" i="13"/>
  <c r="AV169" i="13"/>
  <c r="AW169" i="13"/>
  <c r="AX169" i="13"/>
  <c r="AY169" i="13"/>
  <c r="AZ169" i="13"/>
  <c r="BA169" i="13"/>
  <c r="BB169" i="13"/>
  <c r="BC169" i="13"/>
  <c r="BD169" i="13"/>
  <c r="BE169" i="13"/>
  <c r="BF169" i="13"/>
  <c r="BG169" i="13"/>
  <c r="BH169" i="13"/>
  <c r="BI169" i="13"/>
  <c r="BJ169" i="13"/>
  <c r="BK169" i="13"/>
  <c r="BL169" i="13"/>
  <c r="BM169" i="13"/>
  <c r="BN169" i="13"/>
  <c r="BO169" i="13"/>
  <c r="BP169" i="13"/>
  <c r="BQ169" i="13"/>
  <c r="BR169" i="13"/>
  <c r="BS169" i="13"/>
  <c r="BT169" i="13"/>
  <c r="BU169" i="13"/>
  <c r="BV169" i="13"/>
  <c r="BW169" i="13"/>
  <c r="BX169" i="13"/>
  <c r="BY169" i="13"/>
  <c r="BZ169" i="13"/>
  <c r="CA169" i="13"/>
  <c r="CB169" i="13"/>
  <c r="CC169" i="13"/>
  <c r="CD169" i="13"/>
  <c r="CE169" i="13"/>
  <c r="CF169" i="13"/>
  <c r="CG169" i="13"/>
  <c r="CH169" i="13"/>
  <c r="CI169" i="13"/>
  <c r="CJ169" i="13"/>
  <c r="CK169" i="13"/>
  <c r="CL169" i="13"/>
  <c r="CM169" i="13"/>
  <c r="CN169" i="13"/>
  <c r="CO169" i="13"/>
  <c r="CP169" i="13"/>
  <c r="CQ169" i="13"/>
  <c r="CR169" i="13"/>
  <c r="CS169" i="13"/>
  <c r="CT169" i="13"/>
  <c r="CU169" i="13"/>
  <c r="CV169" i="13"/>
  <c r="D169" i="13"/>
  <c r="E168" i="13"/>
  <c r="F168" i="13"/>
  <c r="G168" i="13"/>
  <c r="H168" i="13"/>
  <c r="I168" i="13"/>
  <c r="J168" i="13"/>
  <c r="K168" i="13"/>
  <c r="L168" i="13"/>
  <c r="M168" i="13"/>
  <c r="N168" i="13"/>
  <c r="O168" i="13"/>
  <c r="P168" i="13"/>
  <c r="Q168" i="13"/>
  <c r="R168" i="13"/>
  <c r="S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AJ168" i="13"/>
  <c r="AK168" i="13"/>
  <c r="AL168" i="13"/>
  <c r="AM168" i="13"/>
  <c r="AN168" i="13"/>
  <c r="AO168" i="13"/>
  <c r="AP168" i="13"/>
  <c r="AQ168" i="13"/>
  <c r="AR168" i="13"/>
  <c r="AS168" i="13"/>
  <c r="AT168" i="13"/>
  <c r="AU168" i="13"/>
  <c r="AV168" i="13"/>
  <c r="AW168" i="13"/>
  <c r="AX168" i="13"/>
  <c r="AY168" i="13"/>
  <c r="AZ168" i="13"/>
  <c r="BA168" i="13"/>
  <c r="BB168" i="13"/>
  <c r="BC168" i="13"/>
  <c r="BD168" i="13"/>
  <c r="BE168" i="13"/>
  <c r="BF168" i="13"/>
  <c r="BG168" i="13"/>
  <c r="BH168" i="13"/>
  <c r="BI168" i="13"/>
  <c r="BJ168" i="13"/>
  <c r="BK168" i="13"/>
  <c r="BL168" i="13"/>
  <c r="BM168" i="13"/>
  <c r="BN168" i="13"/>
  <c r="BO168" i="13"/>
  <c r="BP168" i="13"/>
  <c r="BQ168" i="13"/>
  <c r="BR168" i="13"/>
  <c r="BS168" i="13"/>
  <c r="BT168" i="13"/>
  <c r="BU168" i="13"/>
  <c r="BV168" i="13"/>
  <c r="BW168" i="13"/>
  <c r="BX168" i="13"/>
  <c r="BY168" i="13"/>
  <c r="BZ168" i="13"/>
  <c r="CA168" i="13"/>
  <c r="CB168" i="13"/>
  <c r="CC168" i="13"/>
  <c r="CD168" i="13"/>
  <c r="CE168" i="13"/>
  <c r="CF168" i="13"/>
  <c r="CG168" i="13"/>
  <c r="CH168" i="13"/>
  <c r="CI168" i="13"/>
  <c r="CJ168" i="13"/>
  <c r="CK168" i="13"/>
  <c r="CL168" i="13"/>
  <c r="CM168" i="13"/>
  <c r="CN168" i="13"/>
  <c r="CO168" i="13"/>
  <c r="CP168" i="13"/>
  <c r="CQ168" i="13"/>
  <c r="CR168" i="13"/>
  <c r="CS168" i="13"/>
  <c r="CT168" i="13"/>
  <c r="CU168" i="13"/>
  <c r="CV168" i="13"/>
  <c r="D168" i="13"/>
  <c r="E165" i="13"/>
  <c r="F165" i="13"/>
  <c r="G165" i="13"/>
  <c r="H165" i="13"/>
  <c r="I165" i="13"/>
  <c r="J165" i="13"/>
  <c r="K165" i="13"/>
  <c r="L165" i="13"/>
  <c r="M165" i="13"/>
  <c r="N165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AJ165" i="13"/>
  <c r="AK165" i="13"/>
  <c r="AL165" i="13"/>
  <c r="AM165" i="13"/>
  <c r="AN165" i="13"/>
  <c r="AO165" i="13"/>
  <c r="AP165" i="13"/>
  <c r="AQ165" i="13"/>
  <c r="AR165" i="13"/>
  <c r="AS165" i="13"/>
  <c r="AT165" i="13"/>
  <c r="AU165" i="13"/>
  <c r="AV165" i="13"/>
  <c r="AW165" i="13"/>
  <c r="AX165" i="13"/>
  <c r="AY165" i="13"/>
  <c r="AZ165" i="13"/>
  <c r="BA165" i="13"/>
  <c r="BB165" i="13"/>
  <c r="BC165" i="13"/>
  <c r="BD165" i="13"/>
  <c r="BE165" i="13"/>
  <c r="BF165" i="13"/>
  <c r="BG165" i="13"/>
  <c r="BH165" i="13"/>
  <c r="BI165" i="13"/>
  <c r="BJ165" i="13"/>
  <c r="BK165" i="13"/>
  <c r="BL165" i="13"/>
  <c r="BM165" i="13"/>
  <c r="BN165" i="13"/>
  <c r="BO165" i="13"/>
  <c r="BP165" i="13"/>
  <c r="BQ165" i="13"/>
  <c r="BR165" i="13"/>
  <c r="BS165" i="13"/>
  <c r="BT165" i="13"/>
  <c r="BU165" i="13"/>
  <c r="BV165" i="13"/>
  <c r="BW165" i="13"/>
  <c r="BX165" i="13"/>
  <c r="BY165" i="13"/>
  <c r="BZ165" i="13"/>
  <c r="CA165" i="13"/>
  <c r="CB165" i="13"/>
  <c r="CC165" i="13"/>
  <c r="CD165" i="13"/>
  <c r="CE165" i="13"/>
  <c r="CF165" i="13"/>
  <c r="CG165" i="13"/>
  <c r="CH165" i="13"/>
  <c r="CI165" i="13"/>
  <c r="CJ165" i="13"/>
  <c r="CK165" i="13"/>
  <c r="CL165" i="13"/>
  <c r="CM165" i="13"/>
  <c r="CN165" i="13"/>
  <c r="CO165" i="13"/>
  <c r="CP165" i="13"/>
  <c r="CQ165" i="13"/>
  <c r="CR165" i="13"/>
  <c r="CS165" i="13"/>
  <c r="CT165" i="13"/>
  <c r="CU165" i="13"/>
  <c r="CV165" i="13"/>
  <c r="E166" i="13"/>
  <c r="F166" i="13"/>
  <c r="G166" i="13"/>
  <c r="H166" i="13"/>
  <c r="I166" i="13"/>
  <c r="J166" i="13"/>
  <c r="K166" i="13"/>
  <c r="L166" i="13"/>
  <c r="M166" i="13"/>
  <c r="N166" i="13"/>
  <c r="O166" i="13"/>
  <c r="P166" i="13"/>
  <c r="Q166" i="13"/>
  <c r="R166" i="13"/>
  <c r="S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AJ166" i="13"/>
  <c r="AK166" i="13"/>
  <c r="AL166" i="13"/>
  <c r="AM166" i="13"/>
  <c r="AN166" i="13"/>
  <c r="AO166" i="13"/>
  <c r="AP166" i="13"/>
  <c r="AQ166" i="13"/>
  <c r="AR166" i="13"/>
  <c r="AS166" i="13"/>
  <c r="AT166" i="13"/>
  <c r="AU166" i="13"/>
  <c r="AV166" i="13"/>
  <c r="AW166" i="13"/>
  <c r="AX166" i="13"/>
  <c r="AY166" i="13"/>
  <c r="AZ166" i="13"/>
  <c r="BA166" i="13"/>
  <c r="BB166" i="13"/>
  <c r="BC166" i="13"/>
  <c r="BD166" i="13"/>
  <c r="BE166" i="13"/>
  <c r="BF166" i="13"/>
  <c r="BG166" i="13"/>
  <c r="BH166" i="13"/>
  <c r="BI166" i="13"/>
  <c r="BJ166" i="13"/>
  <c r="BK166" i="13"/>
  <c r="BL166" i="13"/>
  <c r="BM166" i="13"/>
  <c r="BN166" i="13"/>
  <c r="BO166" i="13"/>
  <c r="BP166" i="13"/>
  <c r="BQ166" i="13"/>
  <c r="BR166" i="13"/>
  <c r="BS166" i="13"/>
  <c r="BT166" i="13"/>
  <c r="BU166" i="13"/>
  <c r="BV166" i="13"/>
  <c r="BW166" i="13"/>
  <c r="BX166" i="13"/>
  <c r="BY166" i="13"/>
  <c r="BZ166" i="13"/>
  <c r="CA166" i="13"/>
  <c r="CB166" i="13"/>
  <c r="CC166" i="13"/>
  <c r="CD166" i="13"/>
  <c r="CE166" i="13"/>
  <c r="CF166" i="13"/>
  <c r="CG166" i="13"/>
  <c r="CH166" i="13"/>
  <c r="CI166" i="13"/>
  <c r="CJ166" i="13"/>
  <c r="CK166" i="13"/>
  <c r="CL166" i="13"/>
  <c r="CM166" i="13"/>
  <c r="CN166" i="13"/>
  <c r="CO166" i="13"/>
  <c r="CP166" i="13"/>
  <c r="CQ166" i="13"/>
  <c r="CR166" i="13"/>
  <c r="CS166" i="13"/>
  <c r="CT166" i="13"/>
  <c r="CU166" i="13"/>
  <c r="CV166" i="13"/>
  <c r="D165" i="13"/>
  <c r="D166" i="13"/>
  <c r="E143" i="13"/>
  <c r="F143" i="13"/>
  <c r="G143" i="13"/>
  <c r="H143" i="13"/>
  <c r="I143" i="13"/>
  <c r="J143" i="13"/>
  <c r="K143" i="13"/>
  <c r="L143" i="13"/>
  <c r="M143" i="13"/>
  <c r="N143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AJ143" i="13"/>
  <c r="AK143" i="13"/>
  <c r="AL143" i="13"/>
  <c r="AM143" i="13"/>
  <c r="AN143" i="13"/>
  <c r="AO143" i="13"/>
  <c r="AP143" i="13"/>
  <c r="AQ143" i="13"/>
  <c r="AR143" i="13"/>
  <c r="AS143" i="13"/>
  <c r="AT143" i="13"/>
  <c r="AU143" i="13"/>
  <c r="AV143" i="13"/>
  <c r="AW143" i="13"/>
  <c r="AX143" i="13"/>
  <c r="AY143" i="13"/>
  <c r="AZ143" i="13"/>
  <c r="BA143" i="13"/>
  <c r="BB143" i="13"/>
  <c r="BC143" i="13"/>
  <c r="BD143" i="13"/>
  <c r="BE143" i="13"/>
  <c r="BF143" i="13"/>
  <c r="BG143" i="13"/>
  <c r="BH143" i="13"/>
  <c r="BI143" i="13"/>
  <c r="BJ143" i="13"/>
  <c r="BK143" i="13"/>
  <c r="BL143" i="13"/>
  <c r="BM143" i="13"/>
  <c r="BN143" i="13"/>
  <c r="BO143" i="13"/>
  <c r="BP143" i="13"/>
  <c r="BQ143" i="13"/>
  <c r="BR143" i="13"/>
  <c r="BS143" i="13"/>
  <c r="BT143" i="13"/>
  <c r="BU143" i="13"/>
  <c r="BV143" i="13"/>
  <c r="BW143" i="13"/>
  <c r="BX143" i="13"/>
  <c r="BY143" i="13"/>
  <c r="BZ143" i="13"/>
  <c r="CA143" i="13"/>
  <c r="CB143" i="13"/>
  <c r="CC143" i="13"/>
  <c r="CD143" i="13"/>
  <c r="CE143" i="13"/>
  <c r="CF143" i="13"/>
  <c r="CG143" i="13"/>
  <c r="CH143" i="13"/>
  <c r="CI143" i="13"/>
  <c r="CJ143" i="13"/>
  <c r="CK143" i="13"/>
  <c r="CL143" i="13"/>
  <c r="CM143" i="13"/>
  <c r="CN143" i="13"/>
  <c r="CO143" i="13"/>
  <c r="CP143" i="13"/>
  <c r="CQ143" i="13"/>
  <c r="CR143" i="13"/>
  <c r="CS143" i="13"/>
  <c r="CT143" i="13"/>
  <c r="CU143" i="13"/>
  <c r="CV143" i="13"/>
  <c r="CW143" i="13"/>
  <c r="D143" i="13"/>
  <c r="E141" i="13"/>
  <c r="F141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AJ141" i="13"/>
  <c r="AK141" i="13"/>
  <c r="AL141" i="13"/>
  <c r="AM141" i="13"/>
  <c r="AN141" i="13"/>
  <c r="AO141" i="13"/>
  <c r="AP141" i="13"/>
  <c r="AQ141" i="13"/>
  <c r="AR141" i="13"/>
  <c r="AS141" i="13"/>
  <c r="AT141" i="13"/>
  <c r="AU141" i="13"/>
  <c r="AV141" i="13"/>
  <c r="AW141" i="13"/>
  <c r="AX141" i="13"/>
  <c r="AY141" i="13"/>
  <c r="AZ141" i="13"/>
  <c r="BA141" i="13"/>
  <c r="BB141" i="13"/>
  <c r="BC141" i="13"/>
  <c r="BD141" i="13"/>
  <c r="BE141" i="13"/>
  <c r="BF141" i="13"/>
  <c r="BG141" i="13"/>
  <c r="BH141" i="13"/>
  <c r="BI141" i="13"/>
  <c r="BJ141" i="13"/>
  <c r="BK141" i="13"/>
  <c r="BL141" i="13"/>
  <c r="BM141" i="13"/>
  <c r="BN141" i="13"/>
  <c r="BO141" i="13"/>
  <c r="BP141" i="13"/>
  <c r="BQ141" i="13"/>
  <c r="BR141" i="13"/>
  <c r="BS141" i="13"/>
  <c r="BT141" i="13"/>
  <c r="BU141" i="13"/>
  <c r="BV141" i="13"/>
  <c r="BW141" i="13"/>
  <c r="BX141" i="13"/>
  <c r="BY141" i="13"/>
  <c r="BZ141" i="13"/>
  <c r="CA141" i="13"/>
  <c r="CB141" i="13"/>
  <c r="CC141" i="13"/>
  <c r="CD141" i="13"/>
  <c r="CE141" i="13"/>
  <c r="CF141" i="13"/>
  <c r="CG141" i="13"/>
  <c r="CH141" i="13"/>
  <c r="CI141" i="13"/>
  <c r="CJ141" i="13"/>
  <c r="CK141" i="13"/>
  <c r="CL141" i="13"/>
  <c r="CM141" i="13"/>
  <c r="CN141" i="13"/>
  <c r="CO141" i="13"/>
  <c r="CP141" i="13"/>
  <c r="CQ141" i="13"/>
  <c r="CR141" i="13"/>
  <c r="CS141" i="13"/>
  <c r="CT141" i="13"/>
  <c r="CU141" i="13"/>
  <c r="CV141" i="13"/>
  <c r="CW141" i="13"/>
  <c r="D141" i="13"/>
  <c r="E138" i="13"/>
  <c r="F138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AJ138" i="13"/>
  <c r="AK138" i="13"/>
  <c r="AL138" i="13"/>
  <c r="AM138" i="13"/>
  <c r="AN138" i="13"/>
  <c r="AO138" i="13"/>
  <c r="AP138" i="13"/>
  <c r="AQ138" i="13"/>
  <c r="AR138" i="13"/>
  <c r="AS138" i="13"/>
  <c r="AT138" i="13"/>
  <c r="AU138" i="13"/>
  <c r="AV138" i="13"/>
  <c r="AW138" i="13"/>
  <c r="AX138" i="13"/>
  <c r="AY138" i="13"/>
  <c r="AZ138" i="13"/>
  <c r="BA138" i="13"/>
  <c r="BB138" i="13"/>
  <c r="BC138" i="13"/>
  <c r="BD138" i="13"/>
  <c r="BE138" i="13"/>
  <c r="BF138" i="13"/>
  <c r="BG138" i="13"/>
  <c r="BH138" i="13"/>
  <c r="BI138" i="13"/>
  <c r="BJ138" i="13"/>
  <c r="BK138" i="13"/>
  <c r="BL138" i="13"/>
  <c r="BM138" i="13"/>
  <c r="BN138" i="13"/>
  <c r="BO138" i="13"/>
  <c r="BP138" i="13"/>
  <c r="BQ138" i="13"/>
  <c r="BR138" i="13"/>
  <c r="BS138" i="13"/>
  <c r="BT138" i="13"/>
  <c r="BU138" i="13"/>
  <c r="BV138" i="13"/>
  <c r="BW138" i="13"/>
  <c r="BX138" i="13"/>
  <c r="BY138" i="13"/>
  <c r="BZ138" i="13"/>
  <c r="CA138" i="13"/>
  <c r="CB138" i="13"/>
  <c r="CC138" i="13"/>
  <c r="CD138" i="13"/>
  <c r="CE138" i="13"/>
  <c r="CF138" i="13"/>
  <c r="CG138" i="13"/>
  <c r="CH138" i="13"/>
  <c r="CI138" i="13"/>
  <c r="CJ138" i="13"/>
  <c r="CK138" i="13"/>
  <c r="CL138" i="13"/>
  <c r="CM138" i="13"/>
  <c r="CN138" i="13"/>
  <c r="CO138" i="13"/>
  <c r="CP138" i="13"/>
  <c r="CQ138" i="13"/>
  <c r="CR138" i="13"/>
  <c r="CS138" i="13"/>
  <c r="CT138" i="13"/>
  <c r="CU138" i="13"/>
  <c r="CV138" i="13"/>
  <c r="CW138" i="13"/>
  <c r="E139" i="13"/>
  <c r="F139" i="13"/>
  <c r="G139" i="13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AB139" i="13"/>
  <c r="AC139" i="13"/>
  <c r="AD139" i="13"/>
  <c r="AE139" i="13"/>
  <c r="AF139" i="13"/>
  <c r="AG139" i="13"/>
  <c r="AH139" i="13"/>
  <c r="AI139" i="13"/>
  <c r="AJ139" i="13"/>
  <c r="AK139" i="13"/>
  <c r="AL139" i="13"/>
  <c r="AM139" i="13"/>
  <c r="AN139" i="13"/>
  <c r="AO139" i="13"/>
  <c r="AP139" i="13"/>
  <c r="AQ139" i="13"/>
  <c r="AR139" i="13"/>
  <c r="AS139" i="13"/>
  <c r="AT139" i="13"/>
  <c r="AU139" i="13"/>
  <c r="AV139" i="13"/>
  <c r="AW139" i="13"/>
  <c r="AX139" i="13"/>
  <c r="AY139" i="13"/>
  <c r="AZ139" i="13"/>
  <c r="BA139" i="13"/>
  <c r="BB139" i="13"/>
  <c r="BC139" i="13"/>
  <c r="BD139" i="13"/>
  <c r="BE139" i="13"/>
  <c r="BF139" i="13"/>
  <c r="BG139" i="13"/>
  <c r="BH139" i="13"/>
  <c r="BI139" i="13"/>
  <c r="BJ139" i="13"/>
  <c r="BK139" i="13"/>
  <c r="BL139" i="13"/>
  <c r="BM139" i="13"/>
  <c r="BN139" i="13"/>
  <c r="BO139" i="13"/>
  <c r="BP139" i="13"/>
  <c r="BQ139" i="13"/>
  <c r="BR139" i="13"/>
  <c r="BS139" i="13"/>
  <c r="BT139" i="13"/>
  <c r="BU139" i="13"/>
  <c r="BV139" i="13"/>
  <c r="BW139" i="13"/>
  <c r="BX139" i="13"/>
  <c r="BY139" i="13"/>
  <c r="BZ139" i="13"/>
  <c r="CA139" i="13"/>
  <c r="CB139" i="13"/>
  <c r="CC139" i="13"/>
  <c r="CD139" i="13"/>
  <c r="CE139" i="13"/>
  <c r="CF139" i="13"/>
  <c r="CG139" i="13"/>
  <c r="CH139" i="13"/>
  <c r="CI139" i="13"/>
  <c r="CJ139" i="13"/>
  <c r="CK139" i="13"/>
  <c r="CL139" i="13"/>
  <c r="CM139" i="13"/>
  <c r="CN139" i="13"/>
  <c r="CO139" i="13"/>
  <c r="CP139" i="13"/>
  <c r="CQ139" i="13"/>
  <c r="CR139" i="13"/>
  <c r="CS139" i="13"/>
  <c r="CT139" i="13"/>
  <c r="CU139" i="13"/>
  <c r="CV139" i="13"/>
  <c r="CW139" i="13"/>
  <c r="D138" i="13"/>
  <c r="D139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AU116" i="13"/>
  <c r="AV116" i="13"/>
  <c r="AW116" i="13"/>
  <c r="AX116" i="13"/>
  <c r="AY116" i="13"/>
  <c r="AZ116" i="13"/>
  <c r="BA116" i="13"/>
  <c r="BB116" i="13"/>
  <c r="BC116" i="13"/>
  <c r="BD116" i="13"/>
  <c r="BE116" i="13"/>
  <c r="BF116" i="13"/>
  <c r="BG116" i="13"/>
  <c r="BH116" i="13"/>
  <c r="BI116" i="13"/>
  <c r="BJ116" i="13"/>
  <c r="BK116" i="13"/>
  <c r="BL116" i="13"/>
  <c r="BM116" i="13"/>
  <c r="BN116" i="13"/>
  <c r="BO116" i="13"/>
  <c r="BP116" i="13"/>
  <c r="BQ116" i="13"/>
  <c r="BR116" i="13"/>
  <c r="BS116" i="13"/>
  <c r="BT116" i="13"/>
  <c r="BU116" i="13"/>
  <c r="BV116" i="13"/>
  <c r="BW116" i="13"/>
  <c r="BX116" i="13"/>
  <c r="BY116" i="13"/>
  <c r="BZ116" i="13"/>
  <c r="CA116" i="13"/>
  <c r="CB116" i="13"/>
  <c r="CC116" i="13"/>
  <c r="CD116" i="13"/>
  <c r="CE116" i="13"/>
  <c r="CF116" i="13"/>
  <c r="CG116" i="13"/>
  <c r="CH116" i="13"/>
  <c r="CI116" i="13"/>
  <c r="CJ116" i="13"/>
  <c r="CK116" i="13"/>
  <c r="CL116" i="13"/>
  <c r="CM116" i="13"/>
  <c r="CN116" i="13"/>
  <c r="CO116" i="13"/>
  <c r="CP116" i="13"/>
  <c r="CQ116" i="13"/>
  <c r="CR116" i="13"/>
  <c r="CS116" i="13"/>
  <c r="CT116" i="13"/>
  <c r="CU116" i="13"/>
  <c r="CV116" i="13"/>
  <c r="CW116" i="13"/>
  <c r="D116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AM115" i="13"/>
  <c r="AN115" i="13"/>
  <c r="AO115" i="13"/>
  <c r="AP115" i="13"/>
  <c r="AQ115" i="13"/>
  <c r="D115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AU93" i="13"/>
  <c r="AV93" i="13"/>
  <c r="AW93" i="13"/>
  <c r="AX93" i="13"/>
  <c r="AY93" i="13"/>
  <c r="AZ93" i="13"/>
  <c r="BA93" i="13"/>
  <c r="BB93" i="13"/>
  <c r="BC93" i="13"/>
  <c r="BD93" i="13"/>
  <c r="BE93" i="13"/>
  <c r="BF93" i="13"/>
  <c r="BG93" i="13"/>
  <c r="BH93" i="13"/>
  <c r="BI93" i="13"/>
  <c r="BJ93" i="13"/>
  <c r="BK93" i="13"/>
  <c r="BL93" i="13"/>
  <c r="BM93" i="13"/>
  <c r="BN93" i="13"/>
  <c r="BO93" i="13"/>
  <c r="BP93" i="13"/>
  <c r="BQ93" i="13"/>
  <c r="BR93" i="13"/>
  <c r="BS93" i="13"/>
  <c r="BT93" i="13"/>
  <c r="BU93" i="13"/>
  <c r="BV93" i="13"/>
  <c r="BW93" i="13"/>
  <c r="BX93" i="13"/>
  <c r="BY93" i="13"/>
  <c r="BZ93" i="13"/>
  <c r="CA93" i="13"/>
  <c r="CB93" i="13"/>
  <c r="CC93" i="13"/>
  <c r="CD93" i="13"/>
  <c r="CE93" i="13"/>
  <c r="CF93" i="13"/>
  <c r="CG93" i="13"/>
  <c r="CH93" i="13"/>
  <c r="CI93" i="13"/>
  <c r="CJ93" i="13"/>
  <c r="CK93" i="13"/>
  <c r="CL93" i="13"/>
  <c r="CM93" i="13"/>
  <c r="CN93" i="13"/>
  <c r="CO93" i="13"/>
  <c r="CP93" i="13"/>
  <c r="CQ93" i="13"/>
  <c r="CR93" i="13"/>
  <c r="CS93" i="13"/>
  <c r="CT93" i="13"/>
  <c r="CU93" i="13"/>
  <c r="CV93" i="13"/>
  <c r="CW93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AU94" i="13"/>
  <c r="AV94" i="13"/>
  <c r="AW94" i="13"/>
  <c r="AX94" i="13"/>
  <c r="AY94" i="13"/>
  <c r="AZ94" i="13"/>
  <c r="BA94" i="13"/>
  <c r="BB94" i="13"/>
  <c r="BC94" i="13"/>
  <c r="BD94" i="13"/>
  <c r="BE94" i="13"/>
  <c r="BF94" i="13"/>
  <c r="BG94" i="13"/>
  <c r="BH94" i="13"/>
  <c r="BI94" i="13"/>
  <c r="BJ94" i="13"/>
  <c r="BK94" i="13"/>
  <c r="BL94" i="13"/>
  <c r="BM94" i="13"/>
  <c r="BN94" i="13"/>
  <c r="BO94" i="13"/>
  <c r="BP94" i="13"/>
  <c r="BQ94" i="13"/>
  <c r="BR94" i="13"/>
  <c r="BS94" i="13"/>
  <c r="BT94" i="13"/>
  <c r="BU94" i="13"/>
  <c r="BV94" i="13"/>
  <c r="BW94" i="13"/>
  <c r="BX94" i="13"/>
  <c r="BY94" i="13"/>
  <c r="BZ94" i="13"/>
  <c r="CA94" i="13"/>
  <c r="CB94" i="13"/>
  <c r="CC94" i="13"/>
  <c r="CD94" i="13"/>
  <c r="CE94" i="13"/>
  <c r="CF94" i="13"/>
  <c r="CG94" i="13"/>
  <c r="CH94" i="13"/>
  <c r="CI94" i="13"/>
  <c r="CJ94" i="13"/>
  <c r="CK94" i="13"/>
  <c r="CL94" i="13"/>
  <c r="CM94" i="13"/>
  <c r="CN94" i="13"/>
  <c r="CO94" i="13"/>
  <c r="CP94" i="13"/>
  <c r="CQ94" i="13"/>
  <c r="CR94" i="13"/>
  <c r="CS94" i="13"/>
  <c r="CT94" i="13"/>
  <c r="CU94" i="13"/>
  <c r="CV94" i="13"/>
  <c r="CW94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AU95" i="13"/>
  <c r="AV95" i="13"/>
  <c r="AW95" i="13"/>
  <c r="AX95" i="13"/>
  <c r="AY95" i="13"/>
  <c r="AZ95" i="13"/>
  <c r="BA95" i="13"/>
  <c r="BB95" i="13"/>
  <c r="BC95" i="13"/>
  <c r="BD95" i="13"/>
  <c r="BE95" i="13"/>
  <c r="BF95" i="13"/>
  <c r="BG95" i="13"/>
  <c r="BH95" i="13"/>
  <c r="BI95" i="13"/>
  <c r="BJ95" i="13"/>
  <c r="BK95" i="13"/>
  <c r="BL95" i="13"/>
  <c r="BM95" i="13"/>
  <c r="BN95" i="13"/>
  <c r="BO95" i="13"/>
  <c r="BP95" i="13"/>
  <c r="BQ95" i="13"/>
  <c r="BR95" i="13"/>
  <c r="BS95" i="13"/>
  <c r="BT95" i="13"/>
  <c r="BU95" i="13"/>
  <c r="BV95" i="13"/>
  <c r="BW95" i="13"/>
  <c r="BX95" i="13"/>
  <c r="BY95" i="13"/>
  <c r="BZ95" i="13"/>
  <c r="CA95" i="13"/>
  <c r="CB95" i="13"/>
  <c r="CC95" i="13"/>
  <c r="CD95" i="13"/>
  <c r="CE95" i="13"/>
  <c r="CF95" i="13"/>
  <c r="CG95" i="13"/>
  <c r="CH95" i="13"/>
  <c r="CI95" i="13"/>
  <c r="CJ95" i="13"/>
  <c r="CK95" i="13"/>
  <c r="CL95" i="13"/>
  <c r="CM95" i="13"/>
  <c r="CN95" i="13"/>
  <c r="CO95" i="13"/>
  <c r="CP95" i="13"/>
  <c r="CQ95" i="13"/>
  <c r="CR95" i="13"/>
  <c r="CS95" i="13"/>
  <c r="CT95" i="13"/>
  <c r="CU95" i="13"/>
  <c r="CV95" i="13"/>
  <c r="CW95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AU96" i="13"/>
  <c r="AV96" i="13"/>
  <c r="AW96" i="13"/>
  <c r="AX96" i="13"/>
  <c r="AY96" i="13"/>
  <c r="AZ96" i="13"/>
  <c r="BA96" i="13"/>
  <c r="BB96" i="13"/>
  <c r="BC96" i="13"/>
  <c r="BD96" i="13"/>
  <c r="BE96" i="13"/>
  <c r="BF96" i="13"/>
  <c r="BG96" i="13"/>
  <c r="BH96" i="13"/>
  <c r="BI96" i="13"/>
  <c r="BJ96" i="13"/>
  <c r="BK96" i="13"/>
  <c r="BL96" i="13"/>
  <c r="BM96" i="13"/>
  <c r="BN96" i="13"/>
  <c r="BO96" i="13"/>
  <c r="BP96" i="13"/>
  <c r="BQ96" i="13"/>
  <c r="BR96" i="13"/>
  <c r="BS96" i="13"/>
  <c r="BT96" i="13"/>
  <c r="BU96" i="13"/>
  <c r="BV96" i="13"/>
  <c r="BW96" i="13"/>
  <c r="BX96" i="13"/>
  <c r="BY96" i="13"/>
  <c r="BZ96" i="13"/>
  <c r="CA96" i="13"/>
  <c r="CB96" i="13"/>
  <c r="CC96" i="13"/>
  <c r="CD96" i="13"/>
  <c r="CE96" i="13"/>
  <c r="CF96" i="13"/>
  <c r="CG96" i="13"/>
  <c r="CH96" i="13"/>
  <c r="CI96" i="13"/>
  <c r="CJ96" i="13"/>
  <c r="CK96" i="13"/>
  <c r="CL96" i="13"/>
  <c r="CM96" i="13"/>
  <c r="CN96" i="13"/>
  <c r="CO96" i="13"/>
  <c r="CP96" i="13"/>
  <c r="CQ96" i="13"/>
  <c r="CR96" i="13"/>
  <c r="CS96" i="13"/>
  <c r="CT96" i="13"/>
  <c r="CU96" i="13"/>
  <c r="CV96" i="13"/>
  <c r="CW96" i="13"/>
  <c r="D97" i="13"/>
  <c r="D120" i="13" s="1"/>
  <c r="E97" i="13"/>
  <c r="F97" i="13"/>
  <c r="G97" i="13"/>
  <c r="G120" i="13" s="1"/>
  <c r="H97" i="13"/>
  <c r="H120" i="13" s="1"/>
  <c r="I97" i="13"/>
  <c r="J97" i="13"/>
  <c r="K97" i="13"/>
  <c r="L97" i="13"/>
  <c r="M97" i="13"/>
  <c r="N97" i="13"/>
  <c r="O97" i="13"/>
  <c r="O120" i="13" s="1"/>
  <c r="P97" i="13"/>
  <c r="Q97" i="13"/>
  <c r="R97" i="13"/>
  <c r="S97" i="13"/>
  <c r="T97" i="13"/>
  <c r="U97" i="13"/>
  <c r="V97" i="13"/>
  <c r="W97" i="13"/>
  <c r="W120" i="13" s="1"/>
  <c r="X97" i="13"/>
  <c r="Y97" i="13"/>
  <c r="Z97" i="13"/>
  <c r="AA97" i="13"/>
  <c r="AB97" i="13"/>
  <c r="AC97" i="13"/>
  <c r="AD97" i="13"/>
  <c r="AE97" i="13"/>
  <c r="AE120" i="13" s="1"/>
  <c r="AF97" i="13"/>
  <c r="AG97" i="13"/>
  <c r="AH97" i="13"/>
  <c r="AI97" i="13"/>
  <c r="AJ97" i="13"/>
  <c r="AK97" i="13"/>
  <c r="AL97" i="13"/>
  <c r="AM97" i="13"/>
  <c r="AM120" i="13" s="1"/>
  <c r="AN97" i="13"/>
  <c r="AO97" i="13"/>
  <c r="AP97" i="13"/>
  <c r="AQ97" i="13"/>
  <c r="AR97" i="13"/>
  <c r="AS97" i="13"/>
  <c r="AT97" i="13"/>
  <c r="AU97" i="13"/>
  <c r="AU120" i="13" s="1"/>
  <c r="AV97" i="13"/>
  <c r="AW97" i="13"/>
  <c r="AX97" i="13"/>
  <c r="AY97" i="13"/>
  <c r="AZ97" i="13"/>
  <c r="BA97" i="13"/>
  <c r="BB97" i="13"/>
  <c r="BC97" i="13"/>
  <c r="BC120" i="13" s="1"/>
  <c r="BD97" i="13"/>
  <c r="BD120" i="13" s="1"/>
  <c r="BE97" i="13"/>
  <c r="BF97" i="13"/>
  <c r="BG97" i="13"/>
  <c r="BH97" i="13"/>
  <c r="BI97" i="13"/>
  <c r="BJ97" i="13"/>
  <c r="BK97" i="13"/>
  <c r="BK120" i="13" s="1"/>
  <c r="BL97" i="13"/>
  <c r="BL120" i="13" s="1"/>
  <c r="BM97" i="13"/>
  <c r="BN97" i="13"/>
  <c r="BO97" i="13"/>
  <c r="BP97" i="13"/>
  <c r="BQ97" i="13"/>
  <c r="BR97" i="13"/>
  <c r="BS97" i="13"/>
  <c r="BS120" i="13" s="1"/>
  <c r="BT97" i="13"/>
  <c r="BU97" i="13"/>
  <c r="BV97" i="13"/>
  <c r="BW97" i="13"/>
  <c r="BX97" i="13"/>
  <c r="BY97" i="13"/>
  <c r="BZ97" i="13"/>
  <c r="CA97" i="13"/>
  <c r="CA120" i="13" s="1"/>
  <c r="CB97" i="13"/>
  <c r="CC97" i="13"/>
  <c r="CD97" i="13"/>
  <c r="CE97" i="13"/>
  <c r="CF97" i="13"/>
  <c r="CG97" i="13"/>
  <c r="CH97" i="13"/>
  <c r="CI97" i="13"/>
  <c r="CI120" i="13" s="1"/>
  <c r="CJ97" i="13"/>
  <c r="CK97" i="13"/>
  <c r="CL97" i="13"/>
  <c r="CM97" i="13"/>
  <c r="CN97" i="13"/>
  <c r="CO97" i="13"/>
  <c r="CP97" i="13"/>
  <c r="CQ97" i="13"/>
  <c r="CQ120" i="13" s="1"/>
  <c r="CR97" i="13"/>
  <c r="CS97" i="13"/>
  <c r="CS147" i="13" s="1"/>
  <c r="CT97" i="13"/>
  <c r="CU97" i="13"/>
  <c r="CV97" i="13"/>
  <c r="CW97" i="13"/>
  <c r="D98" i="13"/>
  <c r="E98" i="13"/>
  <c r="E121" i="13" s="1"/>
  <c r="F98" i="13"/>
  <c r="G98" i="13"/>
  <c r="H98" i="13"/>
  <c r="I98" i="13"/>
  <c r="J98" i="13"/>
  <c r="K98" i="13"/>
  <c r="L98" i="13"/>
  <c r="M98" i="13"/>
  <c r="M121" i="13" s="1"/>
  <c r="N98" i="13"/>
  <c r="O98" i="13"/>
  <c r="P98" i="13"/>
  <c r="Q98" i="13"/>
  <c r="R98" i="13"/>
  <c r="S98" i="13"/>
  <c r="T98" i="13"/>
  <c r="U98" i="13"/>
  <c r="U121" i="13" s="1"/>
  <c r="V98" i="13"/>
  <c r="W98" i="13"/>
  <c r="X98" i="13"/>
  <c r="Y98" i="13"/>
  <c r="Z98" i="13"/>
  <c r="Z121" i="13" s="1"/>
  <c r="AA98" i="13"/>
  <c r="AB98" i="13"/>
  <c r="AC98" i="13"/>
  <c r="AC121" i="13" s="1"/>
  <c r="AD98" i="13"/>
  <c r="AE98" i="13"/>
  <c r="AF98" i="13"/>
  <c r="AG98" i="13"/>
  <c r="AH98" i="13"/>
  <c r="AI98" i="13"/>
  <c r="AJ98" i="13"/>
  <c r="AK98" i="13"/>
  <c r="AK121" i="13" s="1"/>
  <c r="AL98" i="13"/>
  <c r="AM98" i="13"/>
  <c r="AN98" i="13"/>
  <c r="AO98" i="13"/>
  <c r="AP98" i="13"/>
  <c r="AQ98" i="13"/>
  <c r="AR98" i="13"/>
  <c r="AS98" i="13"/>
  <c r="AS121" i="13" s="1"/>
  <c r="AT98" i="13"/>
  <c r="AU98" i="13"/>
  <c r="AU121" i="13" s="1"/>
  <c r="AV98" i="13"/>
  <c r="AW98" i="13"/>
  <c r="AX98" i="13"/>
  <c r="AY98" i="13"/>
  <c r="AZ98" i="13"/>
  <c r="BA98" i="13"/>
  <c r="BA121" i="13" s="1"/>
  <c r="BB98" i="13"/>
  <c r="BC98" i="13"/>
  <c r="BD98" i="13"/>
  <c r="BE98" i="13"/>
  <c r="BF98" i="13"/>
  <c r="BG98" i="13"/>
  <c r="BH98" i="13"/>
  <c r="BI98" i="13"/>
  <c r="BI121" i="13" s="1"/>
  <c r="BJ98" i="13"/>
  <c r="BK98" i="13"/>
  <c r="BL98" i="13"/>
  <c r="BM98" i="13"/>
  <c r="BN98" i="13"/>
  <c r="BO98" i="13"/>
  <c r="BP98" i="13"/>
  <c r="BQ98" i="13"/>
  <c r="BQ121" i="13" s="1"/>
  <c r="BR98" i="13"/>
  <c r="BS98" i="13"/>
  <c r="BT98" i="13"/>
  <c r="BU98" i="13"/>
  <c r="BV98" i="13"/>
  <c r="BW98" i="13"/>
  <c r="BX98" i="13"/>
  <c r="BY98" i="13"/>
  <c r="BY121" i="13" s="1"/>
  <c r="BZ98" i="13"/>
  <c r="CA98" i="13"/>
  <c r="CB98" i="13"/>
  <c r="CC98" i="13"/>
  <c r="CD98" i="13"/>
  <c r="CE98" i="13"/>
  <c r="CF98" i="13"/>
  <c r="CG98" i="13"/>
  <c r="CG121" i="13" s="1"/>
  <c r="CH98" i="13"/>
  <c r="CI98" i="13"/>
  <c r="CJ98" i="13"/>
  <c r="CK98" i="13"/>
  <c r="CL98" i="13"/>
  <c r="CM98" i="13"/>
  <c r="CN98" i="13"/>
  <c r="CO98" i="13"/>
  <c r="CO121" i="13" s="1"/>
  <c r="CP98" i="13"/>
  <c r="CQ98" i="13"/>
  <c r="CR98" i="13"/>
  <c r="CS98" i="13"/>
  <c r="CT98" i="13"/>
  <c r="CU98" i="13"/>
  <c r="CV98" i="13"/>
  <c r="CW98" i="13"/>
  <c r="CW121" i="13" s="1"/>
  <c r="D99" i="13"/>
  <c r="D122" i="13" s="1"/>
  <c r="E99" i="13"/>
  <c r="F99" i="13"/>
  <c r="G99" i="13"/>
  <c r="H99" i="13"/>
  <c r="I99" i="13"/>
  <c r="J99" i="13"/>
  <c r="K99" i="13"/>
  <c r="K122" i="13" s="1"/>
  <c r="L99" i="13"/>
  <c r="M99" i="13"/>
  <c r="N99" i="13"/>
  <c r="O99" i="13"/>
  <c r="P99" i="13"/>
  <c r="Q99" i="13"/>
  <c r="R99" i="13"/>
  <c r="S99" i="13"/>
  <c r="S122" i="13" s="1"/>
  <c r="T99" i="13"/>
  <c r="T122" i="13" s="1"/>
  <c r="U99" i="13"/>
  <c r="V99" i="13"/>
  <c r="W99" i="13"/>
  <c r="X99" i="13"/>
  <c r="Y99" i="13"/>
  <c r="Z99" i="13"/>
  <c r="AA99" i="13"/>
  <c r="AA122" i="13" s="1"/>
  <c r="AB99" i="13"/>
  <c r="AB122" i="13" s="1"/>
  <c r="AC99" i="13"/>
  <c r="AD99" i="13"/>
  <c r="AE99" i="13"/>
  <c r="AF99" i="13"/>
  <c r="AG99" i="13"/>
  <c r="AH99" i="13"/>
  <c r="AI99" i="13"/>
  <c r="AI122" i="13" s="1"/>
  <c r="AJ99" i="13"/>
  <c r="AK99" i="13"/>
  <c r="AL99" i="13"/>
  <c r="AM99" i="13"/>
  <c r="AN99" i="13"/>
  <c r="AO99" i="13"/>
  <c r="AP99" i="13"/>
  <c r="AQ99" i="13"/>
  <c r="AQ122" i="13" s="1"/>
  <c r="AR99" i="13"/>
  <c r="AS99" i="13"/>
  <c r="AT99" i="13"/>
  <c r="AU99" i="13"/>
  <c r="AV99" i="13"/>
  <c r="AW99" i="13"/>
  <c r="AX99" i="13"/>
  <c r="AY99" i="13"/>
  <c r="AY122" i="13" s="1"/>
  <c r="AZ99" i="13"/>
  <c r="BA99" i="13"/>
  <c r="BB99" i="13"/>
  <c r="BC99" i="13"/>
  <c r="BD99" i="13"/>
  <c r="BE99" i="13"/>
  <c r="BF99" i="13"/>
  <c r="BG99" i="13"/>
  <c r="BG122" i="13" s="1"/>
  <c r="BH99" i="13"/>
  <c r="BH122" i="13" s="1"/>
  <c r="BI99" i="13"/>
  <c r="BJ99" i="13"/>
  <c r="BK99" i="13"/>
  <c r="BL99" i="13"/>
  <c r="BM99" i="13"/>
  <c r="BN99" i="13"/>
  <c r="BO99" i="13"/>
  <c r="BO122" i="13" s="1"/>
  <c r="BP99" i="13"/>
  <c r="BP122" i="13" s="1"/>
  <c r="BQ99" i="13"/>
  <c r="BR99" i="13"/>
  <c r="BS99" i="13"/>
  <c r="BT99" i="13"/>
  <c r="BU99" i="13"/>
  <c r="BV99" i="13"/>
  <c r="BW99" i="13"/>
  <c r="BW122" i="13" s="1"/>
  <c r="BX99" i="13"/>
  <c r="BY99" i="13"/>
  <c r="BZ99" i="13"/>
  <c r="CA99" i="13"/>
  <c r="CB99" i="13"/>
  <c r="CC99" i="13"/>
  <c r="CD99" i="13"/>
  <c r="CE99" i="13"/>
  <c r="CE122" i="13" s="1"/>
  <c r="CF99" i="13"/>
  <c r="CF122" i="13" s="1"/>
  <c r="CG99" i="13"/>
  <c r="CH99" i="13"/>
  <c r="CI99" i="13"/>
  <c r="CJ99" i="13"/>
  <c r="CK99" i="13"/>
  <c r="CL99" i="13"/>
  <c r="CM99" i="13"/>
  <c r="CM122" i="13" s="1"/>
  <c r="CN99" i="13"/>
  <c r="CN122" i="13" s="1"/>
  <c r="CO99" i="13"/>
  <c r="CP99" i="13"/>
  <c r="CQ99" i="13"/>
  <c r="CR99" i="13"/>
  <c r="CS99" i="13"/>
  <c r="CT99" i="13"/>
  <c r="CU99" i="13"/>
  <c r="CU122" i="13" s="1"/>
  <c r="CV99" i="13"/>
  <c r="CW99" i="13"/>
  <c r="D100" i="13"/>
  <c r="E100" i="13"/>
  <c r="F100" i="13"/>
  <c r="G100" i="13"/>
  <c r="H100" i="13"/>
  <c r="I100" i="13"/>
  <c r="I123" i="13" s="1"/>
  <c r="J100" i="13"/>
  <c r="K100" i="13"/>
  <c r="L100" i="13"/>
  <c r="M100" i="13"/>
  <c r="N100" i="13"/>
  <c r="N123" i="13" s="1"/>
  <c r="O100" i="13"/>
  <c r="P100" i="13"/>
  <c r="Q100" i="13"/>
  <c r="Q123" i="13" s="1"/>
  <c r="R100" i="13"/>
  <c r="S100" i="13"/>
  <c r="T100" i="13"/>
  <c r="U100" i="13"/>
  <c r="V100" i="13"/>
  <c r="W100" i="13"/>
  <c r="X100" i="13"/>
  <c r="Y100" i="13"/>
  <c r="Y123" i="13" s="1"/>
  <c r="Z100" i="13"/>
  <c r="AA100" i="13"/>
  <c r="AA123" i="13" s="1"/>
  <c r="AB100" i="13"/>
  <c r="AC100" i="13"/>
  <c r="AD100" i="13"/>
  <c r="AE100" i="13"/>
  <c r="AF100" i="13"/>
  <c r="AG100" i="13"/>
  <c r="AG123" i="13" s="1"/>
  <c r="AH100" i="13"/>
  <c r="AI100" i="13"/>
  <c r="AJ100" i="13"/>
  <c r="AK100" i="13"/>
  <c r="AL100" i="13"/>
  <c r="AM100" i="13"/>
  <c r="AN100" i="13"/>
  <c r="AO100" i="13"/>
  <c r="AO123" i="13" s="1"/>
  <c r="AP100" i="13"/>
  <c r="AQ100" i="13"/>
  <c r="AR100" i="13"/>
  <c r="AS100" i="13"/>
  <c r="AT100" i="13"/>
  <c r="AU100" i="13"/>
  <c r="AV100" i="13"/>
  <c r="AW100" i="13"/>
  <c r="AW123" i="13" s="1"/>
  <c r="AX100" i="13"/>
  <c r="AY100" i="13"/>
  <c r="AZ100" i="13"/>
  <c r="BA100" i="13"/>
  <c r="BB100" i="13"/>
  <c r="BC100" i="13"/>
  <c r="BD100" i="13"/>
  <c r="BE100" i="13"/>
  <c r="BE123" i="13" s="1"/>
  <c r="BF100" i="13"/>
  <c r="BG100" i="13"/>
  <c r="BG123" i="13" s="1"/>
  <c r="BH100" i="13"/>
  <c r="BI100" i="13"/>
  <c r="BJ100" i="13"/>
  <c r="BK100" i="13"/>
  <c r="BL100" i="13"/>
  <c r="BM100" i="13"/>
  <c r="BM123" i="13" s="1"/>
  <c r="BN100" i="13"/>
  <c r="BO100" i="13"/>
  <c r="BP100" i="13"/>
  <c r="BQ100" i="13"/>
  <c r="BR100" i="13"/>
  <c r="BS100" i="13"/>
  <c r="BT100" i="13"/>
  <c r="BU100" i="13"/>
  <c r="BU123" i="13" s="1"/>
  <c r="BV100" i="13"/>
  <c r="BW100" i="13"/>
  <c r="BX100" i="13"/>
  <c r="BY100" i="13"/>
  <c r="BZ100" i="13"/>
  <c r="CA100" i="13"/>
  <c r="CB100" i="13"/>
  <c r="CC100" i="13"/>
  <c r="CC123" i="13" s="1"/>
  <c r="CD100" i="13"/>
  <c r="CE100" i="13"/>
  <c r="CF100" i="13"/>
  <c r="CG100" i="13"/>
  <c r="CH100" i="13"/>
  <c r="CI100" i="13"/>
  <c r="CJ100" i="13"/>
  <c r="CK100" i="13"/>
  <c r="CK123" i="13" s="1"/>
  <c r="CL100" i="13"/>
  <c r="CM100" i="13"/>
  <c r="CN100" i="13"/>
  <c r="CO100" i="13"/>
  <c r="CP100" i="13"/>
  <c r="CQ100" i="13"/>
  <c r="CR100" i="13"/>
  <c r="CS100" i="13"/>
  <c r="CS123" i="13" s="1"/>
  <c r="CT100" i="13"/>
  <c r="CU100" i="13"/>
  <c r="CV100" i="13"/>
  <c r="CW100" i="13"/>
  <c r="D101" i="13"/>
  <c r="E101" i="13"/>
  <c r="F101" i="13"/>
  <c r="G101" i="13"/>
  <c r="G124" i="13" s="1"/>
  <c r="H101" i="13"/>
  <c r="I101" i="13"/>
  <c r="J101" i="13"/>
  <c r="K101" i="13"/>
  <c r="L101" i="13"/>
  <c r="M101" i="13"/>
  <c r="N101" i="13"/>
  <c r="O101" i="13"/>
  <c r="O124" i="13" s="1"/>
  <c r="P101" i="13"/>
  <c r="Q101" i="13"/>
  <c r="R101" i="13"/>
  <c r="S101" i="13"/>
  <c r="T101" i="13"/>
  <c r="U101" i="13"/>
  <c r="V101" i="13"/>
  <c r="W101" i="13"/>
  <c r="W124" i="13" s="1"/>
  <c r="X101" i="13"/>
  <c r="Y101" i="13"/>
  <c r="Z101" i="13"/>
  <c r="AA101" i="13"/>
  <c r="AB101" i="13"/>
  <c r="AC101" i="13"/>
  <c r="AD101" i="13"/>
  <c r="AE101" i="13"/>
  <c r="AE124" i="13" s="1"/>
  <c r="AF101" i="13"/>
  <c r="AG101" i="13"/>
  <c r="AH101" i="13"/>
  <c r="AI101" i="13"/>
  <c r="AJ101" i="13"/>
  <c r="AK101" i="13"/>
  <c r="AL101" i="13"/>
  <c r="AM101" i="13"/>
  <c r="AM124" i="13" s="1"/>
  <c r="AN101" i="13"/>
  <c r="AO101" i="13"/>
  <c r="AP101" i="13"/>
  <c r="AQ101" i="13"/>
  <c r="AR101" i="13"/>
  <c r="AS101" i="13"/>
  <c r="AT101" i="13"/>
  <c r="AU101" i="13"/>
  <c r="AV101" i="13"/>
  <c r="AW101" i="13"/>
  <c r="AX101" i="13"/>
  <c r="AY101" i="13"/>
  <c r="AZ101" i="13"/>
  <c r="BA101" i="13"/>
  <c r="BB101" i="13"/>
  <c r="BC101" i="13"/>
  <c r="BD101" i="13"/>
  <c r="BE101" i="13"/>
  <c r="BF101" i="13"/>
  <c r="BG101" i="13"/>
  <c r="BH101" i="13"/>
  <c r="BI101" i="13"/>
  <c r="BJ101" i="13"/>
  <c r="BK101" i="13"/>
  <c r="BL101" i="13"/>
  <c r="BM101" i="13"/>
  <c r="BN101" i="13"/>
  <c r="BO101" i="13"/>
  <c r="BP101" i="13"/>
  <c r="BQ101" i="13"/>
  <c r="BR101" i="13"/>
  <c r="BS101" i="13"/>
  <c r="BT101" i="13"/>
  <c r="BU101" i="13"/>
  <c r="BV101" i="13"/>
  <c r="BW101" i="13"/>
  <c r="BX101" i="13"/>
  <c r="BY101" i="13"/>
  <c r="BZ101" i="13"/>
  <c r="CA101" i="13"/>
  <c r="CB101" i="13"/>
  <c r="CC101" i="13"/>
  <c r="CD101" i="13"/>
  <c r="CE101" i="13"/>
  <c r="CF101" i="13"/>
  <c r="CG101" i="13"/>
  <c r="CH101" i="13"/>
  <c r="CI101" i="13"/>
  <c r="CJ101" i="13"/>
  <c r="CK101" i="13"/>
  <c r="CL101" i="13"/>
  <c r="CM101" i="13"/>
  <c r="CN101" i="13"/>
  <c r="CO101" i="13"/>
  <c r="CP101" i="13"/>
  <c r="CQ101" i="13"/>
  <c r="CR101" i="13"/>
  <c r="CS101" i="13"/>
  <c r="CT101" i="13"/>
  <c r="CU101" i="13"/>
  <c r="CV101" i="13"/>
  <c r="CW101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O125" i="13" s="1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E125" i="13" s="1"/>
  <c r="AF102" i="13"/>
  <c r="AG102" i="13"/>
  <c r="AH102" i="13"/>
  <c r="AI102" i="13"/>
  <c r="AJ102" i="13"/>
  <c r="AK102" i="13"/>
  <c r="AL102" i="13"/>
  <c r="AM102" i="13"/>
  <c r="AN102" i="13"/>
  <c r="AO102" i="13"/>
  <c r="AP102" i="13"/>
  <c r="AQ102" i="13"/>
  <c r="AR102" i="13"/>
  <c r="AS102" i="13"/>
  <c r="AT102" i="13"/>
  <c r="AU102" i="13"/>
  <c r="AV102" i="13"/>
  <c r="AW102" i="13"/>
  <c r="AX102" i="13"/>
  <c r="AY102" i="13"/>
  <c r="AZ102" i="13"/>
  <c r="BA102" i="13"/>
  <c r="BB102" i="13"/>
  <c r="BC102" i="13"/>
  <c r="BD102" i="13"/>
  <c r="BE102" i="13"/>
  <c r="BF102" i="13"/>
  <c r="BG102" i="13"/>
  <c r="BH102" i="13"/>
  <c r="BI102" i="13"/>
  <c r="BJ102" i="13"/>
  <c r="BK102" i="13"/>
  <c r="BL102" i="13"/>
  <c r="BM102" i="13"/>
  <c r="BN102" i="13"/>
  <c r="BO102" i="13"/>
  <c r="BP102" i="13"/>
  <c r="BQ102" i="13"/>
  <c r="BR102" i="13"/>
  <c r="BS102" i="13"/>
  <c r="BT102" i="13"/>
  <c r="BU102" i="13"/>
  <c r="BV102" i="13"/>
  <c r="BW102" i="13"/>
  <c r="BX102" i="13"/>
  <c r="BY102" i="13"/>
  <c r="BZ102" i="13"/>
  <c r="CA102" i="13"/>
  <c r="CB102" i="13"/>
  <c r="CC102" i="13"/>
  <c r="CD102" i="13"/>
  <c r="CE102" i="13"/>
  <c r="CF102" i="13"/>
  <c r="CG102" i="13"/>
  <c r="CH102" i="13"/>
  <c r="CH125" i="13" s="1"/>
  <c r="CI102" i="13"/>
  <c r="CJ102" i="13"/>
  <c r="CK102" i="13"/>
  <c r="CL102" i="13"/>
  <c r="CM102" i="13"/>
  <c r="CN102" i="13"/>
  <c r="CO102" i="13"/>
  <c r="CP102" i="13"/>
  <c r="CQ102" i="13"/>
  <c r="CR102" i="13"/>
  <c r="CS102" i="13"/>
  <c r="CT102" i="13"/>
  <c r="CU102" i="13"/>
  <c r="CV102" i="13"/>
  <c r="CW102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B126" i="13" s="1"/>
  <c r="AC103" i="13"/>
  <c r="AD103" i="13"/>
  <c r="AE103" i="13"/>
  <c r="AF103" i="13"/>
  <c r="AG103" i="13"/>
  <c r="AH103" i="13"/>
  <c r="AI103" i="13"/>
  <c r="AJ103" i="13"/>
  <c r="AJ126" i="13" s="1"/>
  <c r="AK103" i="13"/>
  <c r="AL103" i="13"/>
  <c r="AM103" i="13"/>
  <c r="AN103" i="13"/>
  <c r="AO103" i="13"/>
  <c r="AP103" i="13"/>
  <c r="AQ103" i="13"/>
  <c r="AR103" i="13"/>
  <c r="AS103" i="13"/>
  <c r="AT103" i="13"/>
  <c r="AU103" i="13"/>
  <c r="AV103" i="13"/>
  <c r="AW103" i="13"/>
  <c r="AX103" i="13"/>
  <c r="AY103" i="13"/>
  <c r="AZ103" i="13"/>
  <c r="BA103" i="13"/>
  <c r="BB103" i="13"/>
  <c r="BC103" i="13"/>
  <c r="BD103" i="13"/>
  <c r="BE103" i="13"/>
  <c r="BF103" i="13"/>
  <c r="BG103" i="13"/>
  <c r="BH103" i="13"/>
  <c r="BH126" i="13" s="1"/>
  <c r="BI103" i="13"/>
  <c r="BJ103" i="13"/>
  <c r="BK103" i="13"/>
  <c r="BL103" i="13"/>
  <c r="BM103" i="13"/>
  <c r="BN103" i="13"/>
  <c r="BO103" i="13"/>
  <c r="BP103" i="13"/>
  <c r="BP126" i="13" s="1"/>
  <c r="BQ103" i="13"/>
  <c r="BR103" i="13"/>
  <c r="BS103" i="13"/>
  <c r="BT103" i="13"/>
  <c r="BU103" i="13"/>
  <c r="BV103" i="13"/>
  <c r="BW103" i="13"/>
  <c r="BX103" i="13"/>
  <c r="BY103" i="13"/>
  <c r="BZ103" i="13"/>
  <c r="CA103" i="13"/>
  <c r="CB103" i="13"/>
  <c r="CC103" i="13"/>
  <c r="CD103" i="13"/>
  <c r="CE103" i="13"/>
  <c r="CF103" i="13"/>
  <c r="CG103" i="13"/>
  <c r="CH103" i="13"/>
  <c r="CI103" i="13"/>
  <c r="CJ103" i="13"/>
  <c r="CK103" i="13"/>
  <c r="CL103" i="13"/>
  <c r="CM103" i="13"/>
  <c r="CN103" i="13"/>
  <c r="CN126" i="13" s="1"/>
  <c r="CO103" i="13"/>
  <c r="CP103" i="13"/>
  <c r="CQ103" i="13"/>
  <c r="CR103" i="13"/>
  <c r="CS103" i="13"/>
  <c r="CT103" i="13"/>
  <c r="CU103" i="13"/>
  <c r="CV103" i="13"/>
  <c r="CV126" i="13" s="1"/>
  <c r="CW103" i="13"/>
  <c r="D104" i="13"/>
  <c r="E104" i="13"/>
  <c r="F104" i="13"/>
  <c r="G104" i="13"/>
  <c r="H104" i="13"/>
  <c r="I104" i="13"/>
  <c r="I127" i="13" s="1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Y127" i="13" s="1"/>
  <c r="Z104" i="13"/>
  <c r="AA104" i="13"/>
  <c r="AA127" i="13" s="1"/>
  <c r="AB104" i="13"/>
  <c r="AC104" i="13"/>
  <c r="AD104" i="13"/>
  <c r="AE104" i="13"/>
  <c r="AF104" i="13"/>
  <c r="AG104" i="13"/>
  <c r="AH104" i="13"/>
  <c r="AI104" i="13"/>
  <c r="AI127" i="13" s="1"/>
  <c r="AJ104" i="13"/>
  <c r="AK104" i="13"/>
  <c r="AL104" i="13"/>
  <c r="AM104" i="13"/>
  <c r="AN104" i="13"/>
  <c r="AO104" i="13"/>
  <c r="AP104" i="13"/>
  <c r="AQ104" i="13"/>
  <c r="AR104" i="13"/>
  <c r="AS104" i="13"/>
  <c r="AT104" i="13"/>
  <c r="AU104" i="13"/>
  <c r="AV104" i="13"/>
  <c r="AW104" i="13"/>
  <c r="AX104" i="13"/>
  <c r="AY104" i="13"/>
  <c r="AZ104" i="13"/>
  <c r="BA104" i="13"/>
  <c r="BB104" i="13"/>
  <c r="BC104" i="13"/>
  <c r="BD104" i="13"/>
  <c r="BE104" i="13"/>
  <c r="BE127" i="13" s="1"/>
  <c r="BF104" i="13"/>
  <c r="BG104" i="13"/>
  <c r="BG127" i="13" s="1"/>
  <c r="BH104" i="13"/>
  <c r="BI104" i="13"/>
  <c r="BJ104" i="13"/>
  <c r="BK104" i="13"/>
  <c r="BL104" i="13"/>
  <c r="BM104" i="13"/>
  <c r="BN104" i="13"/>
  <c r="BO104" i="13"/>
  <c r="BO127" i="13" s="1"/>
  <c r="BP104" i="13"/>
  <c r="BQ104" i="13"/>
  <c r="BR104" i="13"/>
  <c r="BS104" i="13"/>
  <c r="BT104" i="13"/>
  <c r="BU104" i="13"/>
  <c r="BU127" i="13" s="1"/>
  <c r="BV104" i="13"/>
  <c r="BW104" i="13"/>
  <c r="BX104" i="13"/>
  <c r="BY104" i="13"/>
  <c r="BZ104" i="13"/>
  <c r="CA104" i="13"/>
  <c r="CB104" i="13"/>
  <c r="CC104" i="13"/>
  <c r="CD104" i="13"/>
  <c r="CE104" i="13"/>
  <c r="CF104" i="13"/>
  <c r="CG104" i="13"/>
  <c r="CH104" i="13"/>
  <c r="CI104" i="13"/>
  <c r="CJ104" i="13"/>
  <c r="CK104" i="13"/>
  <c r="CK127" i="13" s="1"/>
  <c r="CL104" i="13"/>
  <c r="CM104" i="13"/>
  <c r="CM127" i="13" s="1"/>
  <c r="CN104" i="13"/>
  <c r="CO104" i="13"/>
  <c r="CP104" i="13"/>
  <c r="CQ104" i="13"/>
  <c r="CR104" i="13"/>
  <c r="CS104" i="13"/>
  <c r="CT104" i="13"/>
  <c r="CU104" i="13"/>
  <c r="CU127" i="13" s="1"/>
  <c r="CV104" i="13"/>
  <c r="CW104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X128" i="13" s="1"/>
  <c r="Y105" i="13"/>
  <c r="Y128" i="13" s="1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L105" i="13"/>
  <c r="AM105" i="13"/>
  <c r="AN105" i="13"/>
  <c r="AN128" i="13" s="1"/>
  <c r="AO105" i="13"/>
  <c r="AP105" i="13"/>
  <c r="AQ105" i="13"/>
  <c r="AR105" i="13"/>
  <c r="AS105" i="13"/>
  <c r="AT105" i="13"/>
  <c r="AU105" i="13"/>
  <c r="AV105" i="13"/>
  <c r="AW105" i="13"/>
  <c r="AX105" i="13"/>
  <c r="AY105" i="13"/>
  <c r="AZ105" i="13"/>
  <c r="BA105" i="13"/>
  <c r="BB105" i="13"/>
  <c r="BC105" i="13"/>
  <c r="BD105" i="13"/>
  <c r="BE105" i="13"/>
  <c r="BF105" i="13"/>
  <c r="BG105" i="13"/>
  <c r="BH105" i="13"/>
  <c r="BI105" i="13"/>
  <c r="BJ105" i="13"/>
  <c r="BK105" i="13"/>
  <c r="BL105" i="13"/>
  <c r="BM105" i="13"/>
  <c r="BN105" i="13"/>
  <c r="BO105" i="13"/>
  <c r="BP105" i="13"/>
  <c r="BQ105" i="13"/>
  <c r="BR105" i="13"/>
  <c r="BS105" i="13"/>
  <c r="BT105" i="13"/>
  <c r="BU105" i="13"/>
  <c r="BV105" i="13"/>
  <c r="BW105" i="13"/>
  <c r="BX105" i="13"/>
  <c r="BY105" i="13"/>
  <c r="BZ105" i="13"/>
  <c r="CA105" i="13"/>
  <c r="CB105" i="13"/>
  <c r="CC105" i="13"/>
  <c r="CD105" i="13"/>
  <c r="CE105" i="13"/>
  <c r="CF105" i="13"/>
  <c r="CG105" i="13"/>
  <c r="CH105" i="13"/>
  <c r="CI105" i="13"/>
  <c r="CJ105" i="13"/>
  <c r="CK105" i="13"/>
  <c r="CK128" i="13" s="1"/>
  <c r="CL105" i="13"/>
  <c r="CM105" i="13"/>
  <c r="CN105" i="13"/>
  <c r="CO105" i="13"/>
  <c r="CP105" i="13"/>
  <c r="CQ105" i="13"/>
  <c r="CR105" i="13"/>
  <c r="CS105" i="13"/>
  <c r="CT105" i="13"/>
  <c r="CU105" i="13"/>
  <c r="CV105" i="13"/>
  <c r="CW105" i="13"/>
  <c r="D106" i="13"/>
  <c r="E106" i="13"/>
  <c r="F106" i="13"/>
  <c r="G106" i="13"/>
  <c r="G129" i="13" s="1"/>
  <c r="H106" i="13"/>
  <c r="I106" i="13"/>
  <c r="J106" i="13"/>
  <c r="K106" i="13"/>
  <c r="L106" i="13"/>
  <c r="M106" i="13"/>
  <c r="N106" i="13"/>
  <c r="O106" i="13"/>
  <c r="P106" i="13"/>
  <c r="Q106" i="13"/>
  <c r="Q129" i="13" s="1"/>
  <c r="R106" i="13"/>
  <c r="S106" i="13"/>
  <c r="T106" i="13"/>
  <c r="U106" i="13"/>
  <c r="V106" i="13"/>
  <c r="W106" i="13"/>
  <c r="W129" i="13" s="1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L106" i="13"/>
  <c r="AM106" i="13"/>
  <c r="AM129" i="13" s="1"/>
  <c r="AN106" i="13"/>
  <c r="AO106" i="13"/>
  <c r="AP106" i="13"/>
  <c r="AQ106" i="13"/>
  <c r="AR106" i="13"/>
  <c r="AS106" i="13"/>
  <c r="AT106" i="13"/>
  <c r="AU106" i="13"/>
  <c r="AV106" i="13"/>
  <c r="AW106" i="13"/>
  <c r="AX106" i="13"/>
  <c r="AY106" i="13"/>
  <c r="AZ106" i="13"/>
  <c r="BA106" i="13"/>
  <c r="BB106" i="13"/>
  <c r="BC106" i="13"/>
  <c r="BD106" i="13"/>
  <c r="BE106" i="13"/>
  <c r="BF106" i="13"/>
  <c r="BG106" i="13"/>
  <c r="BH106" i="13"/>
  <c r="BI106" i="13"/>
  <c r="BJ106" i="13"/>
  <c r="BK106" i="13"/>
  <c r="BL106" i="13"/>
  <c r="BM106" i="13"/>
  <c r="BN106" i="13"/>
  <c r="BO106" i="13"/>
  <c r="BP106" i="13"/>
  <c r="BQ106" i="13"/>
  <c r="BR106" i="13"/>
  <c r="BS106" i="13"/>
  <c r="BS129" i="13" s="1"/>
  <c r="BT106" i="13"/>
  <c r="BU106" i="13"/>
  <c r="BU129" i="13" s="1"/>
  <c r="BV106" i="13"/>
  <c r="BW106" i="13"/>
  <c r="BX106" i="13"/>
  <c r="BY106" i="13"/>
  <c r="BZ106" i="13"/>
  <c r="CA106" i="13"/>
  <c r="CB106" i="13"/>
  <c r="CC106" i="13"/>
  <c r="CD106" i="13"/>
  <c r="CE106" i="13"/>
  <c r="CF106" i="13"/>
  <c r="CG106" i="13"/>
  <c r="CH106" i="13"/>
  <c r="CI106" i="13"/>
  <c r="CI129" i="13" s="1"/>
  <c r="CJ106" i="13"/>
  <c r="CK106" i="13"/>
  <c r="CK129" i="13" s="1"/>
  <c r="CL106" i="13"/>
  <c r="CM106" i="13"/>
  <c r="CN106" i="13"/>
  <c r="CO106" i="13"/>
  <c r="CP106" i="13"/>
  <c r="CQ106" i="13"/>
  <c r="CR106" i="13"/>
  <c r="CS106" i="13"/>
  <c r="CT106" i="13"/>
  <c r="CU106" i="13"/>
  <c r="CV106" i="13"/>
  <c r="CW106" i="13"/>
  <c r="D107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C130" i="13" s="1"/>
  <c r="AD107" i="13"/>
  <c r="AE107" i="13"/>
  <c r="AF107" i="13"/>
  <c r="AG107" i="13"/>
  <c r="AH107" i="13"/>
  <c r="AI107" i="13"/>
  <c r="AJ107" i="13"/>
  <c r="AK107" i="13"/>
  <c r="AL107" i="13"/>
  <c r="AM107" i="13"/>
  <c r="AN107" i="13"/>
  <c r="AO107" i="13"/>
  <c r="AP107" i="13"/>
  <c r="AQ107" i="13"/>
  <c r="AR107" i="13"/>
  <c r="AS107" i="13"/>
  <c r="AS130" i="13" s="1"/>
  <c r="AT107" i="13"/>
  <c r="AU107" i="13"/>
  <c r="AV107" i="13"/>
  <c r="AW107" i="13"/>
  <c r="AX107" i="13"/>
  <c r="AY107" i="13"/>
  <c r="AZ107" i="13"/>
  <c r="BA107" i="13"/>
  <c r="BB107" i="13"/>
  <c r="BC107" i="13"/>
  <c r="BD107" i="13"/>
  <c r="BE107" i="13"/>
  <c r="BF107" i="13"/>
  <c r="BG107" i="13"/>
  <c r="BH107" i="13"/>
  <c r="BI107" i="13"/>
  <c r="BJ107" i="13"/>
  <c r="BK107" i="13"/>
  <c r="BL107" i="13"/>
  <c r="BM107" i="13"/>
  <c r="BN107" i="13"/>
  <c r="BO107" i="13"/>
  <c r="BP107" i="13"/>
  <c r="BQ107" i="13"/>
  <c r="BR107" i="13"/>
  <c r="BS107" i="13"/>
  <c r="BT107" i="13"/>
  <c r="BU107" i="13"/>
  <c r="BV107" i="13"/>
  <c r="BW107" i="13"/>
  <c r="BX107" i="13"/>
  <c r="BY107" i="13"/>
  <c r="BY130" i="13" s="1"/>
  <c r="BZ107" i="13"/>
  <c r="CA107" i="13"/>
  <c r="CA130" i="13" s="1"/>
  <c r="CB107" i="13"/>
  <c r="CC107" i="13"/>
  <c r="CD107" i="13"/>
  <c r="CE107" i="13"/>
  <c r="CF107" i="13"/>
  <c r="CG107" i="13"/>
  <c r="CH107" i="13"/>
  <c r="CI107" i="13"/>
  <c r="CJ107" i="13"/>
  <c r="CK107" i="13"/>
  <c r="CL107" i="13"/>
  <c r="CM107" i="13"/>
  <c r="CN107" i="13"/>
  <c r="CO107" i="13"/>
  <c r="CO130" i="13" s="1"/>
  <c r="CP107" i="13"/>
  <c r="CQ107" i="13"/>
  <c r="CQ130" i="13" s="1"/>
  <c r="CR107" i="13"/>
  <c r="CS107" i="13"/>
  <c r="CT107" i="13"/>
  <c r="CU107" i="13"/>
  <c r="CV107" i="13"/>
  <c r="CW107" i="13"/>
  <c r="D108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G131" i="13" s="1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AU108" i="13"/>
  <c r="AV108" i="13"/>
  <c r="AW108" i="13"/>
  <c r="AW131" i="13" s="1"/>
  <c r="AX108" i="13"/>
  <c r="AY108" i="13"/>
  <c r="AZ108" i="13"/>
  <c r="BA108" i="13"/>
  <c r="BB108" i="13"/>
  <c r="BC108" i="13"/>
  <c r="BD108" i="13"/>
  <c r="BE108" i="13"/>
  <c r="BF108" i="13"/>
  <c r="BG108" i="13"/>
  <c r="BH108" i="13"/>
  <c r="BI108" i="13"/>
  <c r="BJ108" i="13"/>
  <c r="BK108" i="13"/>
  <c r="BL108" i="13"/>
  <c r="BM108" i="13"/>
  <c r="BN108" i="13"/>
  <c r="BO108" i="13"/>
  <c r="BP108" i="13"/>
  <c r="BQ108" i="13"/>
  <c r="BR108" i="13"/>
  <c r="BS108" i="13"/>
  <c r="BT108" i="13"/>
  <c r="BU108" i="13"/>
  <c r="BV108" i="13"/>
  <c r="BW108" i="13"/>
  <c r="BX108" i="13"/>
  <c r="BY108" i="13"/>
  <c r="BZ108" i="13"/>
  <c r="CA108" i="13"/>
  <c r="CB108" i="13"/>
  <c r="CC108" i="13"/>
  <c r="CD108" i="13"/>
  <c r="CE108" i="13"/>
  <c r="CF108" i="13"/>
  <c r="CG108" i="13"/>
  <c r="CH108" i="13"/>
  <c r="CI108" i="13"/>
  <c r="CJ108" i="13"/>
  <c r="CK108" i="13"/>
  <c r="CK131" i="13" s="1"/>
  <c r="CL108" i="13"/>
  <c r="CM108" i="13"/>
  <c r="CN108" i="13"/>
  <c r="CO108" i="13"/>
  <c r="CP108" i="13"/>
  <c r="CQ108" i="13"/>
  <c r="CR108" i="13"/>
  <c r="CS108" i="13"/>
  <c r="CT108" i="13"/>
  <c r="CU108" i="13"/>
  <c r="CV108" i="13"/>
  <c r="CW108" i="13"/>
  <c r="D109" i="13"/>
  <c r="E109" i="13"/>
  <c r="F109" i="13"/>
  <c r="G109" i="13"/>
  <c r="G132" i="13" s="1"/>
  <c r="H109" i="13"/>
  <c r="I109" i="13"/>
  <c r="J109" i="13"/>
  <c r="K109" i="13"/>
  <c r="K132" i="13" s="1"/>
  <c r="L109" i="13"/>
  <c r="M109" i="13"/>
  <c r="N109" i="13"/>
  <c r="O109" i="13"/>
  <c r="O132" i="13" s="1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AU109" i="13"/>
  <c r="AV109" i="13"/>
  <c r="AW109" i="13"/>
  <c r="AX109" i="13"/>
  <c r="AY109" i="13"/>
  <c r="AZ109" i="13"/>
  <c r="BA109" i="13"/>
  <c r="BB109" i="13"/>
  <c r="BC109" i="13"/>
  <c r="BD109" i="13"/>
  <c r="BE109" i="13"/>
  <c r="BF109" i="13"/>
  <c r="BG109" i="13"/>
  <c r="BH109" i="13"/>
  <c r="BI109" i="13"/>
  <c r="BJ109" i="13"/>
  <c r="BK109" i="13"/>
  <c r="BK132" i="13" s="1"/>
  <c r="BL109" i="13"/>
  <c r="BM109" i="13"/>
  <c r="BN109" i="13"/>
  <c r="BO109" i="13"/>
  <c r="BP109" i="13"/>
  <c r="BQ109" i="13"/>
  <c r="BR109" i="13"/>
  <c r="BS109" i="13"/>
  <c r="BT109" i="13"/>
  <c r="BU109" i="13"/>
  <c r="BV109" i="13"/>
  <c r="BW109" i="13"/>
  <c r="BX109" i="13"/>
  <c r="BY109" i="13"/>
  <c r="BZ109" i="13"/>
  <c r="CA109" i="13"/>
  <c r="CB109" i="13"/>
  <c r="CC109" i="13"/>
  <c r="CD109" i="13"/>
  <c r="CE109" i="13"/>
  <c r="CF109" i="13"/>
  <c r="CG109" i="13"/>
  <c r="CH109" i="13"/>
  <c r="CI109" i="13"/>
  <c r="CJ109" i="13"/>
  <c r="CK109" i="13"/>
  <c r="CL109" i="13"/>
  <c r="CM109" i="13"/>
  <c r="CN109" i="13"/>
  <c r="CO109" i="13"/>
  <c r="CP109" i="13"/>
  <c r="CQ109" i="13"/>
  <c r="CR109" i="13"/>
  <c r="CS109" i="13"/>
  <c r="CT109" i="13"/>
  <c r="CU109" i="13"/>
  <c r="CV109" i="13"/>
  <c r="CW109" i="13"/>
  <c r="D110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K133" i="13" s="1"/>
  <c r="AL110" i="13"/>
  <c r="AM110" i="13"/>
  <c r="AM133" i="13" s="1"/>
  <c r="AN110" i="13"/>
  <c r="AO110" i="13"/>
  <c r="AP110" i="13"/>
  <c r="AQ110" i="13"/>
  <c r="AR110" i="13"/>
  <c r="AS110" i="13"/>
  <c r="AT110" i="13"/>
  <c r="AT133" i="13" s="1"/>
  <c r="AU110" i="13"/>
  <c r="AV110" i="13"/>
  <c r="AW110" i="13"/>
  <c r="AX110" i="13"/>
  <c r="AY110" i="13"/>
  <c r="AZ110" i="13"/>
  <c r="BA110" i="13"/>
  <c r="BB110" i="13"/>
  <c r="BC110" i="13"/>
  <c r="BC133" i="13" s="1"/>
  <c r="BD110" i="13"/>
  <c r="BE110" i="13"/>
  <c r="BF110" i="13"/>
  <c r="BG110" i="13"/>
  <c r="BH110" i="13"/>
  <c r="BI110" i="13"/>
  <c r="BJ110" i="13"/>
  <c r="BK110" i="13"/>
  <c r="BL110" i="13"/>
  <c r="BM110" i="13"/>
  <c r="BM133" i="13" s="1"/>
  <c r="BN110" i="13"/>
  <c r="BO110" i="13"/>
  <c r="BP110" i="13"/>
  <c r="BQ110" i="13"/>
  <c r="BR110" i="13"/>
  <c r="BS110" i="13"/>
  <c r="BT110" i="13"/>
  <c r="BU110" i="13"/>
  <c r="BV110" i="13"/>
  <c r="BW110" i="13"/>
  <c r="BX110" i="13"/>
  <c r="BY110" i="13"/>
  <c r="BZ110" i="13"/>
  <c r="CA110" i="13"/>
  <c r="CB110" i="13"/>
  <c r="CC110" i="13"/>
  <c r="CD110" i="13"/>
  <c r="CE110" i="13"/>
  <c r="CF110" i="13"/>
  <c r="CG110" i="13"/>
  <c r="CH110" i="13"/>
  <c r="CI110" i="13"/>
  <c r="CJ110" i="13"/>
  <c r="CK110" i="13"/>
  <c r="CL110" i="13"/>
  <c r="CM110" i="13"/>
  <c r="CN110" i="13"/>
  <c r="CO110" i="13"/>
  <c r="CP110" i="13"/>
  <c r="CQ110" i="13"/>
  <c r="CR110" i="13"/>
  <c r="CS110" i="13"/>
  <c r="CT110" i="13"/>
  <c r="CU110" i="13"/>
  <c r="CV110" i="13"/>
  <c r="CW110" i="13"/>
  <c r="D111" i="13"/>
  <c r="E111" i="13"/>
  <c r="F111" i="13"/>
  <c r="G111" i="13"/>
  <c r="H111" i="13"/>
  <c r="I111" i="13"/>
  <c r="J111" i="13"/>
  <c r="K111" i="13"/>
  <c r="L111" i="13"/>
  <c r="M111" i="13"/>
  <c r="M134" i="13" s="1"/>
  <c r="N111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AU111" i="13"/>
  <c r="AV111" i="13"/>
  <c r="AW111" i="13"/>
  <c r="AX111" i="13"/>
  <c r="AY111" i="13"/>
  <c r="AZ111" i="13"/>
  <c r="BA111" i="13"/>
  <c r="BB111" i="13"/>
  <c r="BC111" i="13"/>
  <c r="BD111" i="13"/>
  <c r="BE111" i="13"/>
  <c r="BF111" i="13"/>
  <c r="BG111" i="13"/>
  <c r="BG134" i="13" s="1"/>
  <c r="BH111" i="13"/>
  <c r="BI111" i="13"/>
  <c r="BJ111" i="13"/>
  <c r="BK111" i="13"/>
  <c r="BL111" i="13"/>
  <c r="BM111" i="13"/>
  <c r="BN111" i="13"/>
  <c r="BO111" i="13"/>
  <c r="BP111" i="13"/>
  <c r="BQ111" i="13"/>
  <c r="BQ134" i="13" s="1"/>
  <c r="BR111" i="13"/>
  <c r="BS111" i="13"/>
  <c r="BT111" i="13"/>
  <c r="BU111" i="13"/>
  <c r="BV111" i="13"/>
  <c r="BW111" i="13"/>
  <c r="BX111" i="13"/>
  <c r="BY111" i="13"/>
  <c r="BZ111" i="13"/>
  <c r="CA111" i="13"/>
  <c r="CB111" i="13"/>
  <c r="CC111" i="13"/>
  <c r="CD111" i="13"/>
  <c r="CE111" i="13"/>
  <c r="CF111" i="13"/>
  <c r="CF134" i="13" s="1"/>
  <c r="CG111" i="13"/>
  <c r="CG134" i="13" s="1"/>
  <c r="CH111" i="13"/>
  <c r="CI111" i="13"/>
  <c r="CJ111" i="13"/>
  <c r="CK111" i="13"/>
  <c r="CL111" i="13"/>
  <c r="CM111" i="13"/>
  <c r="CN111" i="13"/>
  <c r="CN134" i="13" s="1"/>
  <c r="CO111" i="13"/>
  <c r="CP111" i="13"/>
  <c r="CQ111" i="13"/>
  <c r="CR111" i="13"/>
  <c r="CS111" i="13"/>
  <c r="CT111" i="13"/>
  <c r="CU111" i="13"/>
  <c r="CV111" i="13"/>
  <c r="CW111" i="13"/>
  <c r="AO161" i="13" s="1"/>
  <c r="AO187" i="13" s="1"/>
  <c r="D112" i="13"/>
  <c r="E112" i="13"/>
  <c r="F112" i="13"/>
  <c r="G112" i="13"/>
  <c r="H112" i="13"/>
  <c r="I112" i="13"/>
  <c r="J112" i="13"/>
  <c r="K112" i="13"/>
  <c r="K135" i="13" s="1"/>
  <c r="L112" i="13"/>
  <c r="M112" i="13"/>
  <c r="N112" i="13"/>
  <c r="O112" i="13"/>
  <c r="P112" i="13"/>
  <c r="Q112" i="13"/>
  <c r="R112" i="13"/>
  <c r="S112" i="13"/>
  <c r="S135" i="13" s="1"/>
  <c r="T112" i="13"/>
  <c r="U112" i="13"/>
  <c r="V112" i="13"/>
  <c r="W112" i="13"/>
  <c r="X112" i="13"/>
  <c r="Y112" i="13"/>
  <c r="Z112" i="13"/>
  <c r="AA112" i="13"/>
  <c r="AA135" i="13" s="1"/>
  <c r="AB112" i="13"/>
  <c r="AC112" i="13"/>
  <c r="AD112" i="13"/>
  <c r="AE112" i="13"/>
  <c r="AF112" i="13"/>
  <c r="AG112" i="13"/>
  <c r="AH112" i="13"/>
  <c r="AI112" i="13"/>
  <c r="AI135" i="13" s="1"/>
  <c r="AJ112" i="13"/>
  <c r="AK112" i="13"/>
  <c r="AL112" i="13"/>
  <c r="AM112" i="13"/>
  <c r="AN112" i="13"/>
  <c r="AO112" i="13"/>
  <c r="AP112" i="13"/>
  <c r="AQ112" i="13"/>
  <c r="AQ135" i="13" s="1"/>
  <c r="AR112" i="13"/>
  <c r="AS112" i="13"/>
  <c r="AT112" i="13"/>
  <c r="AU112" i="13"/>
  <c r="AV112" i="13"/>
  <c r="AW112" i="13"/>
  <c r="AX112" i="13"/>
  <c r="AY112" i="13"/>
  <c r="AY135" i="13" s="1"/>
  <c r="AZ112" i="13"/>
  <c r="BA112" i="13"/>
  <c r="BA135" i="13" s="1"/>
  <c r="BB112" i="13"/>
  <c r="BC112" i="13"/>
  <c r="BD112" i="13"/>
  <c r="BE112" i="13"/>
  <c r="BF112" i="13"/>
  <c r="BG112" i="13"/>
  <c r="BG135" i="13" s="1"/>
  <c r="BH112" i="13"/>
  <c r="BI112" i="13"/>
  <c r="BJ112" i="13"/>
  <c r="BK112" i="13"/>
  <c r="BL112" i="13"/>
  <c r="BM112" i="13"/>
  <c r="BN112" i="13"/>
  <c r="BO112" i="13"/>
  <c r="BO135" i="13" s="1"/>
  <c r="BP112" i="13"/>
  <c r="BQ112" i="13"/>
  <c r="BR112" i="13"/>
  <c r="BS112" i="13"/>
  <c r="BT112" i="13"/>
  <c r="BU112" i="13"/>
  <c r="BV112" i="13"/>
  <c r="BW112" i="13"/>
  <c r="BW135" i="13" s="1"/>
  <c r="BX112" i="13"/>
  <c r="BY112" i="13"/>
  <c r="BZ112" i="13"/>
  <c r="CA112" i="13"/>
  <c r="CB112" i="13"/>
  <c r="CC112" i="13"/>
  <c r="CD112" i="13"/>
  <c r="CE112" i="13"/>
  <c r="CE135" i="13" s="1"/>
  <c r="CF112" i="13"/>
  <c r="CG112" i="13"/>
  <c r="CH112" i="13"/>
  <c r="CI112" i="13"/>
  <c r="CJ112" i="13"/>
  <c r="CK112" i="13"/>
  <c r="CL112" i="13"/>
  <c r="CM112" i="13"/>
  <c r="CM135" i="13" s="1"/>
  <c r="CN112" i="13"/>
  <c r="CO112" i="13"/>
  <c r="CP112" i="13"/>
  <c r="CQ112" i="13"/>
  <c r="CR112" i="13"/>
  <c r="CS112" i="13"/>
  <c r="CT112" i="13"/>
  <c r="CU112" i="13"/>
  <c r="CU135" i="13" s="1"/>
  <c r="CV112" i="13"/>
  <c r="CW112" i="13"/>
  <c r="D113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AU113" i="13"/>
  <c r="AV113" i="13"/>
  <c r="AW113" i="13"/>
  <c r="AX113" i="13"/>
  <c r="AY113" i="13"/>
  <c r="AZ113" i="13"/>
  <c r="BA113" i="13"/>
  <c r="BB113" i="13"/>
  <c r="BC113" i="13"/>
  <c r="BD113" i="13"/>
  <c r="BE113" i="13"/>
  <c r="BF113" i="13"/>
  <c r="BG113" i="13"/>
  <c r="BH113" i="13"/>
  <c r="BI113" i="13"/>
  <c r="BJ113" i="13"/>
  <c r="BK113" i="13"/>
  <c r="BL113" i="13"/>
  <c r="BM113" i="13"/>
  <c r="BN113" i="13"/>
  <c r="BO113" i="13"/>
  <c r="BP113" i="13"/>
  <c r="BQ113" i="13"/>
  <c r="BR113" i="13"/>
  <c r="BS113" i="13"/>
  <c r="BT113" i="13"/>
  <c r="BU113" i="13"/>
  <c r="BV113" i="13"/>
  <c r="BW113" i="13"/>
  <c r="BX113" i="13"/>
  <c r="BY113" i="13"/>
  <c r="BZ113" i="13"/>
  <c r="CA113" i="13"/>
  <c r="CB113" i="13"/>
  <c r="CC113" i="13"/>
  <c r="CD113" i="13"/>
  <c r="CE113" i="13"/>
  <c r="CF113" i="13"/>
  <c r="CG113" i="13"/>
  <c r="CH113" i="13"/>
  <c r="CI113" i="13"/>
  <c r="CJ113" i="13"/>
  <c r="CK113" i="13"/>
  <c r="CL113" i="13"/>
  <c r="CM113" i="13"/>
  <c r="CN113" i="13"/>
  <c r="CO113" i="13"/>
  <c r="CP113" i="13"/>
  <c r="CQ113" i="13"/>
  <c r="CR113" i="13"/>
  <c r="CS113" i="13"/>
  <c r="CT113" i="13"/>
  <c r="CU113" i="13"/>
  <c r="CV113" i="13"/>
  <c r="CW113" i="13"/>
  <c r="D114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Q137" i="13" s="1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AU114" i="13"/>
  <c r="AV114" i="13"/>
  <c r="AW114" i="13"/>
  <c r="AX114" i="13"/>
  <c r="AY114" i="13"/>
  <c r="AZ114" i="13"/>
  <c r="BA114" i="13"/>
  <c r="BB114" i="13"/>
  <c r="BC114" i="13"/>
  <c r="BD114" i="13"/>
  <c r="BE114" i="13"/>
  <c r="BE137" i="13" s="1"/>
  <c r="BF114" i="13"/>
  <c r="BG114" i="13"/>
  <c r="BH114" i="13"/>
  <c r="BI114" i="13"/>
  <c r="BJ114" i="13"/>
  <c r="BK114" i="13"/>
  <c r="BL114" i="13"/>
  <c r="BM114" i="13"/>
  <c r="BM137" i="13" s="1"/>
  <c r="BN114" i="13"/>
  <c r="BO114" i="13"/>
  <c r="BP114" i="13"/>
  <c r="BQ114" i="13"/>
  <c r="BR114" i="13"/>
  <c r="BS114" i="13"/>
  <c r="BT114" i="13"/>
  <c r="BU114" i="13"/>
  <c r="BV114" i="13"/>
  <c r="BW114" i="13"/>
  <c r="BX114" i="13"/>
  <c r="BY114" i="13"/>
  <c r="BZ114" i="13"/>
  <c r="CA114" i="13"/>
  <c r="CB114" i="13"/>
  <c r="CC114" i="13"/>
  <c r="CC137" i="13" s="1"/>
  <c r="CD114" i="13"/>
  <c r="CE114" i="13"/>
  <c r="CF114" i="13"/>
  <c r="CG114" i="13"/>
  <c r="CH114" i="13"/>
  <c r="CI114" i="13"/>
  <c r="CJ114" i="13"/>
  <c r="CK114" i="13"/>
  <c r="CL114" i="13"/>
  <c r="CM114" i="13"/>
  <c r="CN114" i="13"/>
  <c r="CO114" i="13"/>
  <c r="CO137" i="13" s="1"/>
  <c r="CP114" i="13"/>
  <c r="CQ114" i="13"/>
  <c r="CR114" i="13"/>
  <c r="CS114" i="13"/>
  <c r="CT114" i="13"/>
  <c r="CU114" i="13"/>
  <c r="CV114" i="13"/>
  <c r="CW114" i="13"/>
  <c r="AR115" i="13"/>
  <c r="AS115" i="13"/>
  <c r="AT115" i="13"/>
  <c r="AU115" i="13"/>
  <c r="AV115" i="13"/>
  <c r="AW115" i="13"/>
  <c r="AX115" i="13"/>
  <c r="AY115" i="13"/>
  <c r="AZ115" i="13"/>
  <c r="BA115" i="13"/>
  <c r="BB115" i="13"/>
  <c r="BC115" i="13"/>
  <c r="BD115" i="13"/>
  <c r="BE115" i="13"/>
  <c r="BF115" i="13"/>
  <c r="BG115" i="13"/>
  <c r="BH115" i="13"/>
  <c r="BI115" i="13"/>
  <c r="BJ115" i="13"/>
  <c r="BK115" i="13"/>
  <c r="BL115" i="13"/>
  <c r="BM115" i="13"/>
  <c r="BN115" i="13"/>
  <c r="BO115" i="13"/>
  <c r="BP115" i="13"/>
  <c r="BQ115" i="13"/>
  <c r="BR115" i="13"/>
  <c r="BS115" i="13"/>
  <c r="BT115" i="13"/>
  <c r="BU115" i="13"/>
  <c r="BV115" i="13"/>
  <c r="BW115" i="13"/>
  <c r="BX115" i="13"/>
  <c r="BY115" i="13"/>
  <c r="BZ115" i="13"/>
  <c r="CA115" i="13"/>
  <c r="CB115" i="13"/>
  <c r="CC115" i="13"/>
  <c r="CD115" i="13"/>
  <c r="CE115" i="13"/>
  <c r="CF115" i="13"/>
  <c r="CG115" i="13"/>
  <c r="CH115" i="13"/>
  <c r="CI115" i="13"/>
  <c r="CJ115" i="13"/>
  <c r="CK115" i="13"/>
  <c r="CL115" i="13"/>
  <c r="CM115" i="13"/>
  <c r="CN115" i="13"/>
  <c r="CO115" i="13"/>
  <c r="CP115" i="13"/>
  <c r="CQ115" i="13"/>
  <c r="CR115" i="13"/>
  <c r="CS115" i="13"/>
  <c r="CT115" i="13"/>
  <c r="CU115" i="13"/>
  <c r="CV115" i="13"/>
  <c r="CW115" i="13"/>
  <c r="E120" i="13"/>
  <c r="F120" i="13"/>
  <c r="J120" i="13"/>
  <c r="L120" i="13"/>
  <c r="M120" i="13"/>
  <c r="N120" i="13"/>
  <c r="R120" i="13"/>
  <c r="R173" i="13" s="1"/>
  <c r="T120" i="13"/>
  <c r="U120" i="13"/>
  <c r="V120" i="13"/>
  <c r="Z120" i="13"/>
  <c r="AB120" i="13"/>
  <c r="AC120" i="13"/>
  <c r="AC173" i="13" s="1"/>
  <c r="AD120" i="13"/>
  <c r="AH120" i="13"/>
  <c r="AH173" i="13" s="1"/>
  <c r="AJ120" i="13"/>
  <c r="AK120" i="13"/>
  <c r="AL120" i="13"/>
  <c r="AP120" i="13"/>
  <c r="AR120" i="13"/>
  <c r="AS120" i="13"/>
  <c r="AT120" i="13"/>
  <c r="AX120" i="13"/>
  <c r="AZ120" i="13"/>
  <c r="BA120" i="13"/>
  <c r="BB120" i="13"/>
  <c r="BF120" i="13"/>
  <c r="BH120" i="13"/>
  <c r="BI120" i="13"/>
  <c r="BJ120" i="13"/>
  <c r="BN120" i="13"/>
  <c r="BP120" i="13"/>
  <c r="BQ120" i="13"/>
  <c r="BR120" i="13"/>
  <c r="BV120" i="13"/>
  <c r="BX120" i="13"/>
  <c r="BY120" i="13"/>
  <c r="BZ120" i="13"/>
  <c r="CD120" i="13"/>
  <c r="CF120" i="13"/>
  <c r="CG120" i="13"/>
  <c r="CH120" i="13"/>
  <c r="CL120" i="13"/>
  <c r="CN120" i="13"/>
  <c r="CO120" i="13"/>
  <c r="CP120" i="13"/>
  <c r="CS120" i="13"/>
  <c r="CT120" i="13"/>
  <c r="CV120" i="13"/>
  <c r="CW120" i="13"/>
  <c r="D121" i="13"/>
  <c r="H121" i="13"/>
  <c r="J121" i="13"/>
  <c r="K121" i="13"/>
  <c r="L121" i="13"/>
  <c r="P121" i="13"/>
  <c r="R121" i="13"/>
  <c r="S121" i="13"/>
  <c r="T121" i="13"/>
  <c r="W121" i="13"/>
  <c r="X121" i="13"/>
  <c r="AA121" i="13"/>
  <c r="AB121" i="13"/>
  <c r="AF121" i="13"/>
  <c r="AH121" i="13"/>
  <c r="AI121" i="13"/>
  <c r="AJ121" i="13"/>
  <c r="AN121" i="13"/>
  <c r="AP121" i="13"/>
  <c r="AQ121" i="13"/>
  <c r="AR121" i="13"/>
  <c r="AV121" i="13"/>
  <c r="AX121" i="13"/>
  <c r="AY121" i="13"/>
  <c r="AZ121" i="13"/>
  <c r="BD121" i="13"/>
  <c r="BF121" i="13"/>
  <c r="BG121" i="13"/>
  <c r="BH121" i="13"/>
  <c r="BL121" i="13"/>
  <c r="BN121" i="13"/>
  <c r="BO121" i="13"/>
  <c r="BP121" i="13"/>
  <c r="BT121" i="13"/>
  <c r="BV121" i="13"/>
  <c r="BW121" i="13"/>
  <c r="BX121" i="13"/>
  <c r="CB121" i="13"/>
  <c r="CD121" i="13"/>
  <c r="CE121" i="13"/>
  <c r="CF121" i="13"/>
  <c r="CJ121" i="13"/>
  <c r="CL121" i="13"/>
  <c r="CM121" i="13"/>
  <c r="CN121" i="13"/>
  <c r="CR121" i="13"/>
  <c r="CT121" i="13"/>
  <c r="CU121" i="13"/>
  <c r="CV121" i="13"/>
  <c r="F122" i="13"/>
  <c r="H122" i="13"/>
  <c r="I122" i="13"/>
  <c r="J122" i="13"/>
  <c r="N122" i="13"/>
  <c r="P122" i="13"/>
  <c r="Q122" i="13"/>
  <c r="R122" i="13"/>
  <c r="V122" i="13"/>
  <c r="X122" i="13"/>
  <c r="Y122" i="13"/>
  <c r="Z122" i="13"/>
  <c r="AD122" i="13"/>
  <c r="AF122" i="13"/>
  <c r="AG122" i="13"/>
  <c r="AH122" i="13"/>
  <c r="AL122" i="13"/>
  <c r="AN122" i="13"/>
  <c r="AO122" i="13"/>
  <c r="AP122" i="13"/>
  <c r="AT122" i="13"/>
  <c r="AV122" i="13"/>
  <c r="AW122" i="13"/>
  <c r="AX122" i="13"/>
  <c r="BB122" i="13"/>
  <c r="BD122" i="13"/>
  <c r="BE122" i="13"/>
  <c r="BF122" i="13"/>
  <c r="BJ122" i="13"/>
  <c r="BL122" i="13"/>
  <c r="BM122" i="13"/>
  <c r="BN122" i="13"/>
  <c r="BR122" i="13"/>
  <c r="BT122" i="13"/>
  <c r="BU122" i="13"/>
  <c r="BV122" i="13"/>
  <c r="BZ122" i="13"/>
  <c r="CB122" i="13"/>
  <c r="CC122" i="13"/>
  <c r="CD122" i="13"/>
  <c r="CH122" i="13"/>
  <c r="CJ122" i="13"/>
  <c r="CK122" i="13"/>
  <c r="CL122" i="13"/>
  <c r="CP122" i="13"/>
  <c r="CR122" i="13"/>
  <c r="CS122" i="13"/>
  <c r="CT122" i="13"/>
  <c r="D123" i="13"/>
  <c r="F123" i="13"/>
  <c r="G123" i="13"/>
  <c r="H123" i="13"/>
  <c r="K123" i="13"/>
  <c r="L123" i="13"/>
  <c r="O123" i="13"/>
  <c r="P123" i="13"/>
  <c r="T123" i="13"/>
  <c r="V123" i="13"/>
  <c r="W123" i="13"/>
  <c r="X123" i="13"/>
  <c r="AB123" i="13"/>
  <c r="AD123" i="13"/>
  <c r="AE123" i="13"/>
  <c r="AF123" i="13"/>
  <c r="AJ123" i="13"/>
  <c r="AL123" i="13"/>
  <c r="AM123" i="13"/>
  <c r="AN123" i="13"/>
  <c r="AR123" i="13"/>
  <c r="AT123" i="13"/>
  <c r="AU123" i="13"/>
  <c r="AV123" i="13"/>
  <c r="AZ123" i="13"/>
  <c r="BB123" i="13"/>
  <c r="BC123" i="13"/>
  <c r="BD123" i="13"/>
  <c r="BH123" i="13"/>
  <c r="BJ123" i="13"/>
  <c r="BK123" i="13"/>
  <c r="BL123" i="13"/>
  <c r="BP123" i="13"/>
  <c r="BR123" i="13"/>
  <c r="BS123" i="13"/>
  <c r="BT123" i="13"/>
  <c r="BX123" i="13"/>
  <c r="BZ123" i="13"/>
  <c r="CA123" i="13"/>
  <c r="CB123" i="13"/>
  <c r="CF123" i="13"/>
  <c r="CH123" i="13"/>
  <c r="CI123" i="13"/>
  <c r="CJ123" i="13"/>
  <c r="CN123" i="13"/>
  <c r="CP123" i="13"/>
  <c r="CQ123" i="13"/>
  <c r="CR123" i="13"/>
  <c r="CV123" i="13"/>
  <c r="D124" i="13"/>
  <c r="E124" i="13"/>
  <c r="F124" i="13"/>
  <c r="J124" i="13"/>
  <c r="L124" i="13"/>
  <c r="M124" i="13"/>
  <c r="N124" i="13"/>
  <c r="N177" i="13" s="1"/>
  <c r="R124" i="13"/>
  <c r="T124" i="13"/>
  <c r="U124" i="13"/>
  <c r="V124" i="13"/>
  <c r="Z124" i="13"/>
  <c r="AB124" i="13"/>
  <c r="AC124" i="13"/>
  <c r="AD124" i="13"/>
  <c r="AH124" i="13"/>
  <c r="AJ124" i="13"/>
  <c r="AK124" i="13"/>
  <c r="AL124" i="13"/>
  <c r="AP124" i="13"/>
  <c r="AR124" i="13"/>
  <c r="AS124" i="13"/>
  <c r="AT124" i="13"/>
  <c r="AX124" i="13"/>
  <c r="AZ124" i="13"/>
  <c r="BA124" i="13"/>
  <c r="BB124" i="13"/>
  <c r="BF124" i="13"/>
  <c r="BH124" i="13"/>
  <c r="BI124" i="13"/>
  <c r="BJ124" i="13"/>
  <c r="BJ177" i="13" s="1"/>
  <c r="BN124" i="13"/>
  <c r="BP124" i="13"/>
  <c r="BQ124" i="13"/>
  <c r="BR124" i="13"/>
  <c r="BV124" i="13"/>
  <c r="BX124" i="13"/>
  <c r="BY124" i="13"/>
  <c r="BZ124" i="13"/>
  <c r="CD124" i="13"/>
  <c r="CF124" i="13"/>
  <c r="CG124" i="13"/>
  <c r="CH124" i="13"/>
  <c r="CL124" i="13"/>
  <c r="CN124" i="13"/>
  <c r="CO124" i="13"/>
  <c r="CP124" i="13"/>
  <c r="CP177" i="13" s="1"/>
  <c r="CT124" i="13"/>
  <c r="CV124" i="13"/>
  <c r="CW124" i="13"/>
  <c r="D125" i="13"/>
  <c r="H125" i="13"/>
  <c r="J125" i="13"/>
  <c r="K125" i="13"/>
  <c r="L125" i="13"/>
  <c r="P125" i="13"/>
  <c r="R125" i="13"/>
  <c r="S125" i="13"/>
  <c r="T125" i="13"/>
  <c r="X125" i="13"/>
  <c r="Z125" i="13"/>
  <c r="AA125" i="13"/>
  <c r="AB125" i="13"/>
  <c r="AF125" i="13"/>
  <c r="AH125" i="13"/>
  <c r="AI125" i="13"/>
  <c r="AJ125" i="13"/>
  <c r="AN125" i="13"/>
  <c r="AP125" i="13"/>
  <c r="AQ125" i="13"/>
  <c r="AR125" i="13"/>
  <c r="AV125" i="13"/>
  <c r="AX125" i="13"/>
  <c r="AY125" i="13"/>
  <c r="AZ125" i="13"/>
  <c r="BD125" i="13"/>
  <c r="BF125" i="13"/>
  <c r="BG125" i="13"/>
  <c r="BH125" i="13"/>
  <c r="BL125" i="13"/>
  <c r="BN125" i="13"/>
  <c r="BO125" i="13"/>
  <c r="BP125" i="13"/>
  <c r="BT125" i="13"/>
  <c r="BV125" i="13"/>
  <c r="BW125" i="13"/>
  <c r="BX125" i="13"/>
  <c r="CB125" i="13"/>
  <c r="CD125" i="13"/>
  <c r="CE125" i="13"/>
  <c r="CF125" i="13"/>
  <c r="CJ125" i="13"/>
  <c r="CL125" i="13"/>
  <c r="CM125" i="13"/>
  <c r="CN125" i="13"/>
  <c r="CR125" i="13"/>
  <c r="CT125" i="13"/>
  <c r="CU125" i="13"/>
  <c r="CV125" i="13"/>
  <c r="F126" i="13"/>
  <c r="H126" i="13"/>
  <c r="I126" i="13"/>
  <c r="J126" i="13"/>
  <c r="N126" i="13"/>
  <c r="P126" i="13"/>
  <c r="Q126" i="13"/>
  <c r="R126" i="13"/>
  <c r="V126" i="13"/>
  <c r="X126" i="13"/>
  <c r="Y126" i="13"/>
  <c r="Z126" i="13"/>
  <c r="AD126" i="13"/>
  <c r="AF126" i="13"/>
  <c r="AG126" i="13"/>
  <c r="AH126" i="13"/>
  <c r="AL126" i="13"/>
  <c r="AN126" i="13"/>
  <c r="AO126" i="13"/>
  <c r="AP126" i="13"/>
  <c r="AT126" i="13"/>
  <c r="AV126" i="13"/>
  <c r="AW126" i="13"/>
  <c r="AX126" i="13"/>
  <c r="BB126" i="13"/>
  <c r="BD126" i="13"/>
  <c r="BE126" i="13"/>
  <c r="BF126" i="13"/>
  <c r="BI126" i="13"/>
  <c r="BJ126" i="13"/>
  <c r="BL126" i="13"/>
  <c r="BM126" i="13"/>
  <c r="BN126" i="13"/>
  <c r="BR126" i="13"/>
  <c r="BT126" i="13"/>
  <c r="BU126" i="13"/>
  <c r="BV126" i="13"/>
  <c r="BZ126" i="13"/>
  <c r="CB126" i="13"/>
  <c r="CC126" i="13"/>
  <c r="CD126" i="13"/>
  <c r="CH126" i="13"/>
  <c r="CJ126" i="13"/>
  <c r="CK126" i="13"/>
  <c r="CL126" i="13"/>
  <c r="CP126" i="13"/>
  <c r="CR126" i="13"/>
  <c r="CS126" i="13"/>
  <c r="CT126" i="13"/>
  <c r="D127" i="13"/>
  <c r="F127" i="13"/>
  <c r="G127" i="13"/>
  <c r="H127" i="13"/>
  <c r="L127" i="13"/>
  <c r="N127" i="13"/>
  <c r="O127" i="13"/>
  <c r="P127" i="13"/>
  <c r="T127" i="13"/>
  <c r="V127" i="13"/>
  <c r="W127" i="13"/>
  <c r="X127" i="13"/>
  <c r="AB127" i="13"/>
  <c r="AD127" i="13"/>
  <c r="AE127" i="13"/>
  <c r="AF127" i="13"/>
  <c r="AJ127" i="13"/>
  <c r="AL127" i="13"/>
  <c r="AM127" i="13"/>
  <c r="AN127" i="13"/>
  <c r="AR127" i="13"/>
  <c r="AT127" i="13"/>
  <c r="AU127" i="13"/>
  <c r="AV127" i="13"/>
  <c r="AZ127" i="13"/>
  <c r="BB127" i="13"/>
  <c r="BC127" i="13"/>
  <c r="BD127" i="13"/>
  <c r="BH127" i="13"/>
  <c r="BJ127" i="13"/>
  <c r="BK127" i="13"/>
  <c r="BL127" i="13"/>
  <c r="BP127" i="13"/>
  <c r="BR127" i="13"/>
  <c r="BS127" i="13"/>
  <c r="BT127" i="13"/>
  <c r="BX127" i="13"/>
  <c r="BZ127" i="13"/>
  <c r="CA127" i="13"/>
  <c r="CB127" i="13"/>
  <c r="CF127" i="13"/>
  <c r="CH127" i="13"/>
  <c r="CI127" i="13"/>
  <c r="CJ127" i="13"/>
  <c r="CN127" i="13"/>
  <c r="CP127" i="13"/>
  <c r="CQ127" i="13"/>
  <c r="CR127" i="13"/>
  <c r="CV127" i="13"/>
  <c r="D128" i="13"/>
  <c r="E128" i="13"/>
  <c r="F128" i="13"/>
  <c r="J128" i="13"/>
  <c r="L128" i="13"/>
  <c r="M128" i="13"/>
  <c r="N128" i="13"/>
  <c r="R128" i="13"/>
  <c r="T128" i="13"/>
  <c r="U128" i="13"/>
  <c r="V128" i="13"/>
  <c r="Z128" i="13"/>
  <c r="AB128" i="13"/>
  <c r="AC128" i="13"/>
  <c r="AD128" i="13"/>
  <c r="AH128" i="13"/>
  <c r="AJ128" i="13"/>
  <c r="AK128" i="13"/>
  <c r="AL128" i="13"/>
  <c r="AP128" i="13"/>
  <c r="AP181" i="13" s="1"/>
  <c r="AR128" i="13"/>
  <c r="AS128" i="13"/>
  <c r="AT128" i="13"/>
  <c r="AX128" i="13"/>
  <c r="AZ128" i="13"/>
  <c r="BA128" i="13"/>
  <c r="BB128" i="13"/>
  <c r="BF128" i="13"/>
  <c r="BF181" i="13" s="1"/>
  <c r="BH128" i="13"/>
  <c r="BI128" i="13"/>
  <c r="BJ128" i="13"/>
  <c r="BN128" i="13"/>
  <c r="BP128" i="13"/>
  <c r="BQ128" i="13"/>
  <c r="BR128" i="13"/>
  <c r="BV128" i="13"/>
  <c r="BV181" i="13" s="1"/>
  <c r="BX128" i="13"/>
  <c r="BY128" i="13"/>
  <c r="BZ128" i="13"/>
  <c r="CD128" i="13"/>
  <c r="CF128" i="13"/>
  <c r="CG128" i="13"/>
  <c r="CH128" i="13"/>
  <c r="CL128" i="13"/>
  <c r="CL181" i="13" s="1"/>
  <c r="CN128" i="13"/>
  <c r="CO128" i="13"/>
  <c r="CP128" i="13"/>
  <c r="CT128" i="13"/>
  <c r="CV128" i="13"/>
  <c r="CW128" i="13"/>
  <c r="D129" i="13"/>
  <c r="H129" i="13"/>
  <c r="J129" i="13"/>
  <c r="K129" i="13"/>
  <c r="L129" i="13"/>
  <c r="P129" i="13"/>
  <c r="R129" i="13"/>
  <c r="S129" i="13"/>
  <c r="T129" i="13"/>
  <c r="X129" i="13"/>
  <c r="Z129" i="13"/>
  <c r="AA129" i="13"/>
  <c r="AB129" i="13"/>
  <c r="AF129" i="13"/>
  <c r="AH129" i="13"/>
  <c r="AI129" i="13"/>
  <c r="AJ129" i="13"/>
  <c r="AN129" i="13"/>
  <c r="AP129" i="13"/>
  <c r="AQ129" i="13"/>
  <c r="AR129" i="13"/>
  <c r="AV129" i="13"/>
  <c r="AX129" i="13"/>
  <c r="AY129" i="13"/>
  <c r="AZ129" i="13"/>
  <c r="BD129" i="13"/>
  <c r="BF129" i="13"/>
  <c r="BG129" i="13"/>
  <c r="BH129" i="13"/>
  <c r="BL129" i="13"/>
  <c r="BN129" i="13"/>
  <c r="BO129" i="13"/>
  <c r="BP129" i="13"/>
  <c r="BT129" i="13"/>
  <c r="BV129" i="13"/>
  <c r="BW129" i="13"/>
  <c r="BX129" i="13"/>
  <c r="CB129" i="13"/>
  <c r="CD129" i="13"/>
  <c r="CE129" i="13"/>
  <c r="CF129" i="13"/>
  <c r="CJ129" i="13"/>
  <c r="CL129" i="13"/>
  <c r="CM129" i="13"/>
  <c r="CN129" i="13"/>
  <c r="CR129" i="13"/>
  <c r="CT129" i="13"/>
  <c r="CU129" i="13"/>
  <c r="CV129" i="13"/>
  <c r="F130" i="13"/>
  <c r="H130" i="13"/>
  <c r="I130" i="13"/>
  <c r="J130" i="13"/>
  <c r="N130" i="13"/>
  <c r="P130" i="13"/>
  <c r="Q130" i="13"/>
  <c r="R130" i="13"/>
  <c r="V130" i="13"/>
  <c r="X130" i="13"/>
  <c r="Y130" i="13"/>
  <c r="Z130" i="13"/>
  <c r="AD130" i="13"/>
  <c r="AF130" i="13"/>
  <c r="AG130" i="13"/>
  <c r="AH130" i="13"/>
  <c r="AL130" i="13"/>
  <c r="AN130" i="13"/>
  <c r="AO130" i="13"/>
  <c r="AP130" i="13"/>
  <c r="AT130" i="13"/>
  <c r="AV130" i="13"/>
  <c r="AW130" i="13"/>
  <c r="AX130" i="13"/>
  <c r="BB130" i="13"/>
  <c r="BD130" i="13"/>
  <c r="BE130" i="13"/>
  <c r="BF130" i="13"/>
  <c r="BJ130" i="13"/>
  <c r="BL130" i="13"/>
  <c r="BM130" i="13"/>
  <c r="BN130" i="13"/>
  <c r="BR130" i="13"/>
  <c r="BT130" i="13"/>
  <c r="BU130" i="13"/>
  <c r="BV130" i="13"/>
  <c r="BZ130" i="13"/>
  <c r="CB130" i="13"/>
  <c r="CC130" i="13"/>
  <c r="CD130" i="13"/>
  <c r="CH130" i="13"/>
  <c r="CJ130" i="13"/>
  <c r="CK130" i="13"/>
  <c r="CL130" i="13"/>
  <c r="CP130" i="13"/>
  <c r="CR130" i="13"/>
  <c r="CS130" i="13"/>
  <c r="CT130" i="13"/>
  <c r="D131" i="13"/>
  <c r="F131" i="13"/>
  <c r="G131" i="13"/>
  <c r="H131" i="13"/>
  <c r="L131" i="13"/>
  <c r="N131" i="13"/>
  <c r="O131" i="13"/>
  <c r="P131" i="13"/>
  <c r="T131" i="13"/>
  <c r="V131" i="13"/>
  <c r="W131" i="13"/>
  <c r="X131" i="13"/>
  <c r="AB131" i="13"/>
  <c r="AD131" i="13"/>
  <c r="AE131" i="13"/>
  <c r="AF131" i="13"/>
  <c r="AJ131" i="13"/>
  <c r="AL131" i="13"/>
  <c r="AM131" i="13"/>
  <c r="AN131" i="13"/>
  <c r="AR131" i="13"/>
  <c r="AT131" i="13"/>
  <c r="AU131" i="13"/>
  <c r="AV131" i="13"/>
  <c r="AY131" i="13"/>
  <c r="AZ131" i="13"/>
  <c r="BB131" i="13"/>
  <c r="BC131" i="13"/>
  <c r="BD131" i="13"/>
  <c r="BH131" i="13"/>
  <c r="BJ131" i="13"/>
  <c r="BK131" i="13"/>
  <c r="BL131" i="13"/>
  <c r="BP131" i="13"/>
  <c r="BR131" i="13"/>
  <c r="BS131" i="13"/>
  <c r="BT131" i="13"/>
  <c r="BX131" i="13"/>
  <c r="BZ131" i="13"/>
  <c r="CA131" i="13"/>
  <c r="CB131" i="13"/>
  <c r="CF131" i="13"/>
  <c r="CH131" i="13"/>
  <c r="CI131" i="13"/>
  <c r="CJ131" i="13"/>
  <c r="CN131" i="13"/>
  <c r="CP131" i="13"/>
  <c r="CQ131" i="13"/>
  <c r="CR131" i="13"/>
  <c r="CV131" i="13"/>
  <c r="D132" i="13"/>
  <c r="E132" i="13"/>
  <c r="F132" i="13"/>
  <c r="J132" i="13"/>
  <c r="L132" i="13"/>
  <c r="M132" i="13"/>
  <c r="N132" i="13"/>
  <c r="R132" i="13"/>
  <c r="T132" i="13"/>
  <c r="U132" i="13"/>
  <c r="V132" i="13"/>
  <c r="Z132" i="13"/>
  <c r="AB132" i="13"/>
  <c r="AC132" i="13"/>
  <c r="AD132" i="13"/>
  <c r="AH132" i="13"/>
  <c r="AJ132" i="13"/>
  <c r="AK132" i="13"/>
  <c r="AL132" i="13"/>
  <c r="AP132" i="13"/>
  <c r="AR132" i="13"/>
  <c r="AS132" i="13"/>
  <c r="AT132" i="13"/>
  <c r="AX132" i="13"/>
  <c r="AZ132" i="13"/>
  <c r="BA132" i="13"/>
  <c r="BB132" i="13"/>
  <c r="BF132" i="13"/>
  <c r="BH132" i="13"/>
  <c r="BI132" i="13"/>
  <c r="BJ132" i="13"/>
  <c r="BN132" i="13"/>
  <c r="BP132" i="13"/>
  <c r="BQ132" i="13"/>
  <c r="BR132" i="13"/>
  <c r="BV132" i="13"/>
  <c r="BX132" i="13"/>
  <c r="BY132" i="13"/>
  <c r="BZ132" i="13"/>
  <c r="CD132" i="13"/>
  <c r="CF132" i="13"/>
  <c r="CG132" i="13"/>
  <c r="CH132" i="13"/>
  <c r="CL132" i="13"/>
  <c r="CN132" i="13"/>
  <c r="CO132" i="13"/>
  <c r="CP132" i="13"/>
  <c r="CT132" i="13"/>
  <c r="CV132" i="13"/>
  <c r="CW132" i="13"/>
  <c r="D133" i="13"/>
  <c r="H133" i="13"/>
  <c r="J133" i="13"/>
  <c r="K133" i="13"/>
  <c r="L133" i="13"/>
  <c r="P133" i="13"/>
  <c r="R133" i="13"/>
  <c r="S133" i="13"/>
  <c r="T133" i="13"/>
  <c r="X133" i="13"/>
  <c r="Z133" i="13"/>
  <c r="AA133" i="13"/>
  <c r="AB133" i="13"/>
  <c r="AF133" i="13"/>
  <c r="AH133" i="13"/>
  <c r="AI133" i="13"/>
  <c r="AJ133" i="13"/>
  <c r="AN133" i="13"/>
  <c r="AP133" i="13"/>
  <c r="AQ133" i="13"/>
  <c r="AR133" i="13"/>
  <c r="AV133" i="13"/>
  <c r="AX133" i="13"/>
  <c r="AY133" i="13"/>
  <c r="AZ133" i="13"/>
  <c r="BD133" i="13"/>
  <c r="BF133" i="13"/>
  <c r="BG133" i="13"/>
  <c r="BH133" i="13"/>
  <c r="BL133" i="13"/>
  <c r="BN133" i="13"/>
  <c r="BO133" i="13"/>
  <c r="BP133" i="13"/>
  <c r="BT133" i="13"/>
  <c r="BV133" i="13"/>
  <c r="BW133" i="13"/>
  <c r="BX133" i="13"/>
  <c r="CB133" i="13"/>
  <c r="CD133" i="13"/>
  <c r="CE133" i="13"/>
  <c r="CF133" i="13"/>
  <c r="CJ133" i="13"/>
  <c r="CL133" i="13"/>
  <c r="CM133" i="13"/>
  <c r="CN133" i="13"/>
  <c r="CR133" i="13"/>
  <c r="CT133" i="13"/>
  <c r="CU133" i="13"/>
  <c r="CV133" i="13"/>
  <c r="F134" i="13"/>
  <c r="H134" i="13"/>
  <c r="I134" i="13"/>
  <c r="J134" i="13"/>
  <c r="N134" i="13"/>
  <c r="P134" i="13"/>
  <c r="Q134" i="13"/>
  <c r="R134" i="13"/>
  <c r="V134" i="13"/>
  <c r="X134" i="13"/>
  <c r="Y134" i="13"/>
  <c r="Z134" i="13"/>
  <c r="AD134" i="13"/>
  <c r="AF134" i="13"/>
  <c r="AG134" i="13"/>
  <c r="AH134" i="13"/>
  <c r="AL134" i="13"/>
  <c r="AN134" i="13"/>
  <c r="AO134" i="13"/>
  <c r="AP134" i="13"/>
  <c r="AT134" i="13"/>
  <c r="AV134" i="13"/>
  <c r="AW134" i="13"/>
  <c r="AX134" i="13"/>
  <c r="BB134" i="13"/>
  <c r="BD134" i="13"/>
  <c r="BE134" i="13"/>
  <c r="BF134" i="13"/>
  <c r="BJ134" i="13"/>
  <c r="BL134" i="13"/>
  <c r="BM134" i="13"/>
  <c r="BN134" i="13"/>
  <c r="BR134" i="13"/>
  <c r="BT134" i="13"/>
  <c r="BU134" i="13"/>
  <c r="BV134" i="13"/>
  <c r="BZ134" i="13"/>
  <c r="CB134" i="13"/>
  <c r="CC134" i="13"/>
  <c r="CD134" i="13"/>
  <c r="CH134" i="13"/>
  <c r="CJ134" i="13"/>
  <c r="CK134" i="13"/>
  <c r="CL134" i="13"/>
  <c r="CP134" i="13"/>
  <c r="CR134" i="13"/>
  <c r="CS134" i="13"/>
  <c r="CT134" i="13"/>
  <c r="D135" i="13"/>
  <c r="F135" i="13"/>
  <c r="G135" i="13"/>
  <c r="H135" i="13"/>
  <c r="L135" i="13"/>
  <c r="N135" i="13"/>
  <c r="O135" i="13"/>
  <c r="P135" i="13"/>
  <c r="T135" i="13"/>
  <c r="V135" i="13"/>
  <c r="W135" i="13"/>
  <c r="X135" i="13"/>
  <c r="AB135" i="13"/>
  <c r="AD135" i="13"/>
  <c r="AE135" i="13"/>
  <c r="AF135" i="13"/>
  <c r="AJ135" i="13"/>
  <c r="AL135" i="13"/>
  <c r="AM135" i="13"/>
  <c r="AN135" i="13"/>
  <c r="AR135" i="13"/>
  <c r="AT135" i="13"/>
  <c r="AU135" i="13"/>
  <c r="AV135" i="13"/>
  <c r="AZ135" i="13"/>
  <c r="BB135" i="13"/>
  <c r="BC135" i="13"/>
  <c r="BD135" i="13"/>
  <c r="BH135" i="13"/>
  <c r="BJ135" i="13"/>
  <c r="BK135" i="13"/>
  <c r="BL135" i="13"/>
  <c r="BP135" i="13"/>
  <c r="BR135" i="13"/>
  <c r="BS135" i="13"/>
  <c r="BT135" i="13"/>
  <c r="BX135" i="13"/>
  <c r="BZ135" i="13"/>
  <c r="CA135" i="13"/>
  <c r="CB135" i="13"/>
  <c r="CF135" i="13"/>
  <c r="CH135" i="13"/>
  <c r="CI135" i="13"/>
  <c r="CJ135" i="13"/>
  <c r="CN135" i="13"/>
  <c r="CP135" i="13"/>
  <c r="CQ135" i="13"/>
  <c r="CR135" i="13"/>
  <c r="CV135" i="13"/>
  <c r="D136" i="13"/>
  <c r="E136" i="13"/>
  <c r="F136" i="13"/>
  <c r="J136" i="13"/>
  <c r="L136" i="13"/>
  <c r="M136" i="13"/>
  <c r="N136" i="13"/>
  <c r="R136" i="13"/>
  <c r="T136" i="13"/>
  <c r="T189" i="13" s="1"/>
  <c r="U136" i="13"/>
  <c r="V136" i="13"/>
  <c r="Z136" i="13"/>
  <c r="AB136" i="13"/>
  <c r="AC136" i="13"/>
  <c r="AD136" i="13"/>
  <c r="AH136" i="13"/>
  <c r="AJ136" i="13"/>
  <c r="AJ189" i="13" s="1"/>
  <c r="AK136" i="13"/>
  <c r="AL136" i="13"/>
  <c r="AP136" i="13"/>
  <c r="AR136" i="13"/>
  <c r="AS136" i="13"/>
  <c r="AT136" i="13"/>
  <c r="AX136" i="13"/>
  <c r="AZ136" i="13"/>
  <c r="BA136" i="13"/>
  <c r="BA189" i="13" s="1"/>
  <c r="BB136" i="13"/>
  <c r="BF136" i="13"/>
  <c r="BH136" i="13"/>
  <c r="BI136" i="13"/>
  <c r="BJ136" i="13"/>
  <c r="BN136" i="13"/>
  <c r="BP136" i="13"/>
  <c r="BQ136" i="13"/>
  <c r="BR136" i="13"/>
  <c r="BV136" i="13"/>
  <c r="BX136" i="13"/>
  <c r="BY136" i="13"/>
  <c r="BZ136" i="13"/>
  <c r="CD136" i="13"/>
  <c r="CF136" i="13"/>
  <c r="CG136" i="13"/>
  <c r="CG189" i="13" s="1"/>
  <c r="CH136" i="13"/>
  <c r="CL136" i="13"/>
  <c r="CN136" i="13"/>
  <c r="CO136" i="13"/>
  <c r="CP136" i="13"/>
  <c r="CT136" i="13"/>
  <c r="CV136" i="13"/>
  <c r="CV189" i="13" s="1"/>
  <c r="CW136" i="13"/>
  <c r="D137" i="13"/>
  <c r="H137" i="13"/>
  <c r="J137" i="13"/>
  <c r="K137" i="13"/>
  <c r="L137" i="13"/>
  <c r="P137" i="13"/>
  <c r="R137" i="13"/>
  <c r="S137" i="13"/>
  <c r="T137" i="13"/>
  <c r="X137" i="13"/>
  <c r="Z137" i="13"/>
  <c r="AA137" i="13"/>
  <c r="AB137" i="13"/>
  <c r="AF137" i="13"/>
  <c r="AH137" i="13"/>
  <c r="AI137" i="13"/>
  <c r="AJ137" i="13"/>
  <c r="AN137" i="13"/>
  <c r="AP137" i="13"/>
  <c r="AQ137" i="13"/>
  <c r="AR137" i="13"/>
  <c r="AV137" i="13"/>
  <c r="AX137" i="13"/>
  <c r="AY137" i="13"/>
  <c r="AZ137" i="13"/>
  <c r="BD137" i="13"/>
  <c r="BF137" i="13"/>
  <c r="BG137" i="13"/>
  <c r="BH137" i="13"/>
  <c r="BL137" i="13"/>
  <c r="BN137" i="13"/>
  <c r="BO137" i="13"/>
  <c r="BP137" i="13"/>
  <c r="BT137" i="13"/>
  <c r="BV137" i="13"/>
  <c r="BW137" i="13"/>
  <c r="BX137" i="13"/>
  <c r="CB137" i="13"/>
  <c r="CD137" i="13"/>
  <c r="CE137" i="13"/>
  <c r="CF137" i="13"/>
  <c r="CJ137" i="13"/>
  <c r="CL137" i="13"/>
  <c r="CM137" i="13"/>
  <c r="CN137" i="13"/>
  <c r="CR137" i="13"/>
  <c r="CT137" i="13"/>
  <c r="CU137" i="13"/>
  <c r="CV137" i="13"/>
  <c r="D147" i="13"/>
  <c r="D173" i="13" s="1"/>
  <c r="E147" i="13"/>
  <c r="F147" i="13"/>
  <c r="G147" i="13"/>
  <c r="H147" i="13"/>
  <c r="J147" i="13"/>
  <c r="L147" i="13"/>
  <c r="L173" i="13" s="1"/>
  <c r="M147" i="13"/>
  <c r="N147" i="13"/>
  <c r="N173" i="13" s="1"/>
  <c r="O147" i="13"/>
  <c r="R147" i="13"/>
  <c r="T147" i="13"/>
  <c r="U147" i="13"/>
  <c r="V147" i="13"/>
  <c r="W147" i="13"/>
  <c r="Z147" i="13"/>
  <c r="AB147" i="13"/>
  <c r="AC147" i="13"/>
  <c r="AD147" i="13"/>
  <c r="AE147" i="13"/>
  <c r="AH147" i="13"/>
  <c r="AJ147" i="13"/>
  <c r="AK147" i="13"/>
  <c r="AL147" i="13"/>
  <c r="AL173" i="13" s="1"/>
  <c r="AM147" i="13"/>
  <c r="AP147" i="13"/>
  <c r="AR147" i="13"/>
  <c r="AR173" i="13" s="1"/>
  <c r="AS147" i="13"/>
  <c r="AT147" i="13"/>
  <c r="AU147" i="13"/>
  <c r="AU173" i="13" s="1"/>
  <c r="AX147" i="13"/>
  <c r="AX173" i="13" s="1"/>
  <c r="AZ147" i="13"/>
  <c r="AZ173" i="13" s="1"/>
  <c r="BA147" i="13"/>
  <c r="BB147" i="13"/>
  <c r="BC147" i="13"/>
  <c r="BD147" i="13"/>
  <c r="BD173" i="13" s="1"/>
  <c r="BF147" i="13"/>
  <c r="BH147" i="13"/>
  <c r="BH173" i="13" s="1"/>
  <c r="BI147" i="13"/>
  <c r="BI173" i="13" s="1"/>
  <c r="BJ147" i="13"/>
  <c r="BJ173" i="13" s="1"/>
  <c r="BK147" i="13"/>
  <c r="BN147" i="13"/>
  <c r="BP147" i="13"/>
  <c r="BQ147" i="13"/>
  <c r="BQ173" i="13" s="1"/>
  <c r="BR147" i="13"/>
  <c r="BS147" i="13"/>
  <c r="BS173" i="13" s="1"/>
  <c r="BV147" i="13"/>
  <c r="BV173" i="13" s="1"/>
  <c r="BX147" i="13"/>
  <c r="BX173" i="13" s="1"/>
  <c r="BY147" i="13"/>
  <c r="BZ147" i="13"/>
  <c r="CA147" i="13"/>
  <c r="CD147" i="13"/>
  <c r="CD173" i="13" s="1"/>
  <c r="CF147" i="13"/>
  <c r="CG147" i="13"/>
  <c r="CG173" i="13" s="1"/>
  <c r="CH147" i="13"/>
  <c r="CH173" i="13" s="1"/>
  <c r="CI147" i="13"/>
  <c r="CI173" i="13" s="1"/>
  <c r="CL147" i="13"/>
  <c r="CL173" i="13" s="1"/>
  <c r="CN147" i="13"/>
  <c r="CO147" i="13"/>
  <c r="CP147" i="13"/>
  <c r="CQ147" i="13"/>
  <c r="CT147" i="13"/>
  <c r="CT173" i="13" s="1"/>
  <c r="CV147" i="13"/>
  <c r="CV173" i="13" s="1"/>
  <c r="D148" i="13"/>
  <c r="D174" i="13" s="1"/>
  <c r="E148" i="13"/>
  <c r="E174" i="13" s="1"/>
  <c r="H148" i="13"/>
  <c r="J148" i="13"/>
  <c r="K148" i="13"/>
  <c r="M148" i="13"/>
  <c r="M174" i="13" s="1"/>
  <c r="P148" i="13"/>
  <c r="P174" i="13" s="1"/>
  <c r="R148" i="13"/>
  <c r="R174" i="13" s="1"/>
  <c r="S148" i="13"/>
  <c r="S174" i="13" s="1"/>
  <c r="T148" i="13"/>
  <c r="U148" i="13"/>
  <c r="X148" i="13"/>
  <c r="AA148" i="13"/>
  <c r="AA174" i="13" s="1"/>
  <c r="AB148" i="13"/>
  <c r="AB174" i="13" s="1"/>
  <c r="AC148" i="13"/>
  <c r="AC174" i="13" s="1"/>
  <c r="AF148" i="13"/>
  <c r="AF174" i="13" s="1"/>
  <c r="AH148" i="13"/>
  <c r="AI148" i="13"/>
  <c r="AI174" i="13" s="1"/>
  <c r="AJ148" i="13"/>
  <c r="AN148" i="13"/>
  <c r="AP148" i="13"/>
  <c r="AP174" i="13" s="1"/>
  <c r="AQ148" i="13"/>
  <c r="AQ174" i="13" s="1"/>
  <c r="AR148" i="13"/>
  <c r="AR174" i="13" s="1"/>
  <c r="AS148" i="13"/>
  <c r="AU148" i="13"/>
  <c r="AV148" i="13"/>
  <c r="AY148" i="13"/>
  <c r="AZ148" i="13"/>
  <c r="BA148" i="13"/>
  <c r="BA174" i="13" s="1"/>
  <c r="BD148" i="13"/>
  <c r="BD174" i="13" s="1"/>
  <c r="BF148" i="13"/>
  <c r="BG148" i="13"/>
  <c r="BH148" i="13"/>
  <c r="BH174" i="13" s="1"/>
  <c r="BL148" i="13"/>
  <c r="BN148" i="13"/>
  <c r="BO148" i="13"/>
  <c r="BP148" i="13"/>
  <c r="BP174" i="13" s="1"/>
  <c r="BQ148" i="13"/>
  <c r="BT148" i="13"/>
  <c r="BV148" i="13"/>
  <c r="BV174" i="13" s="1"/>
  <c r="BX148" i="13"/>
  <c r="BY148" i="13"/>
  <c r="CB148" i="13"/>
  <c r="CD148" i="13"/>
  <c r="CD174" i="13" s="1"/>
  <c r="CE148" i="13"/>
  <c r="CE174" i="13" s="1"/>
  <c r="CF148" i="13"/>
  <c r="CG148" i="13"/>
  <c r="CL148" i="13"/>
  <c r="CM148" i="13"/>
  <c r="CM174" i="13" s="1"/>
  <c r="CN148" i="13"/>
  <c r="CN174" i="13" s="1"/>
  <c r="CO148" i="13"/>
  <c r="CR148" i="13"/>
  <c r="CT148" i="13"/>
  <c r="CT174" i="13" s="1"/>
  <c r="CU148" i="13"/>
  <c r="CU174" i="13" s="1"/>
  <c r="D149" i="13"/>
  <c r="D175" i="13" s="1"/>
  <c r="AB149" i="13"/>
  <c r="AL149" i="13"/>
  <c r="AL175" i="13" s="1"/>
  <c r="AP149" i="13"/>
  <c r="AX149" i="13"/>
  <c r="BR149" i="13"/>
  <c r="CD149" i="13"/>
  <c r="CF149" i="13"/>
  <c r="CN149" i="13"/>
  <c r="D151" i="13"/>
  <c r="D177" i="13" s="1"/>
  <c r="E151" i="13"/>
  <c r="E177" i="13" s="1"/>
  <c r="F151" i="13"/>
  <c r="F177" i="13" s="1"/>
  <c r="J151" i="13"/>
  <c r="L151" i="13"/>
  <c r="M151" i="13"/>
  <c r="M177" i="13" s="1"/>
  <c r="N151" i="13"/>
  <c r="R151" i="13"/>
  <c r="R177" i="13" s="1"/>
  <c r="T151" i="13"/>
  <c r="T177" i="13" s="1"/>
  <c r="U151" i="13"/>
  <c r="U177" i="13" s="1"/>
  <c r="V151" i="13"/>
  <c r="V177" i="13" s="1"/>
  <c r="Z151" i="13"/>
  <c r="AB151" i="13"/>
  <c r="AC151" i="13"/>
  <c r="AD151" i="13"/>
  <c r="AH151" i="13"/>
  <c r="AH177" i="13" s="1"/>
  <c r="AJ151" i="13"/>
  <c r="AJ177" i="13" s="1"/>
  <c r="AK151" i="13"/>
  <c r="AK177" i="13" s="1"/>
  <c r="AL151" i="13"/>
  <c r="AL177" i="13" s="1"/>
  <c r="AP151" i="13"/>
  <c r="AR151" i="13"/>
  <c r="AS151" i="13"/>
  <c r="AT151" i="13"/>
  <c r="AX151" i="13"/>
  <c r="AX177" i="13" s="1"/>
  <c r="AZ151" i="13"/>
  <c r="AZ177" i="13" s="1"/>
  <c r="BA151" i="13"/>
  <c r="BB151" i="13"/>
  <c r="BF151" i="13"/>
  <c r="BH151" i="13"/>
  <c r="BI151" i="13"/>
  <c r="BJ151" i="13"/>
  <c r="BN151" i="13"/>
  <c r="BP151" i="13"/>
  <c r="BP177" i="13" s="1"/>
  <c r="BQ151" i="13"/>
  <c r="BQ177" i="13" s="1"/>
  <c r="BR151" i="13"/>
  <c r="BV151" i="13"/>
  <c r="BX151" i="13"/>
  <c r="BX177" i="13" s="1"/>
  <c r="BY151" i="13"/>
  <c r="BY177" i="13" s="1"/>
  <c r="BZ151" i="13"/>
  <c r="CD151" i="13"/>
  <c r="CD177" i="13" s="1"/>
  <c r="CF151" i="13"/>
  <c r="CF177" i="13" s="1"/>
  <c r="CG151" i="13"/>
  <c r="CG177" i="13" s="1"/>
  <c r="CH151" i="13"/>
  <c r="CH177" i="13" s="1"/>
  <c r="CL151" i="13"/>
  <c r="CN151" i="13"/>
  <c r="CO151" i="13"/>
  <c r="CO177" i="13" s="1"/>
  <c r="CP151" i="13"/>
  <c r="CT151" i="13"/>
  <c r="CT177" i="13" s="1"/>
  <c r="CV151" i="13"/>
  <c r="CV177" i="13" s="1"/>
  <c r="K152" i="13"/>
  <c r="K178" i="13" s="1"/>
  <c r="AY152" i="13"/>
  <c r="AY178" i="13" s="1"/>
  <c r="BO152" i="13"/>
  <c r="BO178" i="13" s="1"/>
  <c r="CH152" i="13"/>
  <c r="CH178" i="13" s="1"/>
  <c r="Y153" i="13"/>
  <c r="Y179" i="13" s="1"/>
  <c r="AB153" i="13"/>
  <c r="AB179" i="13" s="1"/>
  <c r="AJ153" i="13"/>
  <c r="AJ179" i="13" s="1"/>
  <c r="AP153" i="13"/>
  <c r="AP179" i="13" s="1"/>
  <c r="BF153" i="13"/>
  <c r="BF179" i="13" s="1"/>
  <c r="BV153" i="13"/>
  <c r="CL153" i="13"/>
  <c r="CL179" i="13" s="1"/>
  <c r="CN153" i="13"/>
  <c r="CV153" i="13"/>
  <c r="CV179" i="13" s="1"/>
  <c r="D155" i="13"/>
  <c r="E155" i="13"/>
  <c r="E181" i="13" s="1"/>
  <c r="F155" i="13"/>
  <c r="F181" i="13" s="1"/>
  <c r="J155" i="13"/>
  <c r="J181" i="13" s="1"/>
  <c r="L155" i="13"/>
  <c r="L181" i="13" s="1"/>
  <c r="M155" i="13"/>
  <c r="N155" i="13"/>
  <c r="R155" i="13"/>
  <c r="T155" i="13"/>
  <c r="U155" i="13"/>
  <c r="U181" i="13" s="1"/>
  <c r="V155" i="13"/>
  <c r="V181" i="13" s="1"/>
  <c r="Y155" i="13"/>
  <c r="Y181" i="13" s="1"/>
  <c r="Z155" i="13"/>
  <c r="Z181" i="13" s="1"/>
  <c r="AB155" i="13"/>
  <c r="AC155" i="13"/>
  <c r="AD155" i="13"/>
  <c r="AH155" i="13"/>
  <c r="AJ155" i="13"/>
  <c r="AK155" i="13"/>
  <c r="AK181" i="13" s="1"/>
  <c r="AL155" i="13"/>
  <c r="AL181" i="13" s="1"/>
  <c r="AN155" i="13"/>
  <c r="AN181" i="13" s="1"/>
  <c r="AP155" i="13"/>
  <c r="AR155" i="13"/>
  <c r="AS155" i="13"/>
  <c r="AT155" i="13"/>
  <c r="AX155" i="13"/>
  <c r="AX181" i="13" s="1"/>
  <c r="AZ155" i="13"/>
  <c r="BA155" i="13"/>
  <c r="BB155" i="13"/>
  <c r="BF155" i="13"/>
  <c r="BH155" i="13"/>
  <c r="BI155" i="13"/>
  <c r="BJ155" i="13"/>
  <c r="BN155" i="13"/>
  <c r="BP155" i="13"/>
  <c r="BQ155" i="13"/>
  <c r="BR155" i="13"/>
  <c r="BV155" i="13"/>
  <c r="BX155" i="13"/>
  <c r="BY155" i="13"/>
  <c r="BZ155" i="13"/>
  <c r="CD155" i="13"/>
  <c r="CF155" i="13"/>
  <c r="CG155" i="13"/>
  <c r="CH155" i="13"/>
  <c r="CK155" i="13"/>
  <c r="CL155" i="13"/>
  <c r="CN155" i="13"/>
  <c r="CO155" i="13"/>
  <c r="CP155" i="13"/>
  <c r="CT155" i="13"/>
  <c r="CV155" i="13"/>
  <c r="BS156" i="13"/>
  <c r="CR156" i="13"/>
  <c r="CR182" i="13" s="1"/>
  <c r="X157" i="13"/>
  <c r="X183" i="13" s="1"/>
  <c r="AC157" i="13"/>
  <c r="AC183" i="13" s="1"/>
  <c r="AN157" i="13"/>
  <c r="AN183" i="13" s="1"/>
  <c r="AS157" i="13"/>
  <c r="AS183" i="13" s="1"/>
  <c r="AX157" i="13"/>
  <c r="AX183" i="13" s="1"/>
  <c r="BY157" i="13"/>
  <c r="BY183" i="13" s="1"/>
  <c r="CO157" i="13"/>
  <c r="CO183" i="13" s="1"/>
  <c r="D159" i="13"/>
  <c r="E159" i="13"/>
  <c r="F159" i="13"/>
  <c r="G159" i="13"/>
  <c r="J159" i="13"/>
  <c r="L159" i="13"/>
  <c r="L185" i="13" s="1"/>
  <c r="M159" i="13"/>
  <c r="M185" i="13" s="1"/>
  <c r="N159" i="13"/>
  <c r="N185" i="13" s="1"/>
  <c r="R159" i="13"/>
  <c r="R185" i="13" s="1"/>
  <c r="T159" i="13"/>
  <c r="U159" i="13"/>
  <c r="V159" i="13"/>
  <c r="Z159" i="13"/>
  <c r="AB159" i="13"/>
  <c r="AC159" i="13"/>
  <c r="AC185" i="13" s="1"/>
  <c r="AD159" i="13"/>
  <c r="AD185" i="13" s="1"/>
  <c r="AH159" i="13"/>
  <c r="AH185" i="13" s="1"/>
  <c r="AJ159" i="13"/>
  <c r="AK159" i="13"/>
  <c r="AL159" i="13"/>
  <c r="AP159" i="13"/>
  <c r="AR159" i="13"/>
  <c r="AS159" i="13"/>
  <c r="AT159" i="13"/>
  <c r="AT185" i="13" s="1"/>
  <c r="AX159" i="13"/>
  <c r="AZ159" i="13"/>
  <c r="BA159" i="13"/>
  <c r="BB159" i="13"/>
  <c r="BF159" i="13"/>
  <c r="BH159" i="13"/>
  <c r="BI159" i="13"/>
  <c r="BJ159" i="13"/>
  <c r="BJ185" i="13" s="1"/>
  <c r="BK159" i="13"/>
  <c r="BK185" i="13" s="1"/>
  <c r="BN159" i="13"/>
  <c r="BN185" i="13" s="1"/>
  <c r="BP159" i="13"/>
  <c r="BP185" i="13" s="1"/>
  <c r="BQ159" i="13"/>
  <c r="BR159" i="13"/>
  <c r="BR185" i="13" s="1"/>
  <c r="BV159" i="13"/>
  <c r="BV185" i="13" s="1"/>
  <c r="BX159" i="13"/>
  <c r="BX185" i="13" s="1"/>
  <c r="BY159" i="13"/>
  <c r="BZ159" i="13"/>
  <c r="CD159" i="13"/>
  <c r="CD185" i="13" s="1"/>
  <c r="CF159" i="13"/>
  <c r="CF185" i="13" s="1"/>
  <c r="CG159" i="13"/>
  <c r="CH159" i="13"/>
  <c r="CH185" i="13" s="1"/>
  <c r="CL159" i="13"/>
  <c r="CL185" i="13" s="1"/>
  <c r="CN159" i="13"/>
  <c r="CN185" i="13" s="1"/>
  <c r="CO159" i="13"/>
  <c r="CO185" i="13" s="1"/>
  <c r="CP159" i="13"/>
  <c r="CT159" i="13"/>
  <c r="CT185" i="13" s="1"/>
  <c r="CV159" i="13"/>
  <c r="CV185" i="13" s="1"/>
  <c r="AK160" i="13"/>
  <c r="AK186" i="13" s="1"/>
  <c r="AM160" i="13"/>
  <c r="AM186" i="13" s="1"/>
  <c r="AT160" i="13"/>
  <c r="AT186" i="13" s="1"/>
  <c r="BV160" i="13"/>
  <c r="BV186" i="13" s="1"/>
  <c r="M161" i="13"/>
  <c r="M187" i="13" s="1"/>
  <c r="P161" i="13"/>
  <c r="P187" i="13" s="1"/>
  <c r="V161" i="13"/>
  <c r="AX161" i="13"/>
  <c r="CF161" i="13"/>
  <c r="CF187" i="13" s="1"/>
  <c r="CG161" i="13"/>
  <c r="CG187" i="13" s="1"/>
  <c r="CH161" i="13"/>
  <c r="CH187" i="13" s="1"/>
  <c r="D163" i="13"/>
  <c r="E163" i="13"/>
  <c r="F163" i="13"/>
  <c r="J163" i="13"/>
  <c r="J189" i="13" s="1"/>
  <c r="L163" i="13"/>
  <c r="L189" i="13" s="1"/>
  <c r="M163" i="13"/>
  <c r="M189" i="13" s="1"/>
  <c r="N163" i="13"/>
  <c r="N189" i="13" s="1"/>
  <c r="R163" i="13"/>
  <c r="T163" i="13"/>
  <c r="U163" i="13"/>
  <c r="V163" i="13"/>
  <c r="Z163" i="13"/>
  <c r="AB163" i="13"/>
  <c r="AB189" i="13" s="1"/>
  <c r="AC163" i="13"/>
  <c r="AC189" i="13" s="1"/>
  <c r="AD163" i="13"/>
  <c r="AD189" i="13" s="1"/>
  <c r="AH163" i="13"/>
  <c r="AJ163" i="13"/>
  <c r="AK163" i="13"/>
  <c r="AL163" i="13"/>
  <c r="AP163" i="13"/>
  <c r="AR163" i="13"/>
  <c r="AS163" i="13"/>
  <c r="AS189" i="13" s="1"/>
  <c r="AT163" i="13"/>
  <c r="AT189" i="13" s="1"/>
  <c r="AX163" i="13"/>
  <c r="AZ163" i="13"/>
  <c r="BA163" i="13"/>
  <c r="BB163" i="13"/>
  <c r="BF163" i="13"/>
  <c r="BH163" i="13"/>
  <c r="BI163" i="13"/>
  <c r="BJ163" i="13"/>
  <c r="BN163" i="13"/>
  <c r="BP163" i="13"/>
  <c r="BQ163" i="13"/>
  <c r="BQ189" i="13" s="1"/>
  <c r="BR163" i="13"/>
  <c r="BV163" i="13"/>
  <c r="BV189" i="13" s="1"/>
  <c r="BX163" i="13"/>
  <c r="BX189" i="13" s="1"/>
  <c r="BY163" i="13"/>
  <c r="BY189" i="13" s="1"/>
  <c r="BZ163" i="13"/>
  <c r="BZ189" i="13" s="1"/>
  <c r="CD163" i="13"/>
  <c r="CD189" i="13" s="1"/>
  <c r="CF163" i="13"/>
  <c r="CG163" i="13"/>
  <c r="CH163" i="13"/>
  <c r="CL163" i="13"/>
  <c r="CN163" i="13"/>
  <c r="CN189" i="13" s="1"/>
  <c r="CO163" i="13"/>
  <c r="CO189" i="13" s="1"/>
  <c r="CP163" i="13"/>
  <c r="CP189" i="13" s="1"/>
  <c r="CT163" i="13"/>
  <c r="CT189" i="13" s="1"/>
  <c r="CV163" i="13"/>
  <c r="BG164" i="13"/>
  <c r="BG190" i="13" s="1"/>
  <c r="F173" i="13"/>
  <c r="G173" i="13"/>
  <c r="H173" i="13"/>
  <c r="J173" i="13"/>
  <c r="O173" i="13"/>
  <c r="U173" i="13"/>
  <c r="W173" i="13"/>
  <c r="Z173" i="13"/>
  <c r="AB173" i="13"/>
  <c r="AD173" i="13"/>
  <c r="AE173" i="13"/>
  <c r="AJ173" i="13"/>
  <c r="AM173" i="13"/>
  <c r="AP173" i="13"/>
  <c r="AT173" i="13"/>
  <c r="BA173" i="13"/>
  <c r="BB173" i="13"/>
  <c r="BC173" i="13"/>
  <c r="BF173" i="13"/>
  <c r="BK173" i="13"/>
  <c r="BN173" i="13"/>
  <c r="BP173" i="13"/>
  <c r="BR173" i="13"/>
  <c r="BY173" i="13"/>
  <c r="BZ173" i="13"/>
  <c r="CA173" i="13"/>
  <c r="CN173" i="13"/>
  <c r="CO173" i="13"/>
  <c r="CP173" i="13"/>
  <c r="CQ173" i="13"/>
  <c r="H174" i="13"/>
  <c r="J174" i="13"/>
  <c r="K174" i="13"/>
  <c r="T174" i="13"/>
  <c r="U174" i="13"/>
  <c r="X174" i="13"/>
  <c r="AH174" i="13"/>
  <c r="AJ174" i="13"/>
  <c r="AN174" i="13"/>
  <c r="AS174" i="13"/>
  <c r="AV174" i="13"/>
  <c r="AY174" i="13"/>
  <c r="AZ174" i="13"/>
  <c r="BF174" i="13"/>
  <c r="BL174" i="13"/>
  <c r="BN174" i="13"/>
  <c r="BO174" i="13"/>
  <c r="BQ174" i="13"/>
  <c r="BT174" i="13"/>
  <c r="BX174" i="13"/>
  <c r="BY174" i="13"/>
  <c r="CB174" i="13"/>
  <c r="CF174" i="13"/>
  <c r="CG174" i="13"/>
  <c r="CO174" i="13"/>
  <c r="CR174" i="13"/>
  <c r="J177" i="13"/>
  <c r="L177" i="13"/>
  <c r="Z177" i="13"/>
  <c r="AB177" i="13"/>
  <c r="AD177" i="13"/>
  <c r="AP177" i="13"/>
  <c r="AR177" i="13"/>
  <c r="AT177" i="13"/>
  <c r="BA177" i="13"/>
  <c r="BB177" i="13"/>
  <c r="BF177" i="13"/>
  <c r="BH177" i="13"/>
  <c r="BI177" i="13"/>
  <c r="BN177" i="13"/>
  <c r="BR177" i="13"/>
  <c r="BV177" i="13"/>
  <c r="BZ177" i="13"/>
  <c r="CL177" i="13"/>
  <c r="CN177" i="13"/>
  <c r="BV179" i="13"/>
  <c r="CN179" i="13"/>
  <c r="D181" i="13"/>
  <c r="M181" i="13"/>
  <c r="N181" i="13"/>
  <c r="R181" i="13"/>
  <c r="T181" i="13"/>
  <c r="AB181" i="13"/>
  <c r="AC181" i="13"/>
  <c r="AD181" i="13"/>
  <c r="AH181" i="13"/>
  <c r="AJ181" i="13"/>
  <c r="AR181" i="13"/>
  <c r="AS181" i="13"/>
  <c r="AT181" i="13"/>
  <c r="AZ181" i="13"/>
  <c r="BA181" i="13"/>
  <c r="BH181" i="13"/>
  <c r="BI181" i="13"/>
  <c r="BJ181" i="13"/>
  <c r="BN181" i="13"/>
  <c r="BP181" i="13"/>
  <c r="BQ181" i="13"/>
  <c r="BR181" i="13"/>
  <c r="BX181" i="13"/>
  <c r="BY181" i="13"/>
  <c r="BZ181" i="13"/>
  <c r="CD181" i="13"/>
  <c r="CF181" i="13"/>
  <c r="CG181" i="13"/>
  <c r="CH181" i="13"/>
  <c r="CK181" i="13"/>
  <c r="CN181" i="13"/>
  <c r="CO181" i="13"/>
  <c r="CP181" i="13"/>
  <c r="CT181" i="13"/>
  <c r="CV181" i="13"/>
  <c r="BS182" i="13"/>
  <c r="D185" i="13"/>
  <c r="E185" i="13"/>
  <c r="F185" i="13"/>
  <c r="G185" i="13"/>
  <c r="J185" i="13"/>
  <c r="T185" i="13"/>
  <c r="U185" i="13"/>
  <c r="V185" i="13"/>
  <c r="Z185" i="13"/>
  <c r="AB185" i="13"/>
  <c r="AJ185" i="13"/>
  <c r="AK185" i="13"/>
  <c r="AL185" i="13"/>
  <c r="AP185" i="13"/>
  <c r="AR185" i="13"/>
  <c r="AS185" i="13"/>
  <c r="AX185" i="13"/>
  <c r="AZ185" i="13"/>
  <c r="BA185" i="13"/>
  <c r="BB185" i="13"/>
  <c r="BF185" i="13"/>
  <c r="BH185" i="13"/>
  <c r="BI185" i="13"/>
  <c r="BQ185" i="13"/>
  <c r="BY185" i="13"/>
  <c r="BZ185" i="13"/>
  <c r="CG185" i="13"/>
  <c r="CP185" i="13"/>
  <c r="V187" i="13"/>
  <c r="AX187" i="13"/>
  <c r="D189" i="13"/>
  <c r="E189" i="13"/>
  <c r="R189" i="13"/>
  <c r="U189" i="13"/>
  <c r="V189" i="13"/>
  <c r="Z189" i="13"/>
  <c r="AH189" i="13"/>
  <c r="AK189" i="13"/>
  <c r="AP189" i="13"/>
  <c r="AR189" i="13"/>
  <c r="AX189" i="13"/>
  <c r="BF189" i="13"/>
  <c r="BH189" i="13"/>
  <c r="BI189" i="13"/>
  <c r="BJ189" i="13"/>
  <c r="BN189" i="13"/>
  <c r="CH189" i="13"/>
  <c r="CL189" i="13"/>
  <c r="I25" i="1"/>
  <c r="I26" i="1"/>
  <c r="I24" i="1"/>
  <c r="I27" i="1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" i="20"/>
  <c r="H24" i="20"/>
  <c r="H25" i="20"/>
  <c r="C24" i="20"/>
  <c r="D24" i="20"/>
  <c r="E24" i="20"/>
  <c r="F24" i="20"/>
  <c r="C25" i="20"/>
  <c r="D25" i="20"/>
  <c r="E25" i="20"/>
  <c r="F25" i="20"/>
  <c r="G25" i="20"/>
  <c r="G24" i="20"/>
  <c r="D7" i="17"/>
  <c r="D8" i="17"/>
  <c r="D9" i="17"/>
  <c r="D10" i="17"/>
  <c r="D16" i="17"/>
  <c r="D3" i="17"/>
  <c r="C4" i="17"/>
  <c r="D4" i="17" s="1"/>
  <c r="C5" i="17"/>
  <c r="D5" i="17" s="1"/>
  <c r="C6" i="17"/>
  <c r="D6" i="17" s="1"/>
  <c r="C7" i="17"/>
  <c r="C8" i="17"/>
  <c r="C9" i="17"/>
  <c r="C10" i="17"/>
  <c r="C11" i="17"/>
  <c r="D11" i="17" s="1"/>
  <c r="C12" i="17"/>
  <c r="D12" i="17" s="1"/>
  <c r="C13" i="17"/>
  <c r="D13" i="17" s="1"/>
  <c r="C14" i="17"/>
  <c r="D14" i="17" s="1"/>
  <c r="C15" i="17"/>
  <c r="C16" i="17"/>
  <c r="C17" i="17"/>
  <c r="C3" i="17"/>
  <c r="B4" i="17"/>
  <c r="B5" i="17"/>
  <c r="B6" i="17"/>
  <c r="B7" i="17"/>
  <c r="B8" i="17"/>
  <c r="B9" i="17"/>
  <c r="B10" i="17"/>
  <c r="B11" i="17"/>
  <c r="B12" i="17"/>
  <c r="B13" i="17"/>
  <c r="B14" i="17"/>
  <c r="B15" i="17"/>
  <c r="D15" i="17" s="1"/>
  <c r="B16" i="17"/>
  <c r="B17" i="17"/>
  <c r="D17" i="17" s="1"/>
  <c r="B3" i="17"/>
  <c r="O2" i="27"/>
  <c r="CF189" i="13" l="1"/>
  <c r="AZ189" i="13"/>
  <c r="BR175" i="13"/>
  <c r="BG174" i="13"/>
  <c r="BP189" i="13"/>
  <c r="CN161" i="13"/>
  <c r="CN187" i="13" s="1"/>
  <c r="N161" i="13"/>
  <c r="N187" i="13" s="1"/>
  <c r="W148" i="13"/>
  <c r="BB181" i="13"/>
  <c r="AS177" i="13"/>
  <c r="AC177" i="13"/>
  <c r="BR189" i="13"/>
  <c r="BB189" i="13"/>
  <c r="AL189" i="13"/>
  <c r="F189" i="13"/>
  <c r="CV148" i="13"/>
  <c r="CV174" i="13" s="1"/>
  <c r="CJ148" i="13"/>
  <c r="CJ174" i="13" s="1"/>
  <c r="BW148" i="13"/>
  <c r="BW174" i="13" s="1"/>
  <c r="BI148" i="13"/>
  <c r="BI174" i="13" s="1"/>
  <c r="AX148" i="13"/>
  <c r="AX174" i="13" s="1"/>
  <c r="AK148" i="13"/>
  <c r="AK174" i="13" s="1"/>
  <c r="Z148" i="13"/>
  <c r="L148" i="13"/>
  <c r="L174" i="13" s="1"/>
  <c r="E173" i="13"/>
  <c r="CS137" i="13"/>
  <c r="CS164" i="13"/>
  <c r="CS190" i="13" s="1"/>
  <c r="CK137" i="13"/>
  <c r="CK164" i="13"/>
  <c r="BU137" i="13"/>
  <c r="BU164" i="13"/>
  <c r="AW137" i="13"/>
  <c r="AW164" i="13"/>
  <c r="AO137" i="13"/>
  <c r="AO164" i="13"/>
  <c r="AO190" i="13" s="1"/>
  <c r="AG137" i="13"/>
  <c r="AG164" i="13"/>
  <c r="Y137" i="13"/>
  <c r="Y164" i="13"/>
  <c r="I137" i="13"/>
  <c r="I164" i="13"/>
  <c r="CU136" i="13"/>
  <c r="CU163" i="13"/>
  <c r="CU189" i="13" s="1"/>
  <c r="CM136" i="13"/>
  <c r="CM163" i="13"/>
  <c r="CE136" i="13"/>
  <c r="CE163" i="13"/>
  <c r="BW136" i="13"/>
  <c r="BW163" i="13"/>
  <c r="BO136" i="13"/>
  <c r="BO163" i="13"/>
  <c r="BO189" i="13" s="1"/>
  <c r="BG136" i="13"/>
  <c r="BG163" i="13"/>
  <c r="AY136" i="13"/>
  <c r="AY163" i="13"/>
  <c r="AQ136" i="13"/>
  <c r="AQ163" i="13"/>
  <c r="AI136" i="13"/>
  <c r="AI163" i="13"/>
  <c r="AI189" i="13" s="1"/>
  <c r="AA136" i="13"/>
  <c r="AA163" i="13"/>
  <c r="S136" i="13"/>
  <c r="S163" i="13"/>
  <c r="K136" i="13"/>
  <c r="K163" i="13"/>
  <c r="CW135" i="13"/>
  <c r="H162" i="13"/>
  <c r="H188" i="13" s="1"/>
  <c r="P162" i="13"/>
  <c r="P188" i="13" s="1"/>
  <c r="X162" i="13"/>
  <c r="X188" i="13" s="1"/>
  <c r="AF162" i="13"/>
  <c r="AF188" i="13" s="1"/>
  <c r="AN162" i="13"/>
  <c r="AN188" i="13" s="1"/>
  <c r="AV162" i="13"/>
  <c r="AV188" i="13" s="1"/>
  <c r="BD162" i="13"/>
  <c r="BD188" i="13" s="1"/>
  <c r="BL162" i="13"/>
  <c r="BL188" i="13" s="1"/>
  <c r="BT162" i="13"/>
  <c r="BT188" i="13" s="1"/>
  <c r="CB162" i="13"/>
  <c r="CB188" i="13" s="1"/>
  <c r="CJ162" i="13"/>
  <c r="CJ188" i="13" s="1"/>
  <c r="CR162" i="13"/>
  <c r="CR188" i="13" s="1"/>
  <c r="F162" i="13"/>
  <c r="F188" i="13" s="1"/>
  <c r="N162" i="13"/>
  <c r="N188" i="13" s="1"/>
  <c r="V162" i="13"/>
  <c r="V188" i="13" s="1"/>
  <c r="AD162" i="13"/>
  <c r="AD188" i="13" s="1"/>
  <c r="AL162" i="13"/>
  <c r="AL188" i="13" s="1"/>
  <c r="AT162" i="13"/>
  <c r="AT188" i="13" s="1"/>
  <c r="BB162" i="13"/>
  <c r="BB188" i="13" s="1"/>
  <c r="BJ162" i="13"/>
  <c r="BJ188" i="13" s="1"/>
  <c r="BR162" i="13"/>
  <c r="BR188" i="13" s="1"/>
  <c r="BZ162" i="13"/>
  <c r="BZ188" i="13" s="1"/>
  <c r="CH162" i="13"/>
  <c r="CH188" i="13" s="1"/>
  <c r="CP162" i="13"/>
  <c r="CP188" i="13" s="1"/>
  <c r="L162" i="13"/>
  <c r="L188" i="13" s="1"/>
  <c r="AB162" i="13"/>
  <c r="AB188" i="13" s="1"/>
  <c r="AR162" i="13"/>
  <c r="AR188" i="13" s="1"/>
  <c r="BH162" i="13"/>
  <c r="BH188" i="13" s="1"/>
  <c r="BX162" i="13"/>
  <c r="BX188" i="13" s="1"/>
  <c r="CN162" i="13"/>
  <c r="CN188" i="13" s="1"/>
  <c r="O162" i="13"/>
  <c r="O188" i="13" s="1"/>
  <c r="AE162" i="13"/>
  <c r="AE188" i="13" s="1"/>
  <c r="AU162" i="13"/>
  <c r="AU188" i="13" s="1"/>
  <c r="BK162" i="13"/>
  <c r="BK188" i="13" s="1"/>
  <c r="CA162" i="13"/>
  <c r="CA188" i="13" s="1"/>
  <c r="CQ162" i="13"/>
  <c r="CQ188" i="13" s="1"/>
  <c r="G162" i="13"/>
  <c r="G188" i="13" s="1"/>
  <c r="W162" i="13"/>
  <c r="W188" i="13" s="1"/>
  <c r="AM162" i="13"/>
  <c r="AM188" i="13" s="1"/>
  <c r="BC162" i="13"/>
  <c r="BC188" i="13" s="1"/>
  <c r="BS162" i="13"/>
  <c r="BS188" i="13" s="1"/>
  <c r="CI162" i="13"/>
  <c r="CI188" i="13" s="1"/>
  <c r="D162" i="13"/>
  <c r="D188" i="13" s="1"/>
  <c r="AJ162" i="13"/>
  <c r="AJ188" i="13" s="1"/>
  <c r="BP162" i="13"/>
  <c r="BP188" i="13" s="1"/>
  <c r="CV162" i="13"/>
  <c r="CV188" i="13" s="1"/>
  <c r="T162" i="13"/>
  <c r="T188" i="13" s="1"/>
  <c r="AZ162" i="13"/>
  <c r="AZ188" i="13" s="1"/>
  <c r="CF162" i="13"/>
  <c r="CF188" i="13" s="1"/>
  <c r="K162" i="13"/>
  <c r="K188" i="13" s="1"/>
  <c r="BW162" i="13"/>
  <c r="BW188" i="13" s="1"/>
  <c r="S162" i="13"/>
  <c r="S188" i="13" s="1"/>
  <c r="CE162" i="13"/>
  <c r="CE188" i="13" s="1"/>
  <c r="AA162" i="13"/>
  <c r="AA188" i="13" s="1"/>
  <c r="CM162" i="13"/>
  <c r="CM188" i="13" s="1"/>
  <c r="CO135" i="13"/>
  <c r="CO162" i="13"/>
  <c r="CO188" i="13" s="1"/>
  <c r="CG135" i="13"/>
  <c r="CG162" i="13"/>
  <c r="BY135" i="13"/>
  <c r="BY162" i="13"/>
  <c r="BQ135" i="13"/>
  <c r="BQ162" i="13"/>
  <c r="BI135" i="13"/>
  <c r="BI162" i="13"/>
  <c r="BI188" i="13" s="1"/>
  <c r="AS135" i="13"/>
  <c r="AS162" i="13"/>
  <c r="AK135" i="13"/>
  <c r="AK162" i="13"/>
  <c r="AC135" i="13"/>
  <c r="AC162" i="13"/>
  <c r="U135" i="13"/>
  <c r="U162" i="13"/>
  <c r="U188" i="13" s="1"/>
  <c r="M135" i="13"/>
  <c r="M162" i="13"/>
  <c r="E135" i="13"/>
  <c r="E162" i="13"/>
  <c r="CQ134" i="13"/>
  <c r="CQ161" i="13"/>
  <c r="CI134" i="13"/>
  <c r="CI161" i="13"/>
  <c r="CI187" i="13" s="1"/>
  <c r="CA134" i="13"/>
  <c r="CA161" i="13"/>
  <c r="BS134" i="13"/>
  <c r="BS161" i="13"/>
  <c r="BK134" i="13"/>
  <c r="BK161" i="13"/>
  <c r="BC134" i="13"/>
  <c r="BC161" i="13"/>
  <c r="BC187" i="13" s="1"/>
  <c r="AU161" i="13"/>
  <c r="AU134" i="13"/>
  <c r="AM134" i="13"/>
  <c r="AM161" i="13"/>
  <c r="AE134" i="13"/>
  <c r="AE161" i="13"/>
  <c r="W134" i="13"/>
  <c r="W161" i="13"/>
  <c r="W187" i="13" s="1"/>
  <c r="O134" i="13"/>
  <c r="O161" i="13"/>
  <c r="G134" i="13"/>
  <c r="G161" i="13"/>
  <c r="CS133" i="13"/>
  <c r="CS160" i="13"/>
  <c r="CK133" i="13"/>
  <c r="CK160" i="13"/>
  <c r="CK186" i="13" s="1"/>
  <c r="CC133" i="13"/>
  <c r="CC160" i="13"/>
  <c r="BU133" i="13"/>
  <c r="BU160" i="13"/>
  <c r="BE133" i="13"/>
  <c r="BE160" i="13"/>
  <c r="AW133" i="13"/>
  <c r="AW160" i="13"/>
  <c r="AW186" i="13" s="1"/>
  <c r="AO133" i="13"/>
  <c r="AO160" i="13"/>
  <c r="AG133" i="13"/>
  <c r="AG160" i="13"/>
  <c r="Y133" i="13"/>
  <c r="Y160" i="13"/>
  <c r="Q133" i="13"/>
  <c r="Q160" i="13"/>
  <c r="Q186" i="13" s="1"/>
  <c r="I160" i="13"/>
  <c r="I186" i="13" s="1"/>
  <c r="I133" i="13"/>
  <c r="CU132" i="13"/>
  <c r="CU159" i="13"/>
  <c r="CM132" i="13"/>
  <c r="CM159" i="13"/>
  <c r="CE132" i="13"/>
  <c r="CE159" i="13"/>
  <c r="CE185" i="13" s="1"/>
  <c r="BW132" i="13"/>
  <c r="BW159" i="13"/>
  <c r="BO132" i="13"/>
  <c r="BO159" i="13"/>
  <c r="BG132" i="13"/>
  <c r="BG159" i="13"/>
  <c r="AY132" i="13"/>
  <c r="AY159" i="13"/>
  <c r="AY185" i="13" s="1"/>
  <c r="AQ132" i="13"/>
  <c r="AQ159" i="13"/>
  <c r="AI132" i="13"/>
  <c r="AI159" i="13"/>
  <c r="AA132" i="13"/>
  <c r="AA159" i="13"/>
  <c r="S132" i="13"/>
  <c r="S159" i="13"/>
  <c r="S185" i="13" s="1"/>
  <c r="CW131" i="13"/>
  <c r="H158" i="13"/>
  <c r="H184" i="13" s="1"/>
  <c r="P158" i="13"/>
  <c r="P184" i="13" s="1"/>
  <c r="X158" i="13"/>
  <c r="X184" i="13" s="1"/>
  <c r="AF158" i="13"/>
  <c r="AF184" i="13" s="1"/>
  <c r="AN158" i="13"/>
  <c r="AN184" i="13" s="1"/>
  <c r="AV158" i="13"/>
  <c r="AV184" i="13" s="1"/>
  <c r="AL158" i="13"/>
  <c r="AL184" i="13" s="1"/>
  <c r="AZ158" i="13"/>
  <c r="AZ184" i="13" s="1"/>
  <c r="BJ158" i="13"/>
  <c r="BJ184" i="13" s="1"/>
  <c r="BT158" i="13"/>
  <c r="BT184" i="13" s="1"/>
  <c r="CV158" i="13"/>
  <c r="CV184" i="13" s="1"/>
  <c r="N158" i="13"/>
  <c r="N184" i="13" s="1"/>
  <c r="AB158" i="13"/>
  <c r="AB184" i="13" s="1"/>
  <c r="AM158" i="13"/>
  <c r="AM184" i="13" s="1"/>
  <c r="BK158" i="13"/>
  <c r="BK184" i="13" s="1"/>
  <c r="CN158" i="13"/>
  <c r="CN184" i="13" s="1"/>
  <c r="D158" i="13"/>
  <c r="D184" i="13" s="1"/>
  <c r="O158" i="13"/>
  <c r="O184" i="13" s="1"/>
  <c r="BB158" i="13"/>
  <c r="BB184" i="13" s="1"/>
  <c r="BL158" i="13"/>
  <c r="BL184" i="13" s="1"/>
  <c r="CF158" i="13"/>
  <c r="CF184" i="13" s="1"/>
  <c r="V158" i="13"/>
  <c r="V184" i="13" s="1"/>
  <c r="AJ158" i="13"/>
  <c r="AJ184" i="13" s="1"/>
  <c r="AU158" i="13"/>
  <c r="AU184" i="13" s="1"/>
  <c r="BH158" i="13"/>
  <c r="BH184" i="13" s="1"/>
  <c r="BR158" i="13"/>
  <c r="BR184" i="13" s="1"/>
  <c r="CA158" i="13"/>
  <c r="CA184" i="13" s="1"/>
  <c r="CJ158" i="13"/>
  <c r="CJ184" i="13" s="1"/>
  <c r="L158" i="13"/>
  <c r="L184" i="13" s="1"/>
  <c r="CB158" i="13"/>
  <c r="CB184" i="13" s="1"/>
  <c r="AR158" i="13"/>
  <c r="AR184" i="13" s="1"/>
  <c r="T158" i="13"/>
  <c r="T184" i="13" s="1"/>
  <c r="BP158" i="13"/>
  <c r="BP184" i="13" s="1"/>
  <c r="CH158" i="13"/>
  <c r="CH184" i="13" s="1"/>
  <c r="F158" i="13"/>
  <c r="F184" i="13" s="1"/>
  <c r="AE158" i="13"/>
  <c r="AE184" i="13" s="1"/>
  <c r="BD158" i="13"/>
  <c r="BD184" i="13" s="1"/>
  <c r="CQ158" i="13"/>
  <c r="CQ184" i="13" s="1"/>
  <c r="G158" i="13"/>
  <c r="G184" i="13" s="1"/>
  <c r="CR158" i="13"/>
  <c r="CR184" i="13" s="1"/>
  <c r="W158" i="13"/>
  <c r="W184" i="13" s="1"/>
  <c r="BS158" i="13"/>
  <c r="BS184" i="13" s="1"/>
  <c r="AT158" i="13"/>
  <c r="AT184" i="13" s="1"/>
  <c r="CI158" i="13"/>
  <c r="CI184" i="13" s="1"/>
  <c r="CP158" i="13"/>
  <c r="CP184" i="13" s="1"/>
  <c r="AD158" i="13"/>
  <c r="AD184" i="13" s="1"/>
  <c r="AW158" i="13"/>
  <c r="AW184" i="13" s="1"/>
  <c r="CO131" i="13"/>
  <c r="CO158" i="13"/>
  <c r="CG131" i="13"/>
  <c r="CG158" i="13"/>
  <c r="BY131" i="13"/>
  <c r="BY158" i="13"/>
  <c r="BQ131" i="13"/>
  <c r="BQ158" i="13"/>
  <c r="BQ184" i="13" s="1"/>
  <c r="BI131" i="13"/>
  <c r="BI158" i="13"/>
  <c r="BA131" i="13"/>
  <c r="BA158" i="13"/>
  <c r="AS131" i="13"/>
  <c r="AS158" i="13"/>
  <c r="AK131" i="13"/>
  <c r="AK158" i="13"/>
  <c r="AK184" i="13" s="1"/>
  <c r="AC131" i="13"/>
  <c r="AC158" i="13"/>
  <c r="U131" i="13"/>
  <c r="U158" i="13"/>
  <c r="M158" i="13"/>
  <c r="M131" i="13"/>
  <c r="E131" i="13"/>
  <c r="E158" i="13"/>
  <c r="E184" i="13" s="1"/>
  <c r="CI130" i="13"/>
  <c r="CI157" i="13"/>
  <c r="BS130" i="13"/>
  <c r="BS157" i="13"/>
  <c r="BK130" i="13"/>
  <c r="BK157" i="13"/>
  <c r="BC157" i="13"/>
  <c r="BC130" i="13"/>
  <c r="AU157" i="13"/>
  <c r="AU183" i="13" s="1"/>
  <c r="AU130" i="13"/>
  <c r="AM130" i="13"/>
  <c r="AM157" i="13"/>
  <c r="AE130" i="13"/>
  <c r="AE157" i="13"/>
  <c r="W130" i="13"/>
  <c r="W157" i="13"/>
  <c r="W183" i="13" s="1"/>
  <c r="O130" i="13"/>
  <c r="O157" i="13"/>
  <c r="G130" i="13"/>
  <c r="G157" i="13"/>
  <c r="CS129" i="13"/>
  <c r="CS156" i="13"/>
  <c r="CC129" i="13"/>
  <c r="CC156" i="13"/>
  <c r="CC182" i="13" s="1"/>
  <c r="BM129" i="13"/>
  <c r="BM156" i="13"/>
  <c r="BE129" i="13"/>
  <c r="BE156" i="13"/>
  <c r="AW129" i="13"/>
  <c r="AW156" i="13"/>
  <c r="AO129" i="13"/>
  <c r="AO156" i="13"/>
  <c r="AO182" i="13" s="1"/>
  <c r="AG129" i="13"/>
  <c r="AG156" i="13"/>
  <c r="Y129" i="13"/>
  <c r="Y156" i="13"/>
  <c r="I129" i="13"/>
  <c r="I156" i="13"/>
  <c r="CU128" i="13"/>
  <c r="CU155" i="13"/>
  <c r="CU181" i="13" s="1"/>
  <c r="CM128" i="13"/>
  <c r="CM155" i="13"/>
  <c r="CE128" i="13"/>
  <c r="CE155" i="13"/>
  <c r="BW128" i="13"/>
  <c r="BW155" i="13"/>
  <c r="BO128" i="13"/>
  <c r="BO155" i="13"/>
  <c r="BO181" i="13" s="1"/>
  <c r="BG128" i="13"/>
  <c r="BG155" i="13"/>
  <c r="AY128" i="13"/>
  <c r="AY155" i="13"/>
  <c r="AQ155" i="13"/>
  <c r="AQ128" i="13"/>
  <c r="AI128" i="13"/>
  <c r="AI155" i="13"/>
  <c r="AI181" i="13" s="1"/>
  <c r="AA128" i="13"/>
  <c r="AA155" i="13"/>
  <c r="S128" i="13"/>
  <c r="S155" i="13"/>
  <c r="K155" i="13"/>
  <c r="K128" i="13"/>
  <c r="CW127" i="13"/>
  <c r="F154" i="13"/>
  <c r="F180" i="13" s="1"/>
  <c r="N154" i="13"/>
  <c r="N180" i="13" s="1"/>
  <c r="V154" i="13"/>
  <c r="V180" i="13" s="1"/>
  <c r="AD154" i="13"/>
  <c r="AD180" i="13" s="1"/>
  <c r="AL154" i="13"/>
  <c r="AL180" i="13" s="1"/>
  <c r="AT154" i="13"/>
  <c r="AT180" i="13" s="1"/>
  <c r="BB154" i="13"/>
  <c r="BB180" i="13" s="1"/>
  <c r="BJ154" i="13"/>
  <c r="BJ180" i="13" s="1"/>
  <c r="BR154" i="13"/>
  <c r="BR180" i="13" s="1"/>
  <c r="BZ154" i="13"/>
  <c r="BZ180" i="13" s="1"/>
  <c r="CH154" i="13"/>
  <c r="CH180" i="13" s="1"/>
  <c r="CP154" i="13"/>
  <c r="CP180" i="13" s="1"/>
  <c r="G154" i="13"/>
  <c r="G180" i="13" s="1"/>
  <c r="O154" i="13"/>
  <c r="O180" i="13" s="1"/>
  <c r="W154" i="13"/>
  <c r="W180" i="13" s="1"/>
  <c r="AE154" i="13"/>
  <c r="AE180" i="13" s="1"/>
  <c r="AM154" i="13"/>
  <c r="AM180" i="13" s="1"/>
  <c r="AU154" i="13"/>
  <c r="AU180" i="13" s="1"/>
  <c r="BC154" i="13"/>
  <c r="BC180" i="13" s="1"/>
  <c r="BK154" i="13"/>
  <c r="BK180" i="13" s="1"/>
  <c r="BS154" i="13"/>
  <c r="BS180" i="13" s="1"/>
  <c r="CA154" i="13"/>
  <c r="CA180" i="13" s="1"/>
  <c r="CI154" i="13"/>
  <c r="CI180" i="13" s="1"/>
  <c r="CQ154" i="13"/>
  <c r="CQ180" i="13" s="1"/>
  <c r="H154" i="13"/>
  <c r="H180" i="13" s="1"/>
  <c r="P154" i="13"/>
  <c r="P180" i="13" s="1"/>
  <c r="X154" i="13"/>
  <c r="X180" i="13" s="1"/>
  <c r="AF154" i="13"/>
  <c r="AF180" i="13" s="1"/>
  <c r="AN154" i="13"/>
  <c r="AN180" i="13" s="1"/>
  <c r="AV154" i="13"/>
  <c r="AV180" i="13" s="1"/>
  <c r="BD154" i="13"/>
  <c r="BD180" i="13" s="1"/>
  <c r="BL154" i="13"/>
  <c r="BL180" i="13" s="1"/>
  <c r="BT154" i="13"/>
  <c r="BT180" i="13" s="1"/>
  <c r="CB154" i="13"/>
  <c r="CB180" i="13" s="1"/>
  <c r="CJ154" i="13"/>
  <c r="CJ180" i="13" s="1"/>
  <c r="CR154" i="13"/>
  <c r="CR180" i="13" s="1"/>
  <c r="D154" i="13"/>
  <c r="D180" i="13" s="1"/>
  <c r="L154" i="13"/>
  <c r="L180" i="13" s="1"/>
  <c r="T154" i="13"/>
  <c r="T180" i="13" s="1"/>
  <c r="AB154" i="13"/>
  <c r="AB180" i="13" s="1"/>
  <c r="AJ154" i="13"/>
  <c r="AJ180" i="13" s="1"/>
  <c r="AR154" i="13"/>
  <c r="AR180" i="13" s="1"/>
  <c r="AZ154" i="13"/>
  <c r="AZ180" i="13" s="1"/>
  <c r="BH154" i="13"/>
  <c r="BH180" i="13" s="1"/>
  <c r="BP154" i="13"/>
  <c r="BP180" i="13" s="1"/>
  <c r="BX154" i="13"/>
  <c r="BX180" i="13" s="1"/>
  <c r="CF154" i="13"/>
  <c r="CF180" i="13" s="1"/>
  <c r="CN154" i="13"/>
  <c r="CN180" i="13" s="1"/>
  <c r="CV154" i="13"/>
  <c r="CV180" i="13" s="1"/>
  <c r="AI154" i="13"/>
  <c r="AI180" i="13" s="1"/>
  <c r="CU154" i="13"/>
  <c r="CU180" i="13" s="1"/>
  <c r="BO154" i="13"/>
  <c r="BO180" i="13" s="1"/>
  <c r="BG154" i="13"/>
  <c r="BG180" i="13" s="1"/>
  <c r="BU154" i="13"/>
  <c r="BU180" i="13" s="1"/>
  <c r="CK154" i="13"/>
  <c r="CK180" i="13" s="1"/>
  <c r="CO127" i="13"/>
  <c r="CO154" i="13"/>
  <c r="CO180" i="13" s="1"/>
  <c r="CG127" i="13"/>
  <c r="CG154" i="13"/>
  <c r="BY127" i="13"/>
  <c r="BY154" i="13"/>
  <c r="BQ127" i="13"/>
  <c r="BQ154" i="13"/>
  <c r="BI127" i="13"/>
  <c r="BI154" i="13"/>
  <c r="BI180" i="13" s="1"/>
  <c r="BA127" i="13"/>
  <c r="BA154" i="13"/>
  <c r="AS127" i="13"/>
  <c r="AS154" i="13"/>
  <c r="AK127" i="13"/>
  <c r="AK154" i="13"/>
  <c r="AC127" i="13"/>
  <c r="AC154" i="13"/>
  <c r="AC180" i="13" s="1"/>
  <c r="U127" i="13"/>
  <c r="U154" i="13"/>
  <c r="M127" i="13"/>
  <c r="M154" i="13"/>
  <c r="E127" i="13"/>
  <c r="E154" i="13"/>
  <c r="CQ126" i="13"/>
  <c r="CQ153" i="13"/>
  <c r="CQ179" i="13" s="1"/>
  <c r="CI126" i="13"/>
  <c r="CI153" i="13"/>
  <c r="CA126" i="13"/>
  <c r="CA153" i="13"/>
  <c r="BS153" i="13"/>
  <c r="BS126" i="13"/>
  <c r="BK126" i="13"/>
  <c r="BK153" i="13"/>
  <c r="BK179" i="13" s="1"/>
  <c r="BC126" i="13"/>
  <c r="BC153" i="13"/>
  <c r="AU126" i="13"/>
  <c r="AU153" i="13"/>
  <c r="AM126" i="13"/>
  <c r="AM153" i="13"/>
  <c r="AE126" i="13"/>
  <c r="AE153" i="13"/>
  <c r="AE179" i="13" s="1"/>
  <c r="W126" i="13"/>
  <c r="W153" i="13"/>
  <c r="O126" i="13"/>
  <c r="O153" i="13"/>
  <c r="G126" i="13"/>
  <c r="G153" i="13"/>
  <c r="CS125" i="13"/>
  <c r="CS152" i="13"/>
  <c r="CS178" i="13" s="1"/>
  <c r="CK125" i="13"/>
  <c r="CK152" i="13"/>
  <c r="CC125" i="13"/>
  <c r="CC152" i="13"/>
  <c r="BU125" i="13"/>
  <c r="BU152" i="13"/>
  <c r="BM152" i="13"/>
  <c r="BM125" i="13"/>
  <c r="BE125" i="13"/>
  <c r="BE152" i="13"/>
  <c r="AW125" i="13"/>
  <c r="AW152" i="13"/>
  <c r="AO125" i="13"/>
  <c r="AO152" i="13"/>
  <c r="AG125" i="13"/>
  <c r="AG152" i="13"/>
  <c r="AG178" i="13" s="1"/>
  <c r="Y125" i="13"/>
  <c r="Y152" i="13"/>
  <c r="Q125" i="13"/>
  <c r="Q152" i="13"/>
  <c r="I125" i="13"/>
  <c r="I152" i="13"/>
  <c r="CU151" i="13"/>
  <c r="CU124" i="13"/>
  <c r="CM124" i="13"/>
  <c r="CM151" i="13"/>
  <c r="CE124" i="13"/>
  <c r="CE151" i="13"/>
  <c r="BW124" i="13"/>
  <c r="BW151" i="13"/>
  <c r="BO124" i="13"/>
  <c r="BO151" i="13"/>
  <c r="BO177" i="13" s="1"/>
  <c r="BG124" i="13"/>
  <c r="BG151" i="13"/>
  <c r="AY124" i="13"/>
  <c r="AY151" i="13"/>
  <c r="AQ124" i="13"/>
  <c r="AQ151" i="13"/>
  <c r="AI124" i="13"/>
  <c r="AI151" i="13"/>
  <c r="AI177" i="13" s="1"/>
  <c r="AA124" i="13"/>
  <c r="AA151" i="13"/>
  <c r="S124" i="13"/>
  <c r="S151" i="13"/>
  <c r="K124" i="13"/>
  <c r="K151" i="13"/>
  <c r="CW123" i="13"/>
  <c r="F150" i="13"/>
  <c r="F176" i="13" s="1"/>
  <c r="N150" i="13"/>
  <c r="N176" i="13" s="1"/>
  <c r="V150" i="13"/>
  <c r="V176" i="13" s="1"/>
  <c r="AD150" i="13"/>
  <c r="AD176" i="13" s="1"/>
  <c r="AL150" i="13"/>
  <c r="AL176" i="13" s="1"/>
  <c r="AT150" i="13"/>
  <c r="AT176" i="13" s="1"/>
  <c r="BB150" i="13"/>
  <c r="BB176" i="13" s="1"/>
  <c r="BJ150" i="13"/>
  <c r="BJ176" i="13" s="1"/>
  <c r="BR150" i="13"/>
  <c r="BR176" i="13" s="1"/>
  <c r="BZ150" i="13"/>
  <c r="BZ176" i="13" s="1"/>
  <c r="CH150" i="13"/>
  <c r="CH176" i="13" s="1"/>
  <c r="CP150" i="13"/>
  <c r="CP176" i="13" s="1"/>
  <c r="G150" i="13"/>
  <c r="G176" i="13" s="1"/>
  <c r="O150" i="13"/>
  <c r="O176" i="13" s="1"/>
  <c r="W150" i="13"/>
  <c r="W176" i="13" s="1"/>
  <c r="AE150" i="13"/>
  <c r="AE176" i="13" s="1"/>
  <c r="AM150" i="13"/>
  <c r="AM176" i="13" s="1"/>
  <c r="AU150" i="13"/>
  <c r="AU176" i="13" s="1"/>
  <c r="BC150" i="13"/>
  <c r="BC176" i="13" s="1"/>
  <c r="BK150" i="13"/>
  <c r="BK176" i="13" s="1"/>
  <c r="BS150" i="13"/>
  <c r="BS176" i="13" s="1"/>
  <c r="CA150" i="13"/>
  <c r="CA176" i="13" s="1"/>
  <c r="CI150" i="13"/>
  <c r="CI176" i="13" s="1"/>
  <c r="CQ150" i="13"/>
  <c r="CQ176" i="13" s="1"/>
  <c r="T150" i="13"/>
  <c r="T176" i="13" s="1"/>
  <c r="AF150" i="13"/>
  <c r="AF176" i="13" s="1"/>
  <c r="AZ150" i="13"/>
  <c r="AZ176" i="13" s="1"/>
  <c r="BL150" i="13"/>
  <c r="BL176" i="13" s="1"/>
  <c r="CF150" i="13"/>
  <c r="CF176" i="13" s="1"/>
  <c r="CR150" i="13"/>
  <c r="CR176" i="13" s="1"/>
  <c r="AG150" i="13"/>
  <c r="AG176" i="13" s="1"/>
  <c r="L150" i="13"/>
  <c r="L176" i="13" s="1"/>
  <c r="X150" i="13"/>
  <c r="X176" i="13" s="1"/>
  <c r="AR150" i="13"/>
  <c r="AR176" i="13" s="1"/>
  <c r="BD150" i="13"/>
  <c r="BD176" i="13" s="1"/>
  <c r="BX150" i="13"/>
  <c r="BX176" i="13" s="1"/>
  <c r="CJ150" i="13"/>
  <c r="CJ176" i="13" s="1"/>
  <c r="H150" i="13"/>
  <c r="H176" i="13" s="1"/>
  <c r="AB150" i="13"/>
  <c r="AB176" i="13" s="1"/>
  <c r="AN150" i="13"/>
  <c r="AN176" i="13" s="1"/>
  <c r="BH150" i="13"/>
  <c r="BH176" i="13" s="1"/>
  <c r="BT150" i="13"/>
  <c r="BT176" i="13" s="1"/>
  <c r="CN150" i="13"/>
  <c r="CN176" i="13" s="1"/>
  <c r="AO150" i="13"/>
  <c r="AO176" i="13" s="1"/>
  <c r="Y150" i="13"/>
  <c r="Y176" i="13" s="1"/>
  <c r="CK150" i="13"/>
  <c r="CK176" i="13" s="1"/>
  <c r="D150" i="13"/>
  <c r="D176" i="13" s="1"/>
  <c r="AV150" i="13"/>
  <c r="AV176" i="13" s="1"/>
  <c r="BP150" i="13"/>
  <c r="BP176" i="13" s="1"/>
  <c r="P150" i="13"/>
  <c r="P176" i="13" s="1"/>
  <c r="AJ150" i="13"/>
  <c r="AJ176" i="13" s="1"/>
  <c r="CB150" i="13"/>
  <c r="CB176" i="13" s="1"/>
  <c r="CV150" i="13"/>
  <c r="CV176" i="13" s="1"/>
  <c r="AW150" i="13"/>
  <c r="AW176" i="13" s="1"/>
  <c r="I150" i="13"/>
  <c r="I176" i="13" s="1"/>
  <c r="BE150" i="13"/>
  <c r="BE176" i="13" s="1"/>
  <c r="BU150" i="13"/>
  <c r="BU176" i="13" s="1"/>
  <c r="CC150" i="13"/>
  <c r="CC176" i="13" s="1"/>
  <c r="Q150" i="13"/>
  <c r="Q176" i="13" s="1"/>
  <c r="AA150" i="13"/>
  <c r="AA176" i="13" s="1"/>
  <c r="CO123" i="13"/>
  <c r="CO150" i="13"/>
  <c r="CG123" i="13"/>
  <c r="CG150" i="13"/>
  <c r="BY123" i="13"/>
  <c r="BY150" i="13"/>
  <c r="BQ123" i="13"/>
  <c r="BQ150" i="13"/>
  <c r="BQ176" i="13" s="1"/>
  <c r="BI123" i="13"/>
  <c r="BI150" i="13"/>
  <c r="BA123" i="13"/>
  <c r="BA150" i="13"/>
  <c r="AS123" i="13"/>
  <c r="AS150" i="13"/>
  <c r="AK123" i="13"/>
  <c r="AK150" i="13"/>
  <c r="AK176" i="13" s="1"/>
  <c r="AC123" i="13"/>
  <c r="AC150" i="13"/>
  <c r="U123" i="13"/>
  <c r="U150" i="13"/>
  <c r="M123" i="13"/>
  <c r="M150" i="13"/>
  <c r="E123" i="13"/>
  <c r="E150" i="13"/>
  <c r="E176" i="13" s="1"/>
  <c r="CQ149" i="13"/>
  <c r="CQ175" i="13" s="1"/>
  <c r="CQ122" i="13"/>
  <c r="CI149" i="13"/>
  <c r="CI122" i="13"/>
  <c r="CA122" i="13"/>
  <c r="CA149" i="13"/>
  <c r="CA175" i="13" s="1"/>
  <c r="BS122" i="13"/>
  <c r="BS149" i="13"/>
  <c r="BS175" i="13" s="1"/>
  <c r="BK149" i="13"/>
  <c r="BK175" i="13" s="1"/>
  <c r="BK122" i="13"/>
  <c r="BC149" i="13"/>
  <c r="BC122" i="13"/>
  <c r="AU122" i="13"/>
  <c r="AU149" i="13"/>
  <c r="AU175" i="13" s="1"/>
  <c r="AM149" i="13"/>
  <c r="AM122" i="13"/>
  <c r="AE149" i="13"/>
  <c r="AE175" i="13" s="1"/>
  <c r="AE122" i="13"/>
  <c r="W122" i="13"/>
  <c r="W149" i="13"/>
  <c r="O122" i="13"/>
  <c r="O149" i="13"/>
  <c r="O175" i="13" s="1"/>
  <c r="G122" i="13"/>
  <c r="G149" i="13"/>
  <c r="G175" i="13" s="1"/>
  <c r="CS121" i="13"/>
  <c r="CS148" i="13"/>
  <c r="CK148" i="13"/>
  <c r="CK121" i="13"/>
  <c r="CC121" i="13"/>
  <c r="CC148" i="13"/>
  <c r="CC174" i="13" s="1"/>
  <c r="BU121" i="13"/>
  <c r="BU148" i="13"/>
  <c r="BU174" i="13" s="1"/>
  <c r="BM148" i="13"/>
  <c r="BM174" i="13" s="1"/>
  <c r="BM121" i="13"/>
  <c r="BE121" i="13"/>
  <c r="BE148" i="13"/>
  <c r="AW121" i="13"/>
  <c r="AW148" i="13"/>
  <c r="AW174" i="13" s="1"/>
  <c r="AO121" i="13"/>
  <c r="AO148" i="13"/>
  <c r="AO174" i="13" s="1"/>
  <c r="AG148" i="13"/>
  <c r="AG174" i="13" s="1"/>
  <c r="AG121" i="13"/>
  <c r="Y148" i="13"/>
  <c r="Y121" i="13"/>
  <c r="Q121" i="13"/>
  <c r="Q148" i="13"/>
  <c r="Q174" i="13" s="1"/>
  <c r="I148" i="13"/>
  <c r="I121" i="13"/>
  <c r="CU120" i="13"/>
  <c r="CU147" i="13"/>
  <c r="CM120" i="13"/>
  <c r="CM147" i="13"/>
  <c r="CE120" i="13"/>
  <c r="CE147" i="13"/>
  <c r="BW120" i="13"/>
  <c r="BW147" i="13"/>
  <c r="BO120" i="13"/>
  <c r="BO147" i="13"/>
  <c r="BG120" i="13"/>
  <c r="BG147" i="13"/>
  <c r="AY120" i="13"/>
  <c r="AY147" i="13"/>
  <c r="AQ120" i="13"/>
  <c r="AQ147" i="13"/>
  <c r="AI120" i="13"/>
  <c r="AI147" i="13"/>
  <c r="AA120" i="13"/>
  <c r="AA147" i="13"/>
  <c r="S120" i="13"/>
  <c r="S147" i="13"/>
  <c r="K120" i="13"/>
  <c r="K147" i="13"/>
  <c r="BE164" i="13"/>
  <c r="BE190" i="13" s="1"/>
  <c r="CA157" i="13"/>
  <c r="CA183" i="13" s="1"/>
  <c r="CK156" i="13"/>
  <c r="CK182" i="13" s="1"/>
  <c r="BE154" i="13"/>
  <c r="BE180" i="13" s="1"/>
  <c r="Q164" i="13"/>
  <c r="Q190" i="13" s="1"/>
  <c r="BU156" i="13"/>
  <c r="BU182" i="13" s="1"/>
  <c r="Y154" i="13"/>
  <c r="Y180" i="13" s="1"/>
  <c r="BG150" i="13"/>
  <c r="BG176" i="13" s="1"/>
  <c r="CP137" i="13"/>
  <c r="CP164" i="13"/>
  <c r="CH137" i="13"/>
  <c r="CH164" i="13"/>
  <c r="BZ137" i="13"/>
  <c r="BZ164" i="13"/>
  <c r="BR137" i="13"/>
  <c r="BR164" i="13"/>
  <c r="BR190" i="13" s="1"/>
  <c r="BJ137" i="13"/>
  <c r="BJ164" i="13"/>
  <c r="BB137" i="13"/>
  <c r="BB164" i="13"/>
  <c r="AT137" i="13"/>
  <c r="AT164" i="13"/>
  <c r="AL137" i="13"/>
  <c r="AL164" i="13"/>
  <c r="AL190" i="13" s="1"/>
  <c r="AD137" i="13"/>
  <c r="AD164" i="13"/>
  <c r="V137" i="13"/>
  <c r="V164" i="13"/>
  <c r="V190" i="13" s="1"/>
  <c r="N137" i="13"/>
  <c r="N164" i="13"/>
  <c r="F137" i="13"/>
  <c r="F164" i="13"/>
  <c r="F190" i="13" s="1"/>
  <c r="CR136" i="13"/>
  <c r="CR163" i="13"/>
  <c r="CJ136" i="13"/>
  <c r="CJ163" i="13"/>
  <c r="CJ189" i="13" s="1"/>
  <c r="CB136" i="13"/>
  <c r="CB163" i="13"/>
  <c r="BT136" i="13"/>
  <c r="BT163" i="13"/>
  <c r="BT189" i="13" s="1"/>
  <c r="BL136" i="13"/>
  <c r="BL163" i="13"/>
  <c r="AV136" i="13"/>
  <c r="AV163" i="13"/>
  <c r="AV189" i="13" s="1"/>
  <c r="X136" i="13"/>
  <c r="X163" i="13"/>
  <c r="P136" i="13"/>
  <c r="P163" i="13"/>
  <c r="P189" i="13" s="1"/>
  <c r="H136" i="13"/>
  <c r="H163" i="13"/>
  <c r="CT135" i="13"/>
  <c r="CT162" i="13"/>
  <c r="CT188" i="13" s="1"/>
  <c r="CL135" i="13"/>
  <c r="CL162" i="13"/>
  <c r="CD135" i="13"/>
  <c r="CD162" i="13"/>
  <c r="CD188" i="13" s="1"/>
  <c r="BV135" i="13"/>
  <c r="BV162" i="13"/>
  <c r="BN135" i="13"/>
  <c r="BN162" i="13"/>
  <c r="BN188" i="13" s="1"/>
  <c r="BF135" i="13"/>
  <c r="BF162" i="13"/>
  <c r="AX135" i="13"/>
  <c r="AX162" i="13"/>
  <c r="AX188" i="13" s="1"/>
  <c r="AP135" i="13"/>
  <c r="AP162" i="13"/>
  <c r="AH135" i="13"/>
  <c r="AH162" i="13"/>
  <c r="AH188" i="13" s="1"/>
  <c r="Z135" i="13"/>
  <c r="Z162" i="13"/>
  <c r="R135" i="13"/>
  <c r="R162" i="13"/>
  <c r="R188" i="13" s="1"/>
  <c r="J135" i="13"/>
  <c r="J162" i="13"/>
  <c r="CV134" i="13"/>
  <c r="CV161" i="13"/>
  <c r="CV187" i="13" s="1"/>
  <c r="BX134" i="13"/>
  <c r="BX161" i="13"/>
  <c r="BP134" i="13"/>
  <c r="BP161" i="13"/>
  <c r="BP187" i="13" s="1"/>
  <c r="BH134" i="13"/>
  <c r="BH161" i="13"/>
  <c r="AZ134" i="13"/>
  <c r="AZ161" i="13"/>
  <c r="AZ187" i="13" s="1"/>
  <c r="AR134" i="13"/>
  <c r="AR161" i="13"/>
  <c r="AJ134" i="13"/>
  <c r="AJ161" i="13"/>
  <c r="AJ187" i="13" s="1"/>
  <c r="AB134" i="13"/>
  <c r="AB161" i="13"/>
  <c r="T134" i="13"/>
  <c r="T161" i="13"/>
  <c r="T187" i="13" s="1"/>
  <c r="L134" i="13"/>
  <c r="L161" i="13"/>
  <c r="D134" i="13"/>
  <c r="D161" i="13"/>
  <c r="D187" i="13" s="1"/>
  <c r="CP133" i="13"/>
  <c r="CP160" i="13"/>
  <c r="CH133" i="13"/>
  <c r="CH160" i="13"/>
  <c r="CH186" i="13" s="1"/>
  <c r="BZ133" i="13"/>
  <c r="BZ160" i="13"/>
  <c r="BR133" i="13"/>
  <c r="BR160" i="13"/>
  <c r="BR186" i="13" s="1"/>
  <c r="BJ133" i="13"/>
  <c r="BJ160" i="13"/>
  <c r="BB133" i="13"/>
  <c r="BB160" i="13"/>
  <c r="BB186" i="13" s="1"/>
  <c r="AL133" i="13"/>
  <c r="AL160" i="13"/>
  <c r="AD133" i="13"/>
  <c r="AD160" i="13"/>
  <c r="AD186" i="13" s="1"/>
  <c r="V133" i="13"/>
  <c r="V160" i="13"/>
  <c r="N133" i="13"/>
  <c r="N160" i="13"/>
  <c r="N186" i="13" s="1"/>
  <c r="F133" i="13"/>
  <c r="F160" i="13"/>
  <c r="CR132" i="13"/>
  <c r="CR159" i="13"/>
  <c r="CR185" i="13" s="1"/>
  <c r="CJ132" i="13"/>
  <c r="CJ159" i="13"/>
  <c r="CB132" i="13"/>
  <c r="CB159" i="13"/>
  <c r="CB185" i="13" s="1"/>
  <c r="BT132" i="13"/>
  <c r="BT159" i="13"/>
  <c r="BL132" i="13"/>
  <c r="BL159" i="13"/>
  <c r="BL185" i="13" s="1"/>
  <c r="BD132" i="13"/>
  <c r="BD159" i="13"/>
  <c r="AV132" i="13"/>
  <c r="AV159" i="13"/>
  <c r="AV185" i="13" s="1"/>
  <c r="AN132" i="13"/>
  <c r="AN159" i="13"/>
  <c r="AF132" i="13"/>
  <c r="AF159" i="13"/>
  <c r="AF185" i="13" s="1"/>
  <c r="X132" i="13"/>
  <c r="X159" i="13"/>
  <c r="P132" i="13"/>
  <c r="P159" i="13"/>
  <c r="P185" i="13" s="1"/>
  <c r="H132" i="13"/>
  <c r="H159" i="13"/>
  <c r="CT131" i="13"/>
  <c r="CT158" i="13"/>
  <c r="CT184" i="13" s="1"/>
  <c r="CL131" i="13"/>
  <c r="CL158" i="13"/>
  <c r="CD131" i="13"/>
  <c r="CD158" i="13"/>
  <c r="CD184" i="13" s="1"/>
  <c r="BV131" i="13"/>
  <c r="BV158" i="13"/>
  <c r="BN131" i="13"/>
  <c r="BN158" i="13"/>
  <c r="BN184" i="13" s="1"/>
  <c r="BF131" i="13"/>
  <c r="BF158" i="13"/>
  <c r="AX158" i="13"/>
  <c r="AX131" i="13"/>
  <c r="AP131" i="13"/>
  <c r="AP158" i="13"/>
  <c r="AH131" i="13"/>
  <c r="AH158" i="13"/>
  <c r="AH184" i="13" s="1"/>
  <c r="Z158" i="13"/>
  <c r="Z131" i="13"/>
  <c r="R131" i="13"/>
  <c r="R158" i="13"/>
  <c r="R184" i="13" s="1"/>
  <c r="J131" i="13"/>
  <c r="J158" i="13"/>
  <c r="CV130" i="13"/>
  <c r="CV157" i="13"/>
  <c r="CV183" i="13" s="1"/>
  <c r="CN130" i="13"/>
  <c r="CN157" i="13"/>
  <c r="CF157" i="13"/>
  <c r="CF130" i="13"/>
  <c r="BX130" i="13"/>
  <c r="BX157" i="13"/>
  <c r="BP130" i="13"/>
  <c r="BP157" i="13"/>
  <c r="BP183" i="13" s="1"/>
  <c r="BH130" i="13"/>
  <c r="BH157" i="13"/>
  <c r="AZ130" i="13"/>
  <c r="AZ157" i="13"/>
  <c r="AZ183" i="13" s="1"/>
  <c r="AR130" i="13"/>
  <c r="AR157" i="13"/>
  <c r="AJ130" i="13"/>
  <c r="AJ157" i="13"/>
  <c r="AJ183" i="13" s="1"/>
  <c r="AB130" i="13"/>
  <c r="AB157" i="13"/>
  <c r="T157" i="13"/>
  <c r="T130" i="13"/>
  <c r="L130" i="13"/>
  <c r="L157" i="13"/>
  <c r="D130" i="13"/>
  <c r="D157" i="13"/>
  <c r="D183" i="13" s="1"/>
  <c r="CP129" i="13"/>
  <c r="CP156" i="13"/>
  <c r="CH129" i="13"/>
  <c r="CH156" i="13"/>
  <c r="CH182" i="13" s="1"/>
  <c r="BZ129" i="13"/>
  <c r="BZ156" i="13"/>
  <c r="BR129" i="13"/>
  <c r="BR156" i="13"/>
  <c r="BR182" i="13" s="1"/>
  <c r="BJ129" i="13"/>
  <c r="BJ156" i="13"/>
  <c r="BJ182" i="13" s="1"/>
  <c r="BB129" i="13"/>
  <c r="BB156" i="13"/>
  <c r="BB182" i="13" s="1"/>
  <c r="AT129" i="13"/>
  <c r="AT156" i="13"/>
  <c r="AL129" i="13"/>
  <c r="AL156" i="13"/>
  <c r="AL182" i="13" s="1"/>
  <c r="AD129" i="13"/>
  <c r="AD156" i="13"/>
  <c r="AD182" i="13" s="1"/>
  <c r="V129" i="13"/>
  <c r="V156" i="13"/>
  <c r="V182" i="13" s="1"/>
  <c r="N129" i="13"/>
  <c r="N156" i="13"/>
  <c r="F129" i="13"/>
  <c r="F156" i="13"/>
  <c r="F182" i="13" s="1"/>
  <c r="CR128" i="13"/>
  <c r="CR155" i="13"/>
  <c r="CR181" i="13" s="1"/>
  <c r="CJ128" i="13"/>
  <c r="CJ155" i="13"/>
  <c r="CJ181" i="13" s="1"/>
  <c r="CB128" i="13"/>
  <c r="CB155" i="13"/>
  <c r="BT128" i="13"/>
  <c r="BT155" i="13"/>
  <c r="BT181" i="13" s="1"/>
  <c r="BL128" i="13"/>
  <c r="BL155" i="13"/>
  <c r="BL181" i="13" s="1"/>
  <c r="BD128" i="13"/>
  <c r="BD155" i="13"/>
  <c r="BD181" i="13" s="1"/>
  <c r="AV128" i="13"/>
  <c r="AV155" i="13"/>
  <c r="I154" i="13"/>
  <c r="I180" i="13" s="1"/>
  <c r="BD136" i="13"/>
  <c r="BD163" i="13"/>
  <c r="BD189" i="13" s="1"/>
  <c r="BG162" i="13"/>
  <c r="BG188" i="13" s="1"/>
  <c r="BA162" i="13"/>
  <c r="BA188" i="13" s="1"/>
  <c r="K159" i="13"/>
  <c r="K185" i="13" s="1"/>
  <c r="BX158" i="13"/>
  <c r="BX184" i="13" s="1"/>
  <c r="BM160" i="13"/>
  <c r="BM186" i="13" s="1"/>
  <c r="CK158" i="13"/>
  <c r="CK184" i="13" s="1"/>
  <c r="AF136" i="13"/>
  <c r="AF163" i="13"/>
  <c r="BZ158" i="13"/>
  <c r="BZ184" i="13" s="1"/>
  <c r="Q156" i="13"/>
  <c r="Q182" i="13" s="1"/>
  <c r="CC164" i="13"/>
  <c r="CC190" i="13" s="1"/>
  <c r="AY162" i="13"/>
  <c r="AY188" i="13" s="1"/>
  <c r="BC158" i="13"/>
  <c r="BC184" i="13" s="1"/>
  <c r="AU174" i="13"/>
  <c r="AN136" i="13"/>
  <c r="AN163" i="13"/>
  <c r="AN189" i="13" s="1"/>
  <c r="BM164" i="13"/>
  <c r="BM190" i="13" s="1"/>
  <c r="AQ162" i="13"/>
  <c r="AQ188" i="13" s="1"/>
  <c r="CQ157" i="13"/>
  <c r="CQ183" i="13" s="1"/>
  <c r="AX175" i="13"/>
  <c r="M173" i="13"/>
  <c r="CW137" i="13"/>
  <c r="H164" i="13"/>
  <c r="H190" i="13" s="1"/>
  <c r="P164" i="13"/>
  <c r="P190" i="13" s="1"/>
  <c r="X164" i="13"/>
  <c r="X190" i="13" s="1"/>
  <c r="AF164" i="13"/>
  <c r="AF190" i="13" s="1"/>
  <c r="AN164" i="13"/>
  <c r="AN190" i="13" s="1"/>
  <c r="AV164" i="13"/>
  <c r="AV190" i="13" s="1"/>
  <c r="BD164" i="13"/>
  <c r="BD190" i="13" s="1"/>
  <c r="BL164" i="13"/>
  <c r="BL190" i="13" s="1"/>
  <c r="BT164" i="13"/>
  <c r="BT190" i="13" s="1"/>
  <c r="CB164" i="13"/>
  <c r="CB190" i="13" s="1"/>
  <c r="CJ164" i="13"/>
  <c r="CJ190" i="13" s="1"/>
  <c r="CR164" i="13"/>
  <c r="CR190" i="13" s="1"/>
  <c r="D164" i="13"/>
  <c r="D190" i="13" s="1"/>
  <c r="L164" i="13"/>
  <c r="L190" i="13" s="1"/>
  <c r="T164" i="13"/>
  <c r="T190" i="13" s="1"/>
  <c r="AB164" i="13"/>
  <c r="AB190" i="13" s="1"/>
  <c r="AJ164" i="13"/>
  <c r="AJ190" i="13" s="1"/>
  <c r="AR164" i="13"/>
  <c r="AR190" i="13" s="1"/>
  <c r="AZ164" i="13"/>
  <c r="AZ190" i="13" s="1"/>
  <c r="BH164" i="13"/>
  <c r="BH190" i="13" s="1"/>
  <c r="BP164" i="13"/>
  <c r="BP190" i="13" s="1"/>
  <c r="BX164" i="13"/>
  <c r="BX190" i="13" s="1"/>
  <c r="CF164" i="13"/>
  <c r="CF190" i="13" s="1"/>
  <c r="CN164" i="13"/>
  <c r="CN190" i="13" s="1"/>
  <c r="CV164" i="13"/>
  <c r="CV190" i="13" s="1"/>
  <c r="R164" i="13"/>
  <c r="R190" i="13" s="1"/>
  <c r="AH164" i="13"/>
  <c r="AH190" i="13" s="1"/>
  <c r="AX164" i="13"/>
  <c r="AX190" i="13" s="1"/>
  <c r="BN164" i="13"/>
  <c r="BN190" i="13" s="1"/>
  <c r="CD164" i="13"/>
  <c r="CD190" i="13" s="1"/>
  <c r="CT164" i="13"/>
  <c r="CT190" i="13" s="1"/>
  <c r="S164" i="13"/>
  <c r="S190" i="13" s="1"/>
  <c r="AI164" i="13"/>
  <c r="AI190" i="13" s="1"/>
  <c r="AY164" i="13"/>
  <c r="AY190" i="13" s="1"/>
  <c r="BO164" i="13"/>
  <c r="BO190" i="13" s="1"/>
  <c r="CE164" i="13"/>
  <c r="CE190" i="13" s="1"/>
  <c r="CU164" i="13"/>
  <c r="CU190" i="13" s="1"/>
  <c r="J164" i="13"/>
  <c r="J190" i="13" s="1"/>
  <c r="AP164" i="13"/>
  <c r="AP190" i="13" s="1"/>
  <c r="BV164" i="13"/>
  <c r="BV190" i="13" s="1"/>
  <c r="K164" i="13"/>
  <c r="K190" i="13" s="1"/>
  <c r="AQ164" i="13"/>
  <c r="AQ190" i="13" s="1"/>
  <c r="BW164" i="13"/>
  <c r="BW190" i="13" s="1"/>
  <c r="Z164" i="13"/>
  <c r="Z190" i="13" s="1"/>
  <c r="BF164" i="13"/>
  <c r="BF190" i="13" s="1"/>
  <c r="CO164" i="13"/>
  <c r="CO190" i="13" s="1"/>
  <c r="CG137" i="13"/>
  <c r="CG164" i="13"/>
  <c r="CG190" i="13" s="1"/>
  <c r="BY137" i="13"/>
  <c r="BY164" i="13"/>
  <c r="BQ137" i="13"/>
  <c r="BQ164" i="13"/>
  <c r="BQ190" i="13" s="1"/>
  <c r="BI137" i="13"/>
  <c r="BI164" i="13"/>
  <c r="BA137" i="13"/>
  <c r="BA164" i="13"/>
  <c r="BA190" i="13" s="1"/>
  <c r="AS137" i="13"/>
  <c r="AS164" i="13"/>
  <c r="AK137" i="13"/>
  <c r="AK164" i="13"/>
  <c r="AK190" i="13" s="1"/>
  <c r="AC137" i="13"/>
  <c r="AC164" i="13"/>
  <c r="AC190" i="13" s="1"/>
  <c r="U137" i="13"/>
  <c r="U164" i="13"/>
  <c r="U190" i="13" s="1"/>
  <c r="M137" i="13"/>
  <c r="M164" i="13"/>
  <c r="E137" i="13"/>
  <c r="E164" i="13"/>
  <c r="E190" i="13" s="1"/>
  <c r="CQ136" i="13"/>
  <c r="CQ163" i="13"/>
  <c r="CQ189" i="13" s="1"/>
  <c r="CI136" i="13"/>
  <c r="CI163" i="13"/>
  <c r="CI189" i="13" s="1"/>
  <c r="CA163" i="13"/>
  <c r="CA189" i="13" s="1"/>
  <c r="CA136" i="13"/>
  <c r="BS136" i="13"/>
  <c r="BS163" i="13"/>
  <c r="BS189" i="13" s="1"/>
  <c r="BK163" i="13"/>
  <c r="BK136" i="13"/>
  <c r="BC136" i="13"/>
  <c r="BC163" i="13"/>
  <c r="BC189" i="13" s="1"/>
  <c r="AU136" i="13"/>
  <c r="AU163" i="13"/>
  <c r="AM136" i="13"/>
  <c r="AM163" i="13"/>
  <c r="AM189" i="13" s="1"/>
  <c r="AE136" i="13"/>
  <c r="AE163" i="13"/>
  <c r="AE189" i="13" s="1"/>
  <c r="W136" i="13"/>
  <c r="W163" i="13"/>
  <c r="W189" i="13" s="1"/>
  <c r="O136" i="13"/>
  <c r="O163" i="13"/>
  <c r="G136" i="13"/>
  <c r="G163" i="13"/>
  <c r="G189" i="13" s="1"/>
  <c r="CS135" i="13"/>
  <c r="CS162" i="13"/>
  <c r="CS188" i="13" s="1"/>
  <c r="CK135" i="13"/>
  <c r="CK162" i="13"/>
  <c r="CK188" i="13" s="1"/>
  <c r="CC135" i="13"/>
  <c r="CC162" i="13"/>
  <c r="BU135" i="13"/>
  <c r="BU162" i="13"/>
  <c r="BU188" i="13" s="1"/>
  <c r="BM162" i="13"/>
  <c r="BM135" i="13"/>
  <c r="BE135" i="13"/>
  <c r="BE162" i="13"/>
  <c r="BE188" i="13" s="1"/>
  <c r="AW135" i="13"/>
  <c r="AW162" i="13"/>
  <c r="AO135" i="13"/>
  <c r="AO162" i="13"/>
  <c r="AO188" i="13" s="1"/>
  <c r="AG135" i="13"/>
  <c r="AG162" i="13"/>
  <c r="AG188" i="13" s="1"/>
  <c r="Y135" i="13"/>
  <c r="Y162" i="13"/>
  <c r="Y188" i="13" s="1"/>
  <c r="Q135" i="13"/>
  <c r="Q162" i="13"/>
  <c r="I135" i="13"/>
  <c r="I162" i="13"/>
  <c r="I188" i="13" s="1"/>
  <c r="CU134" i="13"/>
  <c r="CU161" i="13"/>
  <c r="CU187" i="13" s="1"/>
  <c r="CM134" i="13"/>
  <c r="CM161" i="13"/>
  <c r="CM187" i="13" s="1"/>
  <c r="CE134" i="13"/>
  <c r="CE161" i="13"/>
  <c r="BW134" i="13"/>
  <c r="BW161" i="13"/>
  <c r="BW187" i="13" s="1"/>
  <c r="BO134" i="13"/>
  <c r="BO161" i="13"/>
  <c r="BO187" i="13" s="1"/>
  <c r="AY134" i="13"/>
  <c r="AY161" i="13"/>
  <c r="AY187" i="13" s="1"/>
  <c r="AQ134" i="13"/>
  <c r="AQ161" i="13"/>
  <c r="AI134" i="13"/>
  <c r="AI161" i="13"/>
  <c r="AI187" i="13" s="1"/>
  <c r="AA134" i="13"/>
  <c r="AA161" i="13"/>
  <c r="S134" i="13"/>
  <c r="S161" i="13"/>
  <c r="S187" i="13" s="1"/>
  <c r="K134" i="13"/>
  <c r="K161" i="13"/>
  <c r="H160" i="13"/>
  <c r="H186" i="13" s="1"/>
  <c r="P160" i="13"/>
  <c r="P186" i="13" s="1"/>
  <c r="X160" i="13"/>
  <c r="X186" i="13" s="1"/>
  <c r="AF160" i="13"/>
  <c r="AF186" i="13" s="1"/>
  <c r="AN160" i="13"/>
  <c r="AN186" i="13" s="1"/>
  <c r="AV160" i="13"/>
  <c r="AV186" i="13" s="1"/>
  <c r="BD160" i="13"/>
  <c r="BD186" i="13" s="1"/>
  <c r="BL160" i="13"/>
  <c r="BL186" i="13" s="1"/>
  <c r="BT160" i="13"/>
  <c r="BT186" i="13" s="1"/>
  <c r="CB160" i="13"/>
  <c r="CB186" i="13" s="1"/>
  <c r="CJ160" i="13"/>
  <c r="CJ186" i="13" s="1"/>
  <c r="CR160" i="13"/>
  <c r="CR186" i="13" s="1"/>
  <c r="CW133" i="13"/>
  <c r="AH160" i="13"/>
  <c r="AH186" i="13" s="1"/>
  <c r="AQ160" i="13"/>
  <c r="AQ186" i="13" s="1"/>
  <c r="AZ160" i="13"/>
  <c r="AZ186" i="13" s="1"/>
  <c r="CT160" i="13"/>
  <c r="CT186" i="13" s="1"/>
  <c r="Z160" i="13"/>
  <c r="Z186" i="13" s="1"/>
  <c r="AI160" i="13"/>
  <c r="AI186" i="13" s="1"/>
  <c r="AR160" i="13"/>
  <c r="AR186" i="13" s="1"/>
  <c r="CL160" i="13"/>
  <c r="CL186" i="13" s="1"/>
  <c r="CU160" i="13"/>
  <c r="CU186" i="13" s="1"/>
  <c r="R160" i="13"/>
  <c r="R186" i="13" s="1"/>
  <c r="AA160" i="13"/>
  <c r="AA186" i="13" s="1"/>
  <c r="AJ160" i="13"/>
  <c r="AJ186" i="13" s="1"/>
  <c r="CD160" i="13"/>
  <c r="CD186" i="13" s="1"/>
  <c r="CM160" i="13"/>
  <c r="CM186" i="13" s="1"/>
  <c r="CV160" i="13"/>
  <c r="CV186" i="13" s="1"/>
  <c r="D160" i="13"/>
  <c r="D186" i="13" s="1"/>
  <c r="AX160" i="13"/>
  <c r="AX186" i="13" s="1"/>
  <c r="BG160" i="13"/>
  <c r="BG186" i="13" s="1"/>
  <c r="BP160" i="13"/>
  <c r="BP186" i="13" s="1"/>
  <c r="K160" i="13"/>
  <c r="K186" i="13" s="1"/>
  <c r="BN160" i="13"/>
  <c r="BN186" i="13" s="1"/>
  <c r="CF160" i="13"/>
  <c r="CF186" i="13" s="1"/>
  <c r="L160" i="13"/>
  <c r="L186" i="13" s="1"/>
  <c r="BO160" i="13"/>
  <c r="BO186" i="13" s="1"/>
  <c r="AY160" i="13"/>
  <c r="AY186" i="13" s="1"/>
  <c r="AP160" i="13"/>
  <c r="AP186" i="13" s="1"/>
  <c r="BH160" i="13"/>
  <c r="BH186" i="13" s="1"/>
  <c r="S160" i="13"/>
  <c r="S186" i="13" s="1"/>
  <c r="CN160" i="13"/>
  <c r="CN186" i="13" s="1"/>
  <c r="T160" i="13"/>
  <c r="T186" i="13" s="1"/>
  <c r="BF160" i="13"/>
  <c r="BF186" i="13" s="1"/>
  <c r="BW160" i="13"/>
  <c r="BW186" i="13" s="1"/>
  <c r="CO133" i="13"/>
  <c r="CO160" i="13"/>
  <c r="CO186" i="13" s="1"/>
  <c r="CG133" i="13"/>
  <c r="CG160" i="13"/>
  <c r="CG186" i="13" s="1"/>
  <c r="BY133" i="13"/>
  <c r="BY160" i="13"/>
  <c r="BY186" i="13" s="1"/>
  <c r="BQ133" i="13"/>
  <c r="BQ160" i="13"/>
  <c r="BI133" i="13"/>
  <c r="BI160" i="13"/>
  <c r="BI186" i="13" s="1"/>
  <c r="BA133" i="13"/>
  <c r="BA160" i="13"/>
  <c r="BA186" i="13" s="1"/>
  <c r="AS133" i="13"/>
  <c r="AS160" i="13"/>
  <c r="AS186" i="13" s="1"/>
  <c r="AC133" i="13"/>
  <c r="AC160" i="13"/>
  <c r="U133" i="13"/>
  <c r="U160" i="13"/>
  <c r="U186" i="13" s="1"/>
  <c r="M133" i="13"/>
  <c r="M160" i="13"/>
  <c r="M186" i="13" s="1"/>
  <c r="E133" i="13"/>
  <c r="E160" i="13"/>
  <c r="E186" i="13" s="1"/>
  <c r="CQ132" i="13"/>
  <c r="CQ159" i="13"/>
  <c r="CI132" i="13"/>
  <c r="CI159" i="13"/>
  <c r="CI185" i="13" s="1"/>
  <c r="CA132" i="13"/>
  <c r="CA159" i="13"/>
  <c r="CA185" i="13" s="1"/>
  <c r="BS132" i="13"/>
  <c r="BS159" i="13"/>
  <c r="BS185" i="13" s="1"/>
  <c r="BC132" i="13"/>
  <c r="BC159" i="13"/>
  <c r="AU132" i="13"/>
  <c r="AU159" i="13"/>
  <c r="AU185" i="13" s="1"/>
  <c r="AM132" i="13"/>
  <c r="AM159" i="13"/>
  <c r="AM185" i="13" s="1"/>
  <c r="AE132" i="13"/>
  <c r="AE159" i="13"/>
  <c r="AE185" i="13" s="1"/>
  <c r="W132" i="13"/>
  <c r="W159" i="13"/>
  <c r="CS131" i="13"/>
  <c r="CS158" i="13"/>
  <c r="CS184" i="13" s="1"/>
  <c r="CC131" i="13"/>
  <c r="CC158" i="13"/>
  <c r="CC184" i="13" s="1"/>
  <c r="BU131" i="13"/>
  <c r="BU158" i="13"/>
  <c r="BU184" i="13" s="1"/>
  <c r="BM131" i="13"/>
  <c r="BM158" i="13"/>
  <c r="BE131" i="13"/>
  <c r="BE158" i="13"/>
  <c r="BE184" i="13" s="1"/>
  <c r="AO131" i="13"/>
  <c r="AO158" i="13"/>
  <c r="AO184" i="13" s="1"/>
  <c r="Y131" i="13"/>
  <c r="Y158" i="13"/>
  <c r="Y184" i="13" s="1"/>
  <c r="Q131" i="13"/>
  <c r="Q158" i="13"/>
  <c r="I131" i="13"/>
  <c r="I158" i="13"/>
  <c r="I184" i="13" s="1"/>
  <c r="CU130" i="13"/>
  <c r="CU157" i="13"/>
  <c r="CU183" i="13" s="1"/>
  <c r="CM130" i="13"/>
  <c r="CM157" i="13"/>
  <c r="CM183" i="13" s="1"/>
  <c r="CE130" i="13"/>
  <c r="CE157" i="13"/>
  <c r="BW130" i="13"/>
  <c r="BW157" i="13"/>
  <c r="BW183" i="13" s="1"/>
  <c r="BO130" i="13"/>
  <c r="BO157" i="13"/>
  <c r="BO183" i="13" s="1"/>
  <c r="BG130" i="13"/>
  <c r="BG157" i="13"/>
  <c r="BG183" i="13" s="1"/>
  <c r="AY130" i="13"/>
  <c r="AY157" i="13"/>
  <c r="AQ130" i="13"/>
  <c r="AQ157" i="13"/>
  <c r="AQ183" i="13" s="1"/>
  <c r="AI130" i="13"/>
  <c r="AI157" i="13"/>
  <c r="AI183" i="13" s="1"/>
  <c r="AA130" i="13"/>
  <c r="AA157" i="13"/>
  <c r="AA183" i="13" s="1"/>
  <c r="S130" i="13"/>
  <c r="S157" i="13"/>
  <c r="K130" i="13"/>
  <c r="K157" i="13"/>
  <c r="K183" i="13" s="1"/>
  <c r="CW129" i="13"/>
  <c r="D156" i="13"/>
  <c r="D182" i="13" s="1"/>
  <c r="L156" i="13"/>
  <c r="L182" i="13" s="1"/>
  <c r="T156" i="13"/>
  <c r="T182" i="13" s="1"/>
  <c r="AB156" i="13"/>
  <c r="AB182" i="13" s="1"/>
  <c r="AJ156" i="13"/>
  <c r="AJ182" i="13" s="1"/>
  <c r="AR156" i="13"/>
  <c r="AR182" i="13" s="1"/>
  <c r="AZ156" i="13"/>
  <c r="AZ182" i="13" s="1"/>
  <c r="BH156" i="13"/>
  <c r="BH182" i="13" s="1"/>
  <c r="BP156" i="13"/>
  <c r="BP182" i="13" s="1"/>
  <c r="BX156" i="13"/>
  <c r="BX182" i="13" s="1"/>
  <c r="CF156" i="13"/>
  <c r="CF182" i="13" s="1"/>
  <c r="CN156" i="13"/>
  <c r="CN182" i="13" s="1"/>
  <c r="CV156" i="13"/>
  <c r="CV182" i="13" s="1"/>
  <c r="J156" i="13"/>
  <c r="J182" i="13" s="1"/>
  <c r="R156" i="13"/>
  <c r="R182" i="13" s="1"/>
  <c r="Z156" i="13"/>
  <c r="Z182" i="13" s="1"/>
  <c r="AH156" i="13"/>
  <c r="AH182" i="13" s="1"/>
  <c r="AP156" i="13"/>
  <c r="AP182" i="13" s="1"/>
  <c r="AX156" i="13"/>
  <c r="AX182" i="13" s="1"/>
  <c r="BF156" i="13"/>
  <c r="BF182" i="13" s="1"/>
  <c r="BN156" i="13"/>
  <c r="BN182" i="13" s="1"/>
  <c r="BV156" i="13"/>
  <c r="BV182" i="13" s="1"/>
  <c r="CD156" i="13"/>
  <c r="CD182" i="13" s="1"/>
  <c r="CL156" i="13"/>
  <c r="CL182" i="13" s="1"/>
  <c r="CT156" i="13"/>
  <c r="CT182" i="13" s="1"/>
  <c r="K156" i="13"/>
  <c r="K182" i="13" s="1"/>
  <c r="AA156" i="13"/>
  <c r="AA182" i="13" s="1"/>
  <c r="AN156" i="13"/>
  <c r="AN182" i="13" s="1"/>
  <c r="CM156" i="13"/>
  <c r="CM182" i="13" s="1"/>
  <c r="BO156" i="13"/>
  <c r="BO182" i="13" s="1"/>
  <c r="CB156" i="13"/>
  <c r="CB182" i="13" s="1"/>
  <c r="P156" i="13"/>
  <c r="P182" i="13" s="1"/>
  <c r="AQ156" i="13"/>
  <c r="AQ182" i="13" s="1"/>
  <c r="BD156" i="13"/>
  <c r="BD182" i="13" s="1"/>
  <c r="H156" i="13"/>
  <c r="H182" i="13" s="1"/>
  <c r="X156" i="13"/>
  <c r="X182" i="13" s="1"/>
  <c r="BW156" i="13"/>
  <c r="BW182" i="13" s="1"/>
  <c r="CJ156" i="13"/>
  <c r="CJ182" i="13" s="1"/>
  <c r="AY156" i="13"/>
  <c r="AY182" i="13" s="1"/>
  <c r="AF156" i="13"/>
  <c r="AF182" i="13" s="1"/>
  <c r="CE156" i="13"/>
  <c r="CE182" i="13" s="1"/>
  <c r="BG156" i="13"/>
  <c r="BG182" i="13" s="1"/>
  <c r="S156" i="13"/>
  <c r="S182" i="13" s="1"/>
  <c r="BT156" i="13"/>
  <c r="BT182" i="13" s="1"/>
  <c r="AV156" i="13"/>
  <c r="AV182" i="13" s="1"/>
  <c r="CU156" i="13"/>
  <c r="CU182" i="13" s="1"/>
  <c r="G156" i="13"/>
  <c r="G182" i="13" s="1"/>
  <c r="BL156" i="13"/>
  <c r="BL182" i="13" s="1"/>
  <c r="AI156" i="13"/>
  <c r="AI182" i="13" s="1"/>
  <c r="CI156" i="13"/>
  <c r="CI182" i="13" s="1"/>
  <c r="CO129" i="13"/>
  <c r="CO156" i="13"/>
  <c r="CO182" i="13" s="1"/>
  <c r="CG129" i="13"/>
  <c r="CG156" i="13"/>
  <c r="CG182" i="13" s="1"/>
  <c r="BY129" i="13"/>
  <c r="BY156" i="13"/>
  <c r="BQ129" i="13"/>
  <c r="BQ156" i="13"/>
  <c r="BQ182" i="13" s="1"/>
  <c r="BI129" i="13"/>
  <c r="BI156" i="13"/>
  <c r="BI182" i="13" s="1"/>
  <c r="BA129" i="13"/>
  <c r="BA156" i="13"/>
  <c r="BA182" i="13" s="1"/>
  <c r="AS129" i="13"/>
  <c r="AS156" i="13"/>
  <c r="AK129" i="13"/>
  <c r="AK156" i="13"/>
  <c r="AK182" i="13" s="1"/>
  <c r="AC129" i="13"/>
  <c r="AC156" i="13"/>
  <c r="AC182" i="13" s="1"/>
  <c r="U129" i="13"/>
  <c r="U156" i="13"/>
  <c r="U182" i="13" s="1"/>
  <c r="M129" i="13"/>
  <c r="M156" i="13"/>
  <c r="E129" i="13"/>
  <c r="E156" i="13"/>
  <c r="E182" i="13" s="1"/>
  <c r="CQ128" i="13"/>
  <c r="CQ155" i="13"/>
  <c r="CQ181" i="13" s="1"/>
  <c r="CI128" i="13"/>
  <c r="CI155" i="13"/>
  <c r="CI181" i="13" s="1"/>
  <c r="CA128" i="13"/>
  <c r="CA155" i="13"/>
  <c r="BS128" i="13"/>
  <c r="BS155" i="13"/>
  <c r="BS181" i="13" s="1"/>
  <c r="BK128" i="13"/>
  <c r="BK155" i="13"/>
  <c r="BK181" i="13" s="1"/>
  <c r="BC128" i="13"/>
  <c r="BC155" i="13"/>
  <c r="BC181" i="13" s="1"/>
  <c r="AU128" i="13"/>
  <c r="AU155" i="13"/>
  <c r="AM128" i="13"/>
  <c r="AM155" i="13"/>
  <c r="AM181" i="13" s="1"/>
  <c r="AE128" i="13"/>
  <c r="AE155" i="13"/>
  <c r="AE181" i="13" s="1"/>
  <c r="W128" i="13"/>
  <c r="W155" i="13"/>
  <c r="W181" i="13" s="1"/>
  <c r="O128" i="13"/>
  <c r="O155" i="13"/>
  <c r="G128" i="13"/>
  <c r="G155" i="13"/>
  <c r="G181" i="13" s="1"/>
  <c r="CS127" i="13"/>
  <c r="CS154" i="13"/>
  <c r="CS180" i="13" s="1"/>
  <c r="CC127" i="13"/>
  <c r="CC154" i="13"/>
  <c r="CC180" i="13" s="1"/>
  <c r="BM127" i="13"/>
  <c r="BM154" i="13"/>
  <c r="AW127" i="13"/>
  <c r="AW154" i="13"/>
  <c r="AW180" i="13" s="1"/>
  <c r="AO127" i="13"/>
  <c r="AO154" i="13"/>
  <c r="AO180" i="13" s="1"/>
  <c r="AG127" i="13"/>
  <c r="AG154" i="13"/>
  <c r="AG180" i="13" s="1"/>
  <c r="Q127" i="13"/>
  <c r="Q154" i="13"/>
  <c r="CU126" i="13"/>
  <c r="CU153" i="13"/>
  <c r="CU179" i="13" s="1"/>
  <c r="CM126" i="13"/>
  <c r="CM153" i="13"/>
  <c r="CM179" i="13" s="1"/>
  <c r="CE126" i="13"/>
  <c r="CE153" i="13"/>
  <c r="CE179" i="13" s="1"/>
  <c r="BW126" i="13"/>
  <c r="BW153" i="13"/>
  <c r="BO126" i="13"/>
  <c r="BO153" i="13"/>
  <c r="BO179" i="13" s="1"/>
  <c r="BG126" i="13"/>
  <c r="BG153" i="13"/>
  <c r="BG179" i="13" s="1"/>
  <c r="AY126" i="13"/>
  <c r="AY153" i="13"/>
  <c r="AY179" i="13" s="1"/>
  <c r="AQ126" i="13"/>
  <c r="AQ153" i="13"/>
  <c r="AI126" i="13"/>
  <c r="AI153" i="13"/>
  <c r="AI179" i="13" s="1"/>
  <c r="AA126" i="13"/>
  <c r="AA153" i="13"/>
  <c r="AA179" i="13" s="1"/>
  <c r="S126" i="13"/>
  <c r="S153" i="13"/>
  <c r="S179" i="13" s="1"/>
  <c r="K153" i="13"/>
  <c r="K179" i="13" s="1"/>
  <c r="K126" i="13"/>
  <c r="D152" i="13"/>
  <c r="D178" i="13" s="1"/>
  <c r="L152" i="13"/>
  <c r="L178" i="13" s="1"/>
  <c r="T152" i="13"/>
  <c r="T178" i="13" s="1"/>
  <c r="AB152" i="13"/>
  <c r="AB178" i="13" s="1"/>
  <c r="AJ152" i="13"/>
  <c r="AJ178" i="13" s="1"/>
  <c r="AR152" i="13"/>
  <c r="AR178" i="13" s="1"/>
  <c r="AZ152" i="13"/>
  <c r="AZ178" i="13" s="1"/>
  <c r="BH152" i="13"/>
  <c r="BH178" i="13" s="1"/>
  <c r="BP152" i="13"/>
  <c r="BP178" i="13" s="1"/>
  <c r="BX152" i="13"/>
  <c r="BX178" i="13" s="1"/>
  <c r="CF152" i="13"/>
  <c r="CF178" i="13" s="1"/>
  <c r="CN152" i="13"/>
  <c r="CN178" i="13" s="1"/>
  <c r="CV152" i="13"/>
  <c r="CV178" i="13" s="1"/>
  <c r="CW125" i="13"/>
  <c r="H152" i="13"/>
  <c r="H178" i="13" s="1"/>
  <c r="R152" i="13"/>
  <c r="R178" i="13" s="1"/>
  <c r="AA152" i="13"/>
  <c r="AA178" i="13" s="1"/>
  <c r="BL152" i="13"/>
  <c r="BL178" i="13" s="1"/>
  <c r="CD152" i="13"/>
  <c r="CD178" i="13" s="1"/>
  <c r="CM152" i="13"/>
  <c r="CM178" i="13" s="1"/>
  <c r="S152" i="13"/>
  <c r="S178" i="13" s="1"/>
  <c r="BD152" i="13"/>
  <c r="BD178" i="13" s="1"/>
  <c r="BV152" i="13"/>
  <c r="BV178" i="13" s="1"/>
  <c r="CE152" i="13"/>
  <c r="CE178" i="13" s="1"/>
  <c r="J152" i="13"/>
  <c r="J178" i="13" s="1"/>
  <c r="AV152" i="13"/>
  <c r="AV178" i="13" s="1"/>
  <c r="BN152" i="13"/>
  <c r="BN178" i="13" s="1"/>
  <c r="BW152" i="13"/>
  <c r="BW178" i="13" s="1"/>
  <c r="P152" i="13"/>
  <c r="P178" i="13" s="1"/>
  <c r="AH152" i="13"/>
  <c r="AH178" i="13" s="1"/>
  <c r="AQ152" i="13"/>
  <c r="AQ178" i="13" s="1"/>
  <c r="CB152" i="13"/>
  <c r="CB178" i="13" s="1"/>
  <c r="CT152" i="13"/>
  <c r="CT178" i="13" s="1"/>
  <c r="AI152" i="13"/>
  <c r="AI178" i="13" s="1"/>
  <c r="BT152" i="13"/>
  <c r="BT178" i="13" s="1"/>
  <c r="CL152" i="13"/>
  <c r="CL178" i="13" s="1"/>
  <c r="AN152" i="13"/>
  <c r="AN178" i="13" s="1"/>
  <c r="BF152" i="13"/>
  <c r="BF178" i="13" s="1"/>
  <c r="BG152" i="13"/>
  <c r="BG178" i="13" s="1"/>
  <c r="CR152" i="13"/>
  <c r="CR178" i="13" s="1"/>
  <c r="AF152" i="13"/>
  <c r="AF178" i="13" s="1"/>
  <c r="AX152" i="13"/>
  <c r="AX178" i="13" s="1"/>
  <c r="AP152" i="13"/>
  <c r="AP178" i="13" s="1"/>
  <c r="Z152" i="13"/>
  <c r="Z178" i="13" s="1"/>
  <c r="CU152" i="13"/>
  <c r="CU178" i="13" s="1"/>
  <c r="O152" i="13"/>
  <c r="O178" i="13" s="1"/>
  <c r="CJ152" i="13"/>
  <c r="CJ178" i="13" s="1"/>
  <c r="X152" i="13"/>
  <c r="X178" i="13" s="1"/>
  <c r="AE152" i="13"/>
  <c r="AE178" i="13" s="1"/>
  <c r="CO125" i="13"/>
  <c r="CO152" i="13"/>
  <c r="CO178" i="13" s="1"/>
  <c r="CG125" i="13"/>
  <c r="CG152" i="13"/>
  <c r="BY125" i="13"/>
  <c r="BY152" i="13"/>
  <c r="BY178" i="13" s="1"/>
  <c r="BQ125" i="13"/>
  <c r="BQ152" i="13"/>
  <c r="BQ178" i="13" s="1"/>
  <c r="BI125" i="13"/>
  <c r="BI152" i="13"/>
  <c r="BI178" i="13" s="1"/>
  <c r="BA125" i="13"/>
  <c r="BA152" i="13"/>
  <c r="AS125" i="13"/>
  <c r="AS152" i="13"/>
  <c r="AS178" i="13" s="1"/>
  <c r="AK125" i="13"/>
  <c r="AK152" i="13"/>
  <c r="AK178" i="13" s="1"/>
  <c r="AC125" i="13"/>
  <c r="AC152" i="13"/>
  <c r="AC178" i="13" s="1"/>
  <c r="U125" i="13"/>
  <c r="U152" i="13"/>
  <c r="M152" i="13"/>
  <c r="M125" i="13"/>
  <c r="E125" i="13"/>
  <c r="E152" i="13"/>
  <c r="E178" i="13" s="1"/>
  <c r="CQ124" i="13"/>
  <c r="CQ151" i="13"/>
  <c r="CQ177" i="13" s="1"/>
  <c r="CI124" i="13"/>
  <c r="CI151" i="13"/>
  <c r="CA124" i="13"/>
  <c r="CA151" i="13"/>
  <c r="CA177" i="13" s="1"/>
  <c r="BS124" i="13"/>
  <c r="BS151" i="13"/>
  <c r="BS177" i="13" s="1"/>
  <c r="BK124" i="13"/>
  <c r="BK151" i="13"/>
  <c r="BK177" i="13" s="1"/>
  <c r="BC124" i="13"/>
  <c r="BC151" i="13"/>
  <c r="AU124" i="13"/>
  <c r="AU151" i="13"/>
  <c r="AU177" i="13" s="1"/>
  <c r="CM164" i="13"/>
  <c r="CM190" i="13" s="1"/>
  <c r="BG161" i="13"/>
  <c r="BG187" i="13" s="1"/>
  <c r="AB160" i="13"/>
  <c r="AB186" i="13" s="1"/>
  <c r="O159" i="13"/>
  <c r="O185" i="13" s="1"/>
  <c r="AG158" i="13"/>
  <c r="AG184" i="13" s="1"/>
  <c r="CL164" i="13"/>
  <c r="CL190" i="13" s="1"/>
  <c r="AA164" i="13"/>
  <c r="AA190" i="13" s="1"/>
  <c r="CE160" i="13"/>
  <c r="CE186" i="13" s="1"/>
  <c r="J160" i="13"/>
  <c r="J186" i="13" s="1"/>
  <c r="AM156" i="13"/>
  <c r="AM182" i="13" s="1"/>
  <c r="AB175" i="13"/>
  <c r="BX160" i="13"/>
  <c r="BX186" i="13" s="1"/>
  <c r="W156" i="13"/>
  <c r="W182" i="13" s="1"/>
  <c r="X155" i="13"/>
  <c r="X181" i="13" s="1"/>
  <c r="AP175" i="13"/>
  <c r="CQ137" i="13"/>
  <c r="CQ164" i="13"/>
  <c r="CI137" i="13"/>
  <c r="CI164" i="13"/>
  <c r="CA137" i="13"/>
  <c r="CA164" i="13"/>
  <c r="CA190" i="13" s="1"/>
  <c r="BS137" i="13"/>
  <c r="BS164" i="13"/>
  <c r="BS190" i="13" s="1"/>
  <c r="BK137" i="13"/>
  <c r="BK164" i="13"/>
  <c r="BC137" i="13"/>
  <c r="BC164" i="13"/>
  <c r="AU137" i="13"/>
  <c r="AU164" i="13"/>
  <c r="AU190" i="13" s="1"/>
  <c r="AM137" i="13"/>
  <c r="AM164" i="13"/>
  <c r="AM190" i="13" s="1"/>
  <c r="AE137" i="13"/>
  <c r="AE164" i="13"/>
  <c r="W137" i="13"/>
  <c r="W164" i="13"/>
  <c r="O137" i="13"/>
  <c r="O164" i="13"/>
  <c r="O190" i="13" s="1"/>
  <c r="G137" i="13"/>
  <c r="G164" i="13"/>
  <c r="G190" i="13" s="1"/>
  <c r="CS136" i="13"/>
  <c r="CS163" i="13"/>
  <c r="CK163" i="13"/>
  <c r="CK136" i="13"/>
  <c r="CC136" i="13"/>
  <c r="CC163" i="13"/>
  <c r="CC189" i="13" s="1"/>
  <c r="BU136" i="13"/>
  <c r="BU163" i="13"/>
  <c r="BU189" i="13" s="1"/>
  <c r="BM136" i="13"/>
  <c r="BM163" i="13"/>
  <c r="BE136" i="13"/>
  <c r="BE163" i="13"/>
  <c r="AW136" i="13"/>
  <c r="AW163" i="13"/>
  <c r="AW189" i="13" s="1"/>
  <c r="AO136" i="13"/>
  <c r="AO163" i="13"/>
  <c r="AO189" i="13" s="1"/>
  <c r="AG136" i="13"/>
  <c r="AG163" i="13"/>
  <c r="Y136" i="13"/>
  <c r="Y163" i="13"/>
  <c r="Q136" i="13"/>
  <c r="Q163" i="13"/>
  <c r="Q189" i="13" s="1"/>
  <c r="I136" i="13"/>
  <c r="I163" i="13"/>
  <c r="I189" i="13" s="1"/>
  <c r="CW134" i="13"/>
  <c r="J161" i="13"/>
  <c r="J187" i="13" s="1"/>
  <c r="AT161" i="13"/>
  <c r="AT187" i="13" s="1"/>
  <c r="BD161" i="13"/>
  <c r="BD187" i="13" s="1"/>
  <c r="BM161" i="13"/>
  <c r="BM187" i="13" s="1"/>
  <c r="BU161" i="13"/>
  <c r="BU187" i="13" s="1"/>
  <c r="CC161" i="13"/>
  <c r="CC187" i="13" s="1"/>
  <c r="CK161" i="13"/>
  <c r="CK187" i="13" s="1"/>
  <c r="CS161" i="13"/>
  <c r="CS187" i="13" s="1"/>
  <c r="AL161" i="13"/>
  <c r="AL187" i="13" s="1"/>
  <c r="AV161" i="13"/>
  <c r="AV187" i="13" s="1"/>
  <c r="BE161" i="13"/>
  <c r="BE187" i="13" s="1"/>
  <c r="BN161" i="13"/>
  <c r="BN187" i="13" s="1"/>
  <c r="BV161" i="13"/>
  <c r="BV187" i="13" s="1"/>
  <c r="CD161" i="13"/>
  <c r="CD187" i="13" s="1"/>
  <c r="CL161" i="13"/>
  <c r="CL187" i="13" s="1"/>
  <c r="CT161" i="13"/>
  <c r="CT187" i="13" s="1"/>
  <c r="AD161" i="13"/>
  <c r="AD187" i="13" s="1"/>
  <c r="AN161" i="13"/>
  <c r="AN187" i="13" s="1"/>
  <c r="AW161" i="13"/>
  <c r="AW187" i="13" s="1"/>
  <c r="BF161" i="13"/>
  <c r="BF187" i="13" s="1"/>
  <c r="H161" i="13"/>
  <c r="H187" i="13" s="1"/>
  <c r="Q161" i="13"/>
  <c r="Q187" i="13" s="1"/>
  <c r="Z161" i="13"/>
  <c r="Z187" i="13" s="1"/>
  <c r="BJ161" i="13"/>
  <c r="BJ187" i="13" s="1"/>
  <c r="X161" i="13"/>
  <c r="X187" i="13" s="1"/>
  <c r="AP161" i="13"/>
  <c r="AP187" i="13" s="1"/>
  <c r="F161" i="13"/>
  <c r="F187" i="13" s="1"/>
  <c r="Y161" i="13"/>
  <c r="Y187" i="13" s="1"/>
  <c r="BZ161" i="13"/>
  <c r="BZ187" i="13" s="1"/>
  <c r="CP161" i="13"/>
  <c r="CP187" i="13" s="1"/>
  <c r="I161" i="13"/>
  <c r="I187" i="13" s="1"/>
  <c r="BL161" i="13"/>
  <c r="BL187" i="13" s="1"/>
  <c r="CB161" i="13"/>
  <c r="CB187" i="13" s="1"/>
  <c r="CR161" i="13"/>
  <c r="CR187" i="13" s="1"/>
  <c r="R161" i="13"/>
  <c r="R187" i="13" s="1"/>
  <c r="BB161" i="13"/>
  <c r="BB187" i="13" s="1"/>
  <c r="BT161" i="13"/>
  <c r="BT187" i="13" s="1"/>
  <c r="CJ161" i="13"/>
  <c r="CJ187" i="13" s="1"/>
  <c r="CO134" i="13"/>
  <c r="CO161" i="13"/>
  <c r="BY134" i="13"/>
  <c r="BY161" i="13"/>
  <c r="BY187" i="13" s="1"/>
  <c r="BI134" i="13"/>
  <c r="BI161" i="13"/>
  <c r="BI187" i="13" s="1"/>
  <c r="BA134" i="13"/>
  <c r="BA161" i="13"/>
  <c r="BA187" i="13" s="1"/>
  <c r="AS134" i="13"/>
  <c r="AS161" i="13"/>
  <c r="AK134" i="13"/>
  <c r="AK161" i="13"/>
  <c r="AK187" i="13" s="1"/>
  <c r="AC134" i="13"/>
  <c r="AC161" i="13"/>
  <c r="AC187" i="13" s="1"/>
  <c r="U134" i="13"/>
  <c r="U161" i="13"/>
  <c r="U187" i="13" s="1"/>
  <c r="E134" i="13"/>
  <c r="E161" i="13"/>
  <c r="CQ133" i="13"/>
  <c r="CQ160" i="13"/>
  <c r="CQ186" i="13" s="1"/>
  <c r="CI133" i="13"/>
  <c r="CI160" i="13"/>
  <c r="CI186" i="13" s="1"/>
  <c r="CA133" i="13"/>
  <c r="CA160" i="13"/>
  <c r="CA186" i="13" s="1"/>
  <c r="BS133" i="13"/>
  <c r="BS160" i="13"/>
  <c r="BK133" i="13"/>
  <c r="BK160" i="13"/>
  <c r="BK186" i="13" s="1"/>
  <c r="AU133" i="13"/>
  <c r="AU160" i="13"/>
  <c r="AU186" i="13" s="1"/>
  <c r="AE133" i="13"/>
  <c r="AE160" i="13"/>
  <c r="AE186" i="13" s="1"/>
  <c r="W133" i="13"/>
  <c r="W160" i="13"/>
  <c r="O133" i="13"/>
  <c r="O160" i="13"/>
  <c r="O186" i="13" s="1"/>
  <c r="G133" i="13"/>
  <c r="G160" i="13"/>
  <c r="G186" i="13" s="1"/>
  <c r="CS132" i="13"/>
  <c r="CS159" i="13"/>
  <c r="CS185" i="13" s="1"/>
  <c r="CK159" i="13"/>
  <c r="CK132" i="13"/>
  <c r="CC159" i="13"/>
  <c r="CC132" i="13"/>
  <c r="BU132" i="13"/>
  <c r="BU159" i="13"/>
  <c r="BU185" i="13" s="1"/>
  <c r="BM132" i="13"/>
  <c r="BM159" i="13"/>
  <c r="BM185" i="13" s="1"/>
  <c r="BE132" i="13"/>
  <c r="BE159" i="13"/>
  <c r="AW132" i="13"/>
  <c r="AW159" i="13"/>
  <c r="AW185" i="13" s="1"/>
  <c r="AO132" i="13"/>
  <c r="AO159" i="13"/>
  <c r="AO185" i="13" s="1"/>
  <c r="AG159" i="13"/>
  <c r="AG132" i="13"/>
  <c r="Y159" i="13"/>
  <c r="Y132" i="13"/>
  <c r="Q132" i="13"/>
  <c r="Q159" i="13"/>
  <c r="Q185" i="13" s="1"/>
  <c r="I132" i="13"/>
  <c r="I159" i="13"/>
  <c r="I185" i="13" s="1"/>
  <c r="CU131" i="13"/>
  <c r="CU158" i="13"/>
  <c r="CU184" i="13" s="1"/>
  <c r="CM131" i="13"/>
  <c r="CM158" i="13"/>
  <c r="CE131" i="13"/>
  <c r="CE158" i="13"/>
  <c r="CE184" i="13" s="1"/>
  <c r="BW131" i="13"/>
  <c r="BW158" i="13"/>
  <c r="BW184" i="13" s="1"/>
  <c r="BO131" i="13"/>
  <c r="BO158" i="13"/>
  <c r="BO184" i="13" s="1"/>
  <c r="BG131" i="13"/>
  <c r="BG158" i="13"/>
  <c r="AY158" i="13"/>
  <c r="AY184" i="13" s="1"/>
  <c r="AQ131" i="13"/>
  <c r="AQ158" i="13"/>
  <c r="AI131" i="13"/>
  <c r="AI158" i="13"/>
  <c r="AI184" i="13" s="1"/>
  <c r="AA131" i="13"/>
  <c r="AA158" i="13"/>
  <c r="AA184" i="13" s="1"/>
  <c r="S131" i="13"/>
  <c r="S158" i="13"/>
  <c r="K131" i="13"/>
  <c r="K158" i="13"/>
  <c r="I157" i="13"/>
  <c r="I183" i="13" s="1"/>
  <c r="Q157" i="13"/>
  <c r="Q183" i="13" s="1"/>
  <c r="Y157" i="13"/>
  <c r="Y183" i="13" s="1"/>
  <c r="AG157" i="13"/>
  <c r="AG183" i="13" s="1"/>
  <c r="AO157" i="13"/>
  <c r="AO183" i="13" s="1"/>
  <c r="AW157" i="13"/>
  <c r="AW183" i="13" s="1"/>
  <c r="BE157" i="13"/>
  <c r="BE183" i="13" s="1"/>
  <c r="BM157" i="13"/>
  <c r="BM183" i="13" s="1"/>
  <c r="BU157" i="13"/>
  <c r="BU183" i="13" s="1"/>
  <c r="CC157" i="13"/>
  <c r="CC183" i="13" s="1"/>
  <c r="CK157" i="13"/>
  <c r="CK183" i="13" s="1"/>
  <c r="CS157" i="13"/>
  <c r="CS183" i="13" s="1"/>
  <c r="AF157" i="13"/>
  <c r="AF183" i="13" s="1"/>
  <c r="AT157" i="13"/>
  <c r="AT183" i="13" s="1"/>
  <c r="BF157" i="13"/>
  <c r="BF183" i="13" s="1"/>
  <c r="CR157" i="13"/>
  <c r="CR183" i="13" s="1"/>
  <c r="CW130" i="13"/>
  <c r="H157" i="13"/>
  <c r="H183" i="13" s="1"/>
  <c r="V157" i="13"/>
  <c r="V183" i="13" s="1"/>
  <c r="AH157" i="13"/>
  <c r="AH183" i="13" s="1"/>
  <c r="BT157" i="13"/>
  <c r="BT183" i="13" s="1"/>
  <c r="CH157" i="13"/>
  <c r="CH183" i="13" s="1"/>
  <c r="CT157" i="13"/>
  <c r="CT183" i="13" s="1"/>
  <c r="J157" i="13"/>
  <c r="J183" i="13" s="1"/>
  <c r="AV157" i="13"/>
  <c r="AV183" i="13" s="1"/>
  <c r="BJ157" i="13"/>
  <c r="BJ183" i="13" s="1"/>
  <c r="BV157" i="13"/>
  <c r="BV183" i="13" s="1"/>
  <c r="P157" i="13"/>
  <c r="P183" i="13" s="1"/>
  <c r="AD157" i="13"/>
  <c r="AD183" i="13" s="1"/>
  <c r="AP157" i="13"/>
  <c r="AP183" i="13" s="1"/>
  <c r="CB157" i="13"/>
  <c r="CB183" i="13" s="1"/>
  <c r="CP157" i="13"/>
  <c r="CP183" i="13" s="1"/>
  <c r="F157" i="13"/>
  <c r="F183" i="13" s="1"/>
  <c r="BD157" i="13"/>
  <c r="BD183" i="13" s="1"/>
  <c r="CD157" i="13"/>
  <c r="CD183" i="13" s="1"/>
  <c r="AL157" i="13"/>
  <c r="AL183" i="13" s="1"/>
  <c r="CJ157" i="13"/>
  <c r="CJ183" i="13" s="1"/>
  <c r="N157" i="13"/>
  <c r="N183" i="13" s="1"/>
  <c r="BL157" i="13"/>
  <c r="BL183" i="13" s="1"/>
  <c r="CL157" i="13"/>
  <c r="CL183" i="13" s="1"/>
  <c r="Z157" i="13"/>
  <c r="Z183" i="13" s="1"/>
  <c r="BZ157" i="13"/>
  <c r="BZ183" i="13" s="1"/>
  <c r="CG130" i="13"/>
  <c r="CG157" i="13"/>
  <c r="CG183" i="13" s="1"/>
  <c r="BQ157" i="13"/>
  <c r="BQ130" i="13"/>
  <c r="BI130" i="13"/>
  <c r="BI157" i="13"/>
  <c r="BA130" i="13"/>
  <c r="BA157" i="13"/>
  <c r="BA183" i="13" s="1"/>
  <c r="AK130" i="13"/>
  <c r="AK157" i="13"/>
  <c r="AK183" i="13" s="1"/>
  <c r="U130" i="13"/>
  <c r="U157" i="13"/>
  <c r="M130" i="13"/>
  <c r="M157" i="13"/>
  <c r="E130" i="13"/>
  <c r="E157" i="13"/>
  <c r="E183" i="13" s="1"/>
  <c r="CQ129" i="13"/>
  <c r="CQ156" i="13"/>
  <c r="CQ182" i="13" s="1"/>
  <c r="CA129" i="13"/>
  <c r="CA156" i="13"/>
  <c r="BK156" i="13"/>
  <c r="BK129" i="13"/>
  <c r="BC129" i="13"/>
  <c r="BC156" i="13"/>
  <c r="BC182" i="13" s="1"/>
  <c r="AU129" i="13"/>
  <c r="AU156" i="13"/>
  <c r="AU182" i="13" s="1"/>
  <c r="AE129" i="13"/>
  <c r="AE156" i="13"/>
  <c r="O129" i="13"/>
  <c r="O156" i="13"/>
  <c r="CS128" i="13"/>
  <c r="CS155" i="13"/>
  <c r="CS181" i="13" s="1"/>
  <c r="CC128" i="13"/>
  <c r="CC155" i="13"/>
  <c r="CC181" i="13" s="1"/>
  <c r="BU128" i="13"/>
  <c r="BU155" i="13"/>
  <c r="BM128" i="13"/>
  <c r="BM155" i="13"/>
  <c r="BE128" i="13"/>
  <c r="BE155" i="13"/>
  <c r="BE181" i="13" s="1"/>
  <c r="AW128" i="13"/>
  <c r="AW155" i="13"/>
  <c r="AW181" i="13" s="1"/>
  <c r="AO128" i="13"/>
  <c r="AO155" i="13"/>
  <c r="AG128" i="13"/>
  <c r="AG155" i="13"/>
  <c r="Q128" i="13"/>
  <c r="Q155" i="13"/>
  <c r="Q181" i="13" s="1"/>
  <c r="I128" i="13"/>
  <c r="I155" i="13"/>
  <c r="I181" i="13" s="1"/>
  <c r="CE127" i="13"/>
  <c r="CE154" i="13"/>
  <c r="BW127" i="13"/>
  <c r="BW154" i="13"/>
  <c r="AY127" i="13"/>
  <c r="AY154" i="13"/>
  <c r="AY180" i="13" s="1"/>
  <c r="AQ127" i="13"/>
  <c r="AQ154" i="13"/>
  <c r="AQ180" i="13" s="1"/>
  <c r="S127" i="13"/>
  <c r="S154" i="13"/>
  <c r="K127" i="13"/>
  <c r="K154" i="13"/>
  <c r="CW126" i="13"/>
  <c r="V153" i="13"/>
  <c r="V179" i="13" s="1"/>
  <c r="N153" i="13"/>
  <c r="N179" i="13" s="1"/>
  <c r="AF153" i="13"/>
  <c r="AF179" i="13" s="1"/>
  <c r="AN153" i="13"/>
  <c r="AN179" i="13" s="1"/>
  <c r="AV153" i="13"/>
  <c r="AV179" i="13" s="1"/>
  <c r="BD153" i="13"/>
  <c r="BD179" i="13" s="1"/>
  <c r="BL153" i="13"/>
  <c r="BL179" i="13" s="1"/>
  <c r="BT153" i="13"/>
  <c r="BT179" i="13" s="1"/>
  <c r="CB153" i="13"/>
  <c r="CB179" i="13" s="1"/>
  <c r="CJ153" i="13"/>
  <c r="CJ179" i="13" s="1"/>
  <c r="CR153" i="13"/>
  <c r="CR179" i="13" s="1"/>
  <c r="F153" i="13"/>
  <c r="F179" i="13" s="1"/>
  <c r="X153" i="13"/>
  <c r="X179" i="13" s="1"/>
  <c r="AG153" i="13"/>
  <c r="AG179" i="13" s="1"/>
  <c r="AO153" i="13"/>
  <c r="AO179" i="13" s="1"/>
  <c r="AW153" i="13"/>
  <c r="AW179" i="13" s="1"/>
  <c r="BE153" i="13"/>
  <c r="BE179" i="13" s="1"/>
  <c r="BM153" i="13"/>
  <c r="BM179" i="13" s="1"/>
  <c r="BU153" i="13"/>
  <c r="BU179" i="13" s="1"/>
  <c r="CC153" i="13"/>
  <c r="CC179" i="13" s="1"/>
  <c r="CK153" i="13"/>
  <c r="CK179" i="13" s="1"/>
  <c r="CS153" i="13"/>
  <c r="CS179" i="13" s="1"/>
  <c r="J153" i="13"/>
  <c r="J179" i="13" s="1"/>
  <c r="AD153" i="13"/>
  <c r="AD179" i="13" s="1"/>
  <c r="AT153" i="13"/>
  <c r="AT179" i="13" s="1"/>
  <c r="BJ153" i="13"/>
  <c r="BJ179" i="13" s="1"/>
  <c r="BZ153" i="13"/>
  <c r="BZ179" i="13" s="1"/>
  <c r="CP153" i="13"/>
  <c r="CP179" i="13" s="1"/>
  <c r="P153" i="13"/>
  <c r="P179" i="13" s="1"/>
  <c r="AH153" i="13"/>
  <c r="AH179" i="13" s="1"/>
  <c r="AX153" i="13"/>
  <c r="AX179" i="13" s="1"/>
  <c r="BN153" i="13"/>
  <c r="BN179" i="13" s="1"/>
  <c r="CD153" i="13"/>
  <c r="CD179" i="13" s="1"/>
  <c r="CT153" i="13"/>
  <c r="CT179" i="13" s="1"/>
  <c r="Q153" i="13"/>
  <c r="Q179" i="13" s="1"/>
  <c r="H153" i="13"/>
  <c r="H179" i="13" s="1"/>
  <c r="Z153" i="13"/>
  <c r="Z179" i="13" s="1"/>
  <c r="I153" i="13"/>
  <c r="I179" i="13" s="1"/>
  <c r="R153" i="13"/>
  <c r="R179" i="13" s="1"/>
  <c r="BB153" i="13"/>
  <c r="BB179" i="13" s="1"/>
  <c r="CH153" i="13"/>
  <c r="CH179" i="13" s="1"/>
  <c r="AL153" i="13"/>
  <c r="AL179" i="13" s="1"/>
  <c r="BR153" i="13"/>
  <c r="BR179" i="13" s="1"/>
  <c r="CO126" i="13"/>
  <c r="CO153" i="13"/>
  <c r="CG126" i="13"/>
  <c r="CG153" i="13"/>
  <c r="BY126" i="13"/>
  <c r="BY153" i="13"/>
  <c r="BY179" i="13" s="1"/>
  <c r="BQ126" i="13"/>
  <c r="BQ153" i="13"/>
  <c r="BQ179" i="13" s="1"/>
  <c r="BI153" i="13"/>
  <c r="BI179" i="13" s="1"/>
  <c r="BA126" i="13"/>
  <c r="BA153" i="13"/>
  <c r="BA179" i="13" s="1"/>
  <c r="AS126" i="13"/>
  <c r="AS153" i="13"/>
  <c r="AS179" i="13" s="1"/>
  <c r="AK126" i="13"/>
  <c r="AK153" i="13"/>
  <c r="AK179" i="13" s="1"/>
  <c r="AC126" i="13"/>
  <c r="AC153" i="13"/>
  <c r="U126" i="13"/>
  <c r="U153" i="13"/>
  <c r="U179" i="13" s="1"/>
  <c r="M153" i="13"/>
  <c r="M126" i="13"/>
  <c r="E126" i="13"/>
  <c r="E153" i="13"/>
  <c r="E179" i="13" s="1"/>
  <c r="CQ125" i="13"/>
  <c r="CQ152" i="13"/>
  <c r="CI125" i="13"/>
  <c r="CI152" i="13"/>
  <c r="CI178" i="13" s="1"/>
  <c r="CA125" i="13"/>
  <c r="CA152" i="13"/>
  <c r="CA178" i="13" s="1"/>
  <c r="BS125" i="13"/>
  <c r="BS152" i="13"/>
  <c r="BS178" i="13" s="1"/>
  <c r="BK125" i="13"/>
  <c r="BK152" i="13"/>
  <c r="BC152" i="13"/>
  <c r="BC125" i="13"/>
  <c r="AU125" i="13"/>
  <c r="AU152" i="13"/>
  <c r="AU178" i="13" s="1"/>
  <c r="AM125" i="13"/>
  <c r="AM152" i="13"/>
  <c r="AM178" i="13" s="1"/>
  <c r="W125" i="13"/>
  <c r="W152" i="13"/>
  <c r="G125" i="13"/>
  <c r="G152" i="13"/>
  <c r="G178" i="13" s="1"/>
  <c r="CS124" i="13"/>
  <c r="CS151" i="13"/>
  <c r="CS177" i="13" s="1"/>
  <c r="CK124" i="13"/>
  <c r="CK151" i="13"/>
  <c r="CK177" i="13" s="1"/>
  <c r="CC124" i="13"/>
  <c r="CC151" i="13"/>
  <c r="BU124" i="13"/>
  <c r="BU151" i="13"/>
  <c r="BU177" i="13" s="1"/>
  <c r="BM124" i="13"/>
  <c r="BM151" i="13"/>
  <c r="BM177" i="13" s="1"/>
  <c r="BE151" i="13"/>
  <c r="BE124" i="13"/>
  <c r="AW124" i="13"/>
  <c r="AW151" i="13"/>
  <c r="AO124" i="13"/>
  <c r="AO151" i="13"/>
  <c r="AO177" i="13" s="1"/>
  <c r="AG124" i="13"/>
  <c r="AG151" i="13"/>
  <c r="AG177" i="13" s="1"/>
  <c r="Y124" i="13"/>
  <c r="Y151" i="13"/>
  <c r="Y177" i="13" s="1"/>
  <c r="Q151" i="13"/>
  <c r="Q124" i="13"/>
  <c r="I124" i="13"/>
  <c r="I151" i="13"/>
  <c r="I177" i="13" s="1"/>
  <c r="CU123" i="13"/>
  <c r="CU150" i="13"/>
  <c r="CU176" i="13" s="1"/>
  <c r="CM123" i="13"/>
  <c r="CM150" i="13"/>
  <c r="CM176" i="13" s="1"/>
  <c r="CE150" i="13"/>
  <c r="CE123" i="13"/>
  <c r="BW123" i="13"/>
  <c r="BW150" i="13"/>
  <c r="BW176" i="13" s="1"/>
  <c r="BO123" i="13"/>
  <c r="BO150" i="13"/>
  <c r="BO176" i="13" s="1"/>
  <c r="AY123" i="13"/>
  <c r="AY150" i="13"/>
  <c r="AY176" i="13" s="1"/>
  <c r="AQ123" i="13"/>
  <c r="AQ150" i="13"/>
  <c r="AI123" i="13"/>
  <c r="AI150" i="13"/>
  <c r="AI176" i="13" s="1"/>
  <c r="S123" i="13"/>
  <c r="S150" i="13"/>
  <c r="S176" i="13" s="1"/>
  <c r="K150" i="13"/>
  <c r="K176" i="13" s="1"/>
  <c r="CW122" i="13"/>
  <c r="H149" i="13"/>
  <c r="P149" i="13"/>
  <c r="P175" i="13" s="1"/>
  <c r="X149" i="13"/>
  <c r="X175" i="13" s="1"/>
  <c r="AF149" i="13"/>
  <c r="AF175" i="13" s="1"/>
  <c r="AN149" i="13"/>
  <c r="AN175" i="13" s="1"/>
  <c r="AV149" i="13"/>
  <c r="AV175" i="13" s="1"/>
  <c r="BD149" i="13"/>
  <c r="BL149" i="13"/>
  <c r="BL175" i="13" s="1"/>
  <c r="BT149" i="13"/>
  <c r="BT175" i="13" s="1"/>
  <c r="CB149" i="13"/>
  <c r="CB175" i="13" s="1"/>
  <c r="CJ149" i="13"/>
  <c r="CJ175" i="13" s="1"/>
  <c r="CR149" i="13"/>
  <c r="CR175" i="13" s="1"/>
  <c r="J149" i="13"/>
  <c r="AG149" i="13"/>
  <c r="AG175" i="13" s="1"/>
  <c r="AQ149" i="13"/>
  <c r="AQ175" i="13" s="1"/>
  <c r="BM149" i="13"/>
  <c r="BM175" i="13" s="1"/>
  <c r="BW149" i="13"/>
  <c r="BW175" i="13" s="1"/>
  <c r="CS149" i="13"/>
  <c r="CS175" i="13" s="1"/>
  <c r="K149" i="13"/>
  <c r="K175" i="13" s="1"/>
  <c r="V149" i="13"/>
  <c r="V175" i="13" s="1"/>
  <c r="AH149" i="13"/>
  <c r="BB149" i="13"/>
  <c r="BB175" i="13" s="1"/>
  <c r="BN149" i="13"/>
  <c r="CH149" i="13"/>
  <c r="CH175" i="13" s="1"/>
  <c r="CT149" i="13"/>
  <c r="Y149" i="13"/>
  <c r="Y175" i="13" s="1"/>
  <c r="AI149" i="13"/>
  <c r="AI175" i="13" s="1"/>
  <c r="BE149" i="13"/>
  <c r="BE175" i="13" s="1"/>
  <c r="BO149" i="13"/>
  <c r="BO175" i="13" s="1"/>
  <c r="CK149" i="13"/>
  <c r="CK175" i="13" s="1"/>
  <c r="CU149" i="13"/>
  <c r="CU175" i="13" s="1"/>
  <c r="F149" i="13"/>
  <c r="F175" i="13" s="1"/>
  <c r="S149" i="13"/>
  <c r="S175" i="13" s="1"/>
  <c r="AO149" i="13"/>
  <c r="AO175" i="13" s="1"/>
  <c r="AY149" i="13"/>
  <c r="AY175" i="13" s="1"/>
  <c r="BU149" i="13"/>
  <c r="BU175" i="13" s="1"/>
  <c r="CE149" i="13"/>
  <c r="CE175" i="13" s="1"/>
  <c r="I149" i="13"/>
  <c r="I175" i="13" s="1"/>
  <c r="AD149" i="13"/>
  <c r="AD175" i="13" s="1"/>
  <c r="BV149" i="13"/>
  <c r="CP149" i="13"/>
  <c r="CP175" i="13" s="1"/>
  <c r="N149" i="13"/>
  <c r="N175" i="13" s="1"/>
  <c r="BF149" i="13"/>
  <c r="BZ149" i="13"/>
  <c r="BZ175" i="13" s="1"/>
  <c r="Q149" i="13"/>
  <c r="Q175" i="13" s="1"/>
  <c r="BG149" i="13"/>
  <c r="BG175" i="13" s="1"/>
  <c r="CC149" i="13"/>
  <c r="CC175" i="13" s="1"/>
  <c r="AA149" i="13"/>
  <c r="AA175" i="13" s="1"/>
  <c r="AW149" i="13"/>
  <c r="AW175" i="13" s="1"/>
  <c r="CM149" i="13"/>
  <c r="CM175" i="13" s="1"/>
  <c r="R149" i="13"/>
  <c r="BJ149" i="13"/>
  <c r="BJ175" i="13" s="1"/>
  <c r="Z149" i="13"/>
  <c r="AT149" i="13"/>
  <c r="AT175" i="13" s="1"/>
  <c r="CL149" i="13"/>
  <c r="CO122" i="13"/>
  <c r="CO149" i="13"/>
  <c r="CG149" i="13"/>
  <c r="CG122" i="13"/>
  <c r="BY122" i="13"/>
  <c r="BY149" i="13"/>
  <c r="BQ122" i="13"/>
  <c r="BQ149" i="13"/>
  <c r="BI122" i="13"/>
  <c r="BI149" i="13"/>
  <c r="BI175" i="13" s="1"/>
  <c r="BA122" i="13"/>
  <c r="BA149" i="13"/>
  <c r="AS122" i="13"/>
  <c r="AS149" i="13"/>
  <c r="AK122" i="13"/>
  <c r="AK149" i="13"/>
  <c r="AK175" i="13" s="1"/>
  <c r="AC122" i="13"/>
  <c r="AC149" i="13"/>
  <c r="U149" i="13"/>
  <c r="U122" i="13"/>
  <c r="M122" i="13"/>
  <c r="M149" i="13"/>
  <c r="E122" i="13"/>
  <c r="E149" i="13"/>
  <c r="CQ121" i="13"/>
  <c r="CQ148" i="13"/>
  <c r="CI121" i="13"/>
  <c r="CI148" i="13"/>
  <c r="CA121" i="13"/>
  <c r="CA148" i="13"/>
  <c r="BS121" i="13"/>
  <c r="BS148" i="13"/>
  <c r="BK121" i="13"/>
  <c r="BK148" i="13"/>
  <c r="BC121" i="13"/>
  <c r="BC148" i="13"/>
  <c r="AM121" i="13"/>
  <c r="AM148" i="13"/>
  <c r="AE121" i="13"/>
  <c r="AE148" i="13"/>
  <c r="W174" i="13"/>
  <c r="O121" i="13"/>
  <c r="O148" i="13"/>
  <c r="G121" i="13"/>
  <c r="G148" i="13"/>
  <c r="CS173" i="13"/>
  <c r="CK147" i="13"/>
  <c r="CK120" i="13"/>
  <c r="CC120" i="13"/>
  <c r="CC147" i="13"/>
  <c r="BU120" i="13"/>
  <c r="BU147" i="13"/>
  <c r="BM147" i="13"/>
  <c r="BM120" i="13"/>
  <c r="BE120" i="13"/>
  <c r="BE147" i="13"/>
  <c r="AW120" i="13"/>
  <c r="AW147" i="13"/>
  <c r="AO120" i="13"/>
  <c r="AO147" i="13"/>
  <c r="AG120" i="13"/>
  <c r="AG147" i="13"/>
  <c r="Y147" i="13"/>
  <c r="Y120" i="13"/>
  <c r="Q120" i="13"/>
  <c r="Q147" i="13"/>
  <c r="AF128" i="13"/>
  <c r="AF155" i="13"/>
  <c r="AF181" i="13" s="1"/>
  <c r="P128" i="13"/>
  <c r="P155" i="13"/>
  <c r="H128" i="13"/>
  <c r="H155" i="13"/>
  <c r="H181" i="13" s="1"/>
  <c r="CT127" i="13"/>
  <c r="CT154" i="13"/>
  <c r="CT180" i="13" s="1"/>
  <c r="CL127" i="13"/>
  <c r="CL154" i="13"/>
  <c r="CL180" i="13" s="1"/>
  <c r="CD127" i="13"/>
  <c r="CD154" i="13"/>
  <c r="BV127" i="13"/>
  <c r="BV154" i="13"/>
  <c r="BV180" i="13" s="1"/>
  <c r="BN127" i="13"/>
  <c r="BN154" i="13"/>
  <c r="BN180" i="13" s="1"/>
  <c r="BF127" i="13"/>
  <c r="BF154" i="13"/>
  <c r="BF180" i="13" s="1"/>
  <c r="AX127" i="13"/>
  <c r="AX154" i="13"/>
  <c r="AP127" i="13"/>
  <c r="AP154" i="13"/>
  <c r="AP180" i="13" s="1"/>
  <c r="AH127" i="13"/>
  <c r="AH154" i="13"/>
  <c r="AH180" i="13" s="1"/>
  <c r="Z127" i="13"/>
  <c r="Z154" i="13"/>
  <c r="Z180" i="13" s="1"/>
  <c r="R127" i="13"/>
  <c r="R154" i="13"/>
  <c r="J127" i="13"/>
  <c r="J154" i="13"/>
  <c r="J180" i="13" s="1"/>
  <c r="CF126" i="13"/>
  <c r="CF153" i="13"/>
  <c r="CF179" i="13" s="1"/>
  <c r="BX126" i="13"/>
  <c r="BX153" i="13"/>
  <c r="BX179" i="13" s="1"/>
  <c r="AZ126" i="13"/>
  <c r="AZ153" i="13"/>
  <c r="AR126" i="13"/>
  <c r="AR153" i="13"/>
  <c r="AR179" i="13" s="1"/>
  <c r="T126" i="13"/>
  <c r="T153" i="13"/>
  <c r="T179" i="13" s="1"/>
  <c r="L126" i="13"/>
  <c r="L153" i="13"/>
  <c r="L179" i="13" s="1"/>
  <c r="D126" i="13"/>
  <c r="D153" i="13"/>
  <c r="CP125" i="13"/>
  <c r="CP152" i="13"/>
  <c r="CP178" i="13" s="1"/>
  <c r="BZ125" i="13"/>
  <c r="BZ152" i="13"/>
  <c r="BZ178" i="13" s="1"/>
  <c r="BR125" i="13"/>
  <c r="BR152" i="13"/>
  <c r="BR178" i="13" s="1"/>
  <c r="BJ125" i="13"/>
  <c r="BJ152" i="13"/>
  <c r="BB125" i="13"/>
  <c r="BB152" i="13"/>
  <c r="BB178" i="13" s="1"/>
  <c r="AT125" i="13"/>
  <c r="AT152" i="13"/>
  <c r="AT178" i="13" s="1"/>
  <c r="AL125" i="13"/>
  <c r="AL152" i="13"/>
  <c r="AL178" i="13" s="1"/>
  <c r="AD125" i="13"/>
  <c r="AD152" i="13"/>
  <c r="V125" i="13"/>
  <c r="V152" i="13"/>
  <c r="V178" i="13" s="1"/>
  <c r="N125" i="13"/>
  <c r="N152" i="13"/>
  <c r="N178" i="13" s="1"/>
  <c r="F125" i="13"/>
  <c r="F152" i="13"/>
  <c r="F178" i="13" s="1"/>
  <c r="CR124" i="13"/>
  <c r="CR151" i="13"/>
  <c r="CJ124" i="13"/>
  <c r="CJ151" i="13"/>
  <c r="CJ177" i="13" s="1"/>
  <c r="CB124" i="13"/>
  <c r="CB151" i="13"/>
  <c r="CB177" i="13" s="1"/>
  <c r="BT124" i="13"/>
  <c r="BT151" i="13"/>
  <c r="BT177" i="13" s="1"/>
  <c r="BR161" i="13"/>
  <c r="BR187" i="13" s="1"/>
  <c r="AH161" i="13"/>
  <c r="AH187" i="13" s="1"/>
  <c r="BR157" i="13"/>
  <c r="BR183" i="13" s="1"/>
  <c r="R157" i="13"/>
  <c r="R183" i="13" s="1"/>
  <c r="CN175" i="13"/>
  <c r="CL174" i="13"/>
  <c r="AK173" i="13"/>
  <c r="BQ161" i="13"/>
  <c r="BQ187" i="13" s="1"/>
  <c r="AG161" i="13"/>
  <c r="AG187" i="13" s="1"/>
  <c r="BN157" i="13"/>
  <c r="BN183" i="13" s="1"/>
  <c r="BP153" i="13"/>
  <c r="BP179" i="13" s="1"/>
  <c r="CF175" i="13"/>
  <c r="V173" i="13"/>
  <c r="CU162" i="13"/>
  <c r="CU188" i="13" s="1"/>
  <c r="BO162" i="13"/>
  <c r="BO188" i="13" s="1"/>
  <c r="AI162" i="13"/>
  <c r="AI188" i="13" s="1"/>
  <c r="AF161" i="13"/>
  <c r="AF187" i="13" s="1"/>
  <c r="BC160" i="13"/>
  <c r="BC186" i="13" s="1"/>
  <c r="BB157" i="13"/>
  <c r="BB183" i="13" s="1"/>
  <c r="CM154" i="13"/>
  <c r="CM180" i="13" s="1"/>
  <c r="AA154" i="13"/>
  <c r="AA180" i="13" s="1"/>
  <c r="BH153" i="13"/>
  <c r="BH179" i="13" s="1"/>
  <c r="CD175" i="13"/>
  <c r="Z174" i="13"/>
  <c r="CF173" i="13"/>
  <c r="I120" i="13"/>
  <c r="I147" i="13"/>
  <c r="BL124" i="13"/>
  <c r="BL151" i="13"/>
  <c r="BL177" i="13" s="1"/>
  <c r="BD124" i="13"/>
  <c r="BD151" i="13"/>
  <c r="BD177" i="13" s="1"/>
  <c r="AV124" i="13"/>
  <c r="AV151" i="13"/>
  <c r="AN124" i="13"/>
  <c r="AN151" i="13"/>
  <c r="AN177" i="13" s="1"/>
  <c r="AF124" i="13"/>
  <c r="AF151" i="13"/>
  <c r="AF177" i="13" s="1"/>
  <c r="X124" i="13"/>
  <c r="X151" i="13"/>
  <c r="X177" i="13" s="1"/>
  <c r="P124" i="13"/>
  <c r="P151" i="13"/>
  <c r="H124" i="13"/>
  <c r="H151" i="13"/>
  <c r="H177" i="13" s="1"/>
  <c r="CT123" i="13"/>
  <c r="CT150" i="13"/>
  <c r="CT176" i="13" s="1"/>
  <c r="CL123" i="13"/>
  <c r="CL150" i="13"/>
  <c r="CL176" i="13" s="1"/>
  <c r="CD123" i="13"/>
  <c r="CD150" i="13"/>
  <c r="BV123" i="13"/>
  <c r="BV150" i="13"/>
  <c r="BV176" i="13" s="1"/>
  <c r="BN123" i="13"/>
  <c r="BN150" i="13"/>
  <c r="BN176" i="13" s="1"/>
  <c r="BF123" i="13"/>
  <c r="BF150" i="13"/>
  <c r="BF176" i="13" s="1"/>
  <c r="AX123" i="13"/>
  <c r="AX150" i="13"/>
  <c r="AP123" i="13"/>
  <c r="AP150" i="13"/>
  <c r="AP176" i="13" s="1"/>
  <c r="AH123" i="13"/>
  <c r="AH150" i="13"/>
  <c r="AH176" i="13" s="1"/>
  <c r="Z123" i="13"/>
  <c r="Z150" i="13"/>
  <c r="Z176" i="13" s="1"/>
  <c r="R123" i="13"/>
  <c r="R150" i="13"/>
  <c r="J123" i="13"/>
  <c r="J150" i="13"/>
  <c r="J176" i="13" s="1"/>
  <c r="CV122" i="13"/>
  <c r="CV149" i="13"/>
  <c r="BX122" i="13"/>
  <c r="BX149" i="13"/>
  <c r="AZ122" i="13"/>
  <c r="AZ149" i="13"/>
  <c r="AR122" i="13"/>
  <c r="AR149" i="13"/>
  <c r="AJ122" i="13"/>
  <c r="AJ149" i="13"/>
  <c r="L122" i="13"/>
  <c r="L149" i="13"/>
  <c r="CP121" i="13"/>
  <c r="CP148" i="13"/>
  <c r="CH121" i="13"/>
  <c r="CH148" i="13"/>
  <c r="BZ121" i="13"/>
  <c r="BZ148" i="13"/>
  <c r="BR121" i="13"/>
  <c r="BR148" i="13"/>
  <c r="BJ121" i="13"/>
  <c r="BJ148" i="13"/>
  <c r="BB121" i="13"/>
  <c r="BB148" i="13"/>
  <c r="AT121" i="13"/>
  <c r="AT148" i="13"/>
  <c r="AL121" i="13"/>
  <c r="AL148" i="13"/>
  <c r="AD121" i="13"/>
  <c r="AD148" i="13"/>
  <c r="V121" i="13"/>
  <c r="V148" i="13"/>
  <c r="N121" i="13"/>
  <c r="N148" i="13"/>
  <c r="F121" i="13"/>
  <c r="F148" i="13"/>
  <c r="CR120" i="13"/>
  <c r="CR147" i="13"/>
  <c r="CJ120" i="13"/>
  <c r="CJ147" i="13"/>
  <c r="CB120" i="13"/>
  <c r="CB147" i="13"/>
  <c r="BT120" i="13"/>
  <c r="BT147" i="13"/>
  <c r="AV120" i="13"/>
  <c r="AV147" i="13"/>
  <c r="AN120" i="13"/>
  <c r="AN147" i="13"/>
  <c r="AF120" i="13"/>
  <c r="AF147" i="13"/>
  <c r="X120" i="13"/>
  <c r="X147" i="13"/>
  <c r="P120" i="13"/>
  <c r="P147" i="13"/>
  <c r="BP149" i="13"/>
  <c r="AS173" i="13"/>
  <c r="T173" i="13"/>
  <c r="T149" i="13"/>
  <c r="BL147" i="13"/>
  <c r="BH149" i="13"/>
  <c r="CS150" i="13"/>
  <c r="CS176" i="13" s="1"/>
  <c r="BM150" i="13"/>
  <c r="BM176" i="13" s="1"/>
  <c r="AM151" i="13"/>
  <c r="AM177" i="13" s="1"/>
  <c r="AE151" i="13"/>
  <c r="AE177" i="13" s="1"/>
  <c r="W151" i="13"/>
  <c r="W177" i="13" s="1"/>
  <c r="O151" i="13"/>
  <c r="O177" i="13" s="1"/>
  <c r="G151" i="13"/>
  <c r="G177" i="13" s="1"/>
  <c r="N45" i="24"/>
  <c r="O45" i="24" s="1"/>
  <c r="D45" i="24"/>
  <c r="E45" i="24"/>
  <c r="F45" i="24"/>
  <c r="G45" i="24"/>
  <c r="H45" i="24"/>
  <c r="I45" i="24"/>
  <c r="J45" i="24"/>
  <c r="K45" i="24"/>
  <c r="L45" i="24"/>
  <c r="M45" i="24"/>
  <c r="C45" i="24"/>
  <c r="D34" i="24"/>
  <c r="E34" i="24"/>
  <c r="F34" i="24"/>
  <c r="G34" i="24"/>
  <c r="H34" i="24"/>
  <c r="I34" i="24"/>
  <c r="J34" i="24"/>
  <c r="K34" i="24"/>
  <c r="L34" i="24"/>
  <c r="M34" i="24"/>
  <c r="N34" i="24"/>
  <c r="D35" i="24"/>
  <c r="E35" i="24"/>
  <c r="F35" i="24"/>
  <c r="G35" i="24"/>
  <c r="H35" i="24"/>
  <c r="I35" i="24"/>
  <c r="J35" i="24"/>
  <c r="K35" i="24"/>
  <c r="L35" i="24"/>
  <c r="M35" i="24"/>
  <c r="N35" i="24"/>
  <c r="D36" i="24"/>
  <c r="E36" i="24"/>
  <c r="F36" i="24"/>
  <c r="G36" i="24"/>
  <c r="H36" i="24"/>
  <c r="I36" i="24"/>
  <c r="J36" i="24"/>
  <c r="K36" i="24"/>
  <c r="L36" i="24"/>
  <c r="M36" i="24"/>
  <c r="N36" i="24"/>
  <c r="D37" i="24"/>
  <c r="E37" i="24"/>
  <c r="F37" i="24"/>
  <c r="G37" i="24"/>
  <c r="H37" i="24"/>
  <c r="I37" i="24"/>
  <c r="J37" i="24"/>
  <c r="K37" i="24"/>
  <c r="L37" i="24"/>
  <c r="M37" i="24"/>
  <c r="N37" i="24"/>
  <c r="D38" i="24"/>
  <c r="E38" i="24"/>
  <c r="F38" i="24"/>
  <c r="G38" i="24"/>
  <c r="H38" i="24"/>
  <c r="I38" i="24"/>
  <c r="J38" i="24"/>
  <c r="K38" i="24"/>
  <c r="L38" i="24"/>
  <c r="M38" i="24"/>
  <c r="N38" i="24"/>
  <c r="C49" i="24" s="1"/>
  <c r="D39" i="24"/>
  <c r="E39" i="24"/>
  <c r="F39" i="24"/>
  <c r="G39" i="24"/>
  <c r="H39" i="24"/>
  <c r="H50" i="24" s="1"/>
  <c r="I39" i="24"/>
  <c r="J39" i="24"/>
  <c r="K39" i="24"/>
  <c r="L39" i="24"/>
  <c r="M39" i="24"/>
  <c r="N39" i="24"/>
  <c r="D40" i="24"/>
  <c r="E40" i="24"/>
  <c r="F40" i="24"/>
  <c r="G40" i="24"/>
  <c r="H40" i="24"/>
  <c r="I40" i="24"/>
  <c r="J40" i="24"/>
  <c r="K40" i="24"/>
  <c r="L40" i="24"/>
  <c r="M40" i="24"/>
  <c r="N40" i="24"/>
  <c r="C35" i="24"/>
  <c r="C36" i="24"/>
  <c r="C37" i="24"/>
  <c r="C38" i="24"/>
  <c r="C39" i="24"/>
  <c r="C50" i="24" s="1"/>
  <c r="C40" i="24"/>
  <c r="C34" i="24"/>
  <c r="C46" i="24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35" i="22"/>
  <c r="AI36" i="22"/>
  <c r="AI37" i="22"/>
  <c r="AI38" i="22"/>
  <c r="AI39" i="22"/>
  <c r="AI40" i="22"/>
  <c r="AI41" i="22"/>
  <c r="AI42" i="22"/>
  <c r="AI43" i="22"/>
  <c r="AI44" i="22"/>
  <c r="AI45" i="22"/>
  <c r="AI46" i="22"/>
  <c r="AI47" i="22"/>
  <c r="AI48" i="22"/>
  <c r="AI49" i="22"/>
  <c r="AI50" i="22"/>
  <c r="AI51" i="22"/>
  <c r="AI52" i="22"/>
  <c r="AI53" i="22"/>
  <c r="AI54" i="22"/>
  <c r="AI55" i="22"/>
  <c r="AI56" i="22"/>
  <c r="AI57" i="22"/>
  <c r="AI58" i="22"/>
  <c r="AI59" i="22"/>
  <c r="AI60" i="22"/>
  <c r="AI61" i="22"/>
  <c r="AI62" i="22"/>
  <c r="AI63" i="22"/>
  <c r="AI64" i="22"/>
  <c r="AI65" i="22"/>
  <c r="AI66" i="22"/>
  <c r="AI67" i="22"/>
  <c r="AI68" i="22"/>
  <c r="AI69" i="22"/>
  <c r="AI70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35" i="22"/>
  <c r="AG36" i="22"/>
  <c r="AG37" i="22"/>
  <c r="AG38" i="22"/>
  <c r="AG39" i="22"/>
  <c r="AG40" i="22"/>
  <c r="AG41" i="22"/>
  <c r="AG42" i="22"/>
  <c r="AG43" i="22"/>
  <c r="AG44" i="22"/>
  <c r="AG45" i="22"/>
  <c r="AG46" i="22"/>
  <c r="AG47" i="22"/>
  <c r="AG48" i="22"/>
  <c r="AG49" i="22"/>
  <c r="AG50" i="22"/>
  <c r="AG51" i="22"/>
  <c r="AG52" i="22"/>
  <c r="AG53" i="22"/>
  <c r="AG54" i="22"/>
  <c r="AG55" i="22"/>
  <c r="AG56" i="22"/>
  <c r="AG57" i="22"/>
  <c r="AG58" i="22"/>
  <c r="AG59" i="22"/>
  <c r="AG60" i="22"/>
  <c r="AG61" i="22"/>
  <c r="AG62" i="22"/>
  <c r="AG63" i="22"/>
  <c r="AG64" i="22"/>
  <c r="AG65" i="22"/>
  <c r="AG66" i="22"/>
  <c r="AG67" i="22"/>
  <c r="AG68" i="22"/>
  <c r="AG69" i="22"/>
  <c r="AG70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AF57" i="22"/>
  <c r="AF58" i="22"/>
  <c r="AF59" i="22"/>
  <c r="AF60" i="22"/>
  <c r="AF61" i="22"/>
  <c r="AF62" i="22"/>
  <c r="AF63" i="22"/>
  <c r="AF64" i="22"/>
  <c r="AF65" i="22"/>
  <c r="AF66" i="22"/>
  <c r="AF67" i="22"/>
  <c r="AF68" i="22"/>
  <c r="AF69" i="22"/>
  <c r="AF70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36" i="22"/>
  <c r="AE37" i="22"/>
  <c r="AE38" i="22"/>
  <c r="AE39" i="22"/>
  <c r="AE40" i="22"/>
  <c r="AE41" i="22"/>
  <c r="AE42" i="22"/>
  <c r="AE43" i="22"/>
  <c r="AE44" i="22"/>
  <c r="AE45" i="22"/>
  <c r="AE46" i="22"/>
  <c r="AE47" i="22"/>
  <c r="AE48" i="22"/>
  <c r="AE49" i="22"/>
  <c r="AE50" i="22"/>
  <c r="AE51" i="22"/>
  <c r="AE52" i="22"/>
  <c r="AE53" i="22"/>
  <c r="AE54" i="22"/>
  <c r="AE55" i="22"/>
  <c r="AE56" i="22"/>
  <c r="AE57" i="22"/>
  <c r="AE58" i="22"/>
  <c r="AE59" i="22"/>
  <c r="AE60" i="22"/>
  <c r="AE61" i="22"/>
  <c r="AE62" i="22"/>
  <c r="AE63" i="22"/>
  <c r="AE64" i="22"/>
  <c r="AE65" i="22"/>
  <c r="AE66" i="22"/>
  <c r="AE67" i="22"/>
  <c r="AE68" i="22"/>
  <c r="AE69" i="22"/>
  <c r="AE70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35" i="22"/>
  <c r="AD36" i="22"/>
  <c r="AD37" i="22"/>
  <c r="AD38" i="22"/>
  <c r="AD39" i="22"/>
  <c r="AD40" i="22"/>
  <c r="AD41" i="22"/>
  <c r="AD42" i="22"/>
  <c r="AD43" i="22"/>
  <c r="AD44" i="22"/>
  <c r="AD45" i="22"/>
  <c r="AD46" i="22"/>
  <c r="AD47" i="22"/>
  <c r="AD48" i="22"/>
  <c r="AD49" i="22"/>
  <c r="AD50" i="22"/>
  <c r="AD51" i="22"/>
  <c r="AD52" i="22"/>
  <c r="AD53" i="22"/>
  <c r="AD54" i="22"/>
  <c r="AD55" i="22"/>
  <c r="AD56" i="22"/>
  <c r="AD57" i="22"/>
  <c r="AD58" i="22"/>
  <c r="AD59" i="22"/>
  <c r="AD60" i="22"/>
  <c r="AD61" i="22"/>
  <c r="AD62" i="22"/>
  <c r="AD63" i="22"/>
  <c r="AD64" i="22"/>
  <c r="AD65" i="22"/>
  <c r="AD66" i="22"/>
  <c r="AD67" i="22"/>
  <c r="AD68" i="22"/>
  <c r="AD69" i="22"/>
  <c r="AD70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35" i="22"/>
  <c r="AC36" i="22"/>
  <c r="AC37" i="22"/>
  <c r="AC38" i="22"/>
  <c r="AC39" i="22"/>
  <c r="AC40" i="22"/>
  <c r="AC41" i="22"/>
  <c r="AC42" i="22"/>
  <c r="AC43" i="22"/>
  <c r="AC44" i="22"/>
  <c r="AC45" i="22"/>
  <c r="AC46" i="22"/>
  <c r="AC47" i="22"/>
  <c r="AC48" i="22"/>
  <c r="AC49" i="22"/>
  <c r="AC50" i="22"/>
  <c r="AC51" i="22"/>
  <c r="AC52" i="22"/>
  <c r="AC53" i="22"/>
  <c r="AC54" i="22"/>
  <c r="AC55" i="22"/>
  <c r="AC56" i="22"/>
  <c r="AC57" i="22"/>
  <c r="AC58" i="22"/>
  <c r="AC59" i="22"/>
  <c r="AC60" i="22"/>
  <c r="AC61" i="22"/>
  <c r="AC62" i="22"/>
  <c r="AC63" i="22"/>
  <c r="AC64" i="22"/>
  <c r="AC65" i="22"/>
  <c r="AC66" i="22"/>
  <c r="AC67" i="22"/>
  <c r="AC68" i="22"/>
  <c r="AC69" i="22"/>
  <c r="AC70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B36" i="22"/>
  <c r="AB37" i="22"/>
  <c r="AB38" i="22"/>
  <c r="AB39" i="22"/>
  <c r="AB40" i="22"/>
  <c r="AB41" i="22"/>
  <c r="AB42" i="22"/>
  <c r="AB43" i="22"/>
  <c r="AB44" i="22"/>
  <c r="AB45" i="22"/>
  <c r="AB46" i="22"/>
  <c r="AB47" i="22"/>
  <c r="AB48" i="22"/>
  <c r="AB49" i="22"/>
  <c r="AB50" i="22"/>
  <c r="AB51" i="22"/>
  <c r="AB52" i="22"/>
  <c r="AB53" i="22"/>
  <c r="AB54" i="22"/>
  <c r="AB55" i="22"/>
  <c r="AB56" i="22"/>
  <c r="AB57" i="22"/>
  <c r="AB58" i="22"/>
  <c r="AB59" i="22"/>
  <c r="AB60" i="22"/>
  <c r="AB61" i="22"/>
  <c r="AB62" i="22"/>
  <c r="AB63" i="22"/>
  <c r="AB64" i="22"/>
  <c r="AB65" i="22"/>
  <c r="AB66" i="22"/>
  <c r="AB67" i="22"/>
  <c r="AB68" i="22"/>
  <c r="AB69" i="22"/>
  <c r="AB70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36" i="22"/>
  <c r="AA37" i="22"/>
  <c r="AA38" i="22"/>
  <c r="AA39" i="22"/>
  <c r="AA40" i="22"/>
  <c r="AA41" i="22"/>
  <c r="AA42" i="22"/>
  <c r="AA43" i="22"/>
  <c r="AA44" i="22"/>
  <c r="AA45" i="22"/>
  <c r="AA46" i="22"/>
  <c r="AA47" i="22"/>
  <c r="AA48" i="22"/>
  <c r="AA49" i="22"/>
  <c r="AA50" i="22"/>
  <c r="AA51" i="22"/>
  <c r="AA52" i="22"/>
  <c r="AA53" i="22"/>
  <c r="AA54" i="22"/>
  <c r="AA55" i="22"/>
  <c r="AA56" i="22"/>
  <c r="AA57" i="22"/>
  <c r="AA58" i="22"/>
  <c r="AA59" i="22"/>
  <c r="AA60" i="22"/>
  <c r="AA61" i="22"/>
  <c r="AA62" i="22"/>
  <c r="AA63" i="22"/>
  <c r="AA64" i="22"/>
  <c r="AA65" i="22"/>
  <c r="AA66" i="22"/>
  <c r="AA67" i="22"/>
  <c r="AA68" i="22"/>
  <c r="AA69" i="22"/>
  <c r="AA70" i="22"/>
  <c r="Z68" i="22"/>
  <c r="Z69" i="22"/>
  <c r="Z70" i="22"/>
  <c r="Z64" i="22"/>
  <c r="Z65" i="22"/>
  <c r="Z66" i="22"/>
  <c r="Z67" i="22"/>
  <c r="Z61" i="22"/>
  <c r="Z62" i="22"/>
  <c r="Z63" i="22"/>
  <c r="Z55" i="22"/>
  <c r="Z56" i="22"/>
  <c r="Z57" i="22"/>
  <c r="Z58" i="22"/>
  <c r="Z59" i="22"/>
  <c r="Z60" i="22"/>
  <c r="Z48" i="22"/>
  <c r="Z49" i="22"/>
  <c r="Z50" i="22"/>
  <c r="Z51" i="22"/>
  <c r="Z52" i="22"/>
  <c r="Z53" i="22"/>
  <c r="Z54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Z44" i="22"/>
  <c r="Z45" i="22"/>
  <c r="Z46" i="22"/>
  <c r="Z47" i="22"/>
  <c r="Z9" i="22"/>
  <c r="I6" i="1"/>
  <c r="I9" i="1"/>
  <c r="I11" i="1"/>
  <c r="I12" i="1"/>
  <c r="I13" i="1"/>
  <c r="I14" i="1"/>
  <c r="I17" i="1"/>
  <c r="I19" i="1"/>
  <c r="I18" i="1"/>
  <c r="I15" i="1"/>
  <c r="I3" i="1"/>
  <c r="I16" i="1"/>
  <c r="I7" i="1"/>
  <c r="I4" i="1"/>
  <c r="I5" i="1"/>
  <c r="I8" i="1"/>
  <c r="I10" i="1"/>
  <c r="I20" i="1"/>
  <c r="I21" i="1"/>
  <c r="G2" i="1"/>
  <c r="I2" i="1" s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C42" i="1"/>
  <c r="C43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8" i="1"/>
  <c r="D24" i="1"/>
  <c r="E24" i="1"/>
  <c r="F24" i="1"/>
  <c r="C24" i="1"/>
  <c r="D23" i="1"/>
  <c r="E23" i="1"/>
  <c r="F23" i="1"/>
  <c r="C23" i="1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2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3" i="27"/>
  <c r="C4" i="27"/>
  <c r="C5" i="27"/>
  <c r="C6" i="27"/>
  <c r="C7" i="27"/>
  <c r="C8" i="27"/>
  <c r="C9" i="27"/>
  <c r="C10" i="27"/>
  <c r="C2" i="27"/>
  <c r="E4" i="16"/>
  <c r="G4" i="16" s="1"/>
  <c r="E5" i="16"/>
  <c r="G5" i="16" s="1"/>
  <c r="E6" i="16"/>
  <c r="E7" i="16"/>
  <c r="E8" i="16"/>
  <c r="E9" i="16"/>
  <c r="E10" i="16"/>
  <c r="E11" i="16"/>
  <c r="E12" i="16"/>
  <c r="G12" i="16" s="1"/>
  <c r="E13" i="16"/>
  <c r="E14" i="16"/>
  <c r="E15" i="16"/>
  <c r="E16" i="16"/>
  <c r="E17" i="16"/>
  <c r="E18" i="16"/>
  <c r="E19" i="16"/>
  <c r="E20" i="16"/>
  <c r="G20" i="16" s="1"/>
  <c r="E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3" i="1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3" i="26"/>
  <c r="B20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3" i="26"/>
  <c r="O6" i="24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9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6" i="22"/>
  <c r="CP182" i="13" l="1"/>
  <c r="AB183" i="13"/>
  <c r="BH183" i="13"/>
  <c r="CN183" i="13"/>
  <c r="BF184" i="13"/>
  <c r="CL184" i="13"/>
  <c r="X185" i="13"/>
  <c r="BD185" i="13"/>
  <c r="CJ185" i="13"/>
  <c r="V186" i="13"/>
  <c r="BJ186" i="13"/>
  <c r="CP186" i="13"/>
  <c r="AB187" i="13"/>
  <c r="BH187" i="13"/>
  <c r="J188" i="13"/>
  <c r="AP188" i="13"/>
  <c r="BV188" i="13"/>
  <c r="H189" i="13"/>
  <c r="BL189" i="13"/>
  <c r="CR189" i="13"/>
  <c r="AD190" i="13"/>
  <c r="BJ190" i="13"/>
  <c r="CP190" i="13"/>
  <c r="S177" i="13"/>
  <c r="AY177" i="13"/>
  <c r="CE177" i="13"/>
  <c r="Q178" i="13"/>
  <c r="AW178" i="13"/>
  <c r="CC178" i="13"/>
  <c r="O179" i="13"/>
  <c r="AU179" i="13"/>
  <c r="CA179" i="13"/>
  <c r="M180" i="13"/>
  <c r="AS180" i="13"/>
  <c r="BY180" i="13"/>
  <c r="S181" i="13"/>
  <c r="AY181" i="13"/>
  <c r="CE181" i="13"/>
  <c r="Y182" i="13"/>
  <c r="BE182" i="13"/>
  <c r="G183" i="13"/>
  <c r="AM183" i="13"/>
  <c r="BS183" i="13"/>
  <c r="U184" i="13"/>
  <c r="BA184" i="13"/>
  <c r="CG184" i="13"/>
  <c r="AI185" i="13"/>
  <c r="BO185" i="13"/>
  <c r="CU185" i="13"/>
  <c r="AG186" i="13"/>
  <c r="BU186" i="13"/>
  <c r="G187" i="13"/>
  <c r="AM187" i="13"/>
  <c r="BS187" i="13"/>
  <c r="E188" i="13"/>
  <c r="AK188" i="13"/>
  <c r="BY188" i="13"/>
  <c r="S189" i="13"/>
  <c r="AY189" i="13"/>
  <c r="CE189" i="13"/>
  <c r="Y190" i="13"/>
  <c r="BU190" i="13"/>
  <c r="AU187" i="13"/>
  <c r="Q177" i="13"/>
  <c r="CK185" i="13"/>
  <c r="BK182" i="13"/>
  <c r="CK189" i="13"/>
  <c r="BB190" i="13"/>
  <c r="CH190" i="13"/>
  <c r="BE174" i="13"/>
  <c r="U176" i="13"/>
  <c r="BA176" i="13"/>
  <c r="CG176" i="13"/>
  <c r="CE176" i="13"/>
  <c r="Y185" i="13"/>
  <c r="AJ175" i="13"/>
  <c r="CO179" i="13"/>
  <c r="S180" i="13"/>
  <c r="CE180" i="13"/>
  <c r="AO181" i="13"/>
  <c r="BU181" i="13"/>
  <c r="AE182" i="13"/>
  <c r="CA182" i="13"/>
  <c r="U183" i="13"/>
  <c r="S184" i="13"/>
  <c r="AG189" i="13"/>
  <c r="BM189" i="13"/>
  <c r="CS189" i="13"/>
  <c r="AE190" i="13"/>
  <c r="BK190" i="13"/>
  <c r="CQ190" i="13"/>
  <c r="K177" i="13"/>
  <c r="AQ177" i="13"/>
  <c r="BW177" i="13"/>
  <c r="I178" i="13"/>
  <c r="AO178" i="13"/>
  <c r="BU178" i="13"/>
  <c r="G179" i="13"/>
  <c r="AM179" i="13"/>
  <c r="E180" i="13"/>
  <c r="AK180" i="13"/>
  <c r="BQ180" i="13"/>
  <c r="BW181" i="13"/>
  <c r="I182" i="13"/>
  <c r="AW182" i="13"/>
  <c r="CS182" i="13"/>
  <c r="AE183" i="13"/>
  <c r="BK183" i="13"/>
  <c r="AS184" i="13"/>
  <c r="BY184" i="13"/>
  <c r="AA185" i="13"/>
  <c r="BG185" i="13"/>
  <c r="CM185" i="13"/>
  <c r="Y186" i="13"/>
  <c r="BE186" i="13"/>
  <c r="CS186" i="13"/>
  <c r="AE187" i="13"/>
  <c r="BK187" i="13"/>
  <c r="CQ187" i="13"/>
  <c r="AC188" i="13"/>
  <c r="BQ188" i="13"/>
  <c r="K189" i="13"/>
  <c r="AQ189" i="13"/>
  <c r="BW189" i="13"/>
  <c r="I190" i="13"/>
  <c r="AW190" i="13"/>
  <c r="X173" i="13"/>
  <c r="CR173" i="13"/>
  <c r="AD174" i="13"/>
  <c r="BJ174" i="13"/>
  <c r="CP174" i="13"/>
  <c r="Y173" i="13"/>
  <c r="CK173" i="13"/>
  <c r="BC174" i="13"/>
  <c r="CI174" i="13"/>
  <c r="BA175" i="13"/>
  <c r="R175" i="13"/>
  <c r="BF175" i="13"/>
  <c r="BC178" i="13"/>
  <c r="CC185" i="13"/>
  <c r="M178" i="13"/>
  <c r="K173" i="13"/>
  <c r="AQ173" i="13"/>
  <c r="BW173" i="13"/>
  <c r="AF173" i="13"/>
  <c r="CR177" i="13"/>
  <c r="AD178" i="13"/>
  <c r="BJ178" i="13"/>
  <c r="D179" i="13"/>
  <c r="AZ179" i="13"/>
  <c r="R180" i="13"/>
  <c r="AX180" i="13"/>
  <c r="CD180" i="13"/>
  <c r="P181" i="13"/>
  <c r="AG173" i="13"/>
  <c r="U175" i="13"/>
  <c r="CG175" i="13"/>
  <c r="AQ176" i="13"/>
  <c r="AW177" i="13"/>
  <c r="CC177" i="13"/>
  <c r="W178" i="13"/>
  <c r="BK178" i="13"/>
  <c r="CQ178" i="13"/>
  <c r="AC179" i="13"/>
  <c r="BQ183" i="13"/>
  <c r="BG184" i="13"/>
  <c r="CM184" i="13"/>
  <c r="BE185" i="13"/>
  <c r="W186" i="13"/>
  <c r="BS186" i="13"/>
  <c r="E187" i="13"/>
  <c r="AS187" i="13"/>
  <c r="CO187" i="13"/>
  <c r="BC177" i="13"/>
  <c r="CI177" i="13"/>
  <c r="U178" i="13"/>
  <c r="BA178" i="13"/>
  <c r="CG178" i="13"/>
  <c r="S183" i="13"/>
  <c r="AY183" i="13"/>
  <c r="CE183" i="13"/>
  <c r="Q184" i="13"/>
  <c r="BM184" i="13"/>
  <c r="W185" i="13"/>
  <c r="BC185" i="13"/>
  <c r="CQ185" i="13"/>
  <c r="AC186" i="13"/>
  <c r="BQ186" i="13"/>
  <c r="AF189" i="13"/>
  <c r="AV181" i="13"/>
  <c r="CB181" i="13"/>
  <c r="N182" i="13"/>
  <c r="AT182" i="13"/>
  <c r="BZ182" i="13"/>
  <c r="L183" i="13"/>
  <c r="AR183" i="13"/>
  <c r="BX183" i="13"/>
  <c r="J184" i="13"/>
  <c r="AP184" i="13"/>
  <c r="BV184" i="13"/>
  <c r="H185" i="13"/>
  <c r="AN185" i="13"/>
  <c r="BT185" i="13"/>
  <c r="F186" i="13"/>
  <c r="AL186" i="13"/>
  <c r="BZ186" i="13"/>
  <c r="L187" i="13"/>
  <c r="AR187" i="13"/>
  <c r="BX187" i="13"/>
  <c r="Z188" i="13"/>
  <c r="BF188" i="13"/>
  <c r="CL188" i="13"/>
  <c r="X189" i="13"/>
  <c r="CB189" i="13"/>
  <c r="N190" i="13"/>
  <c r="AT190" i="13"/>
  <c r="BZ190" i="13"/>
  <c r="I174" i="13"/>
  <c r="AM175" i="13"/>
  <c r="AA177" i="13"/>
  <c r="BG177" i="13"/>
  <c r="CM177" i="13"/>
  <c r="Y178" i="13"/>
  <c r="BE178" i="13"/>
  <c r="CK178" i="13"/>
  <c r="W179" i="13"/>
  <c r="BC179" i="13"/>
  <c r="CI179" i="13"/>
  <c r="U180" i="13"/>
  <c r="BA180" i="13"/>
  <c r="CG180" i="13"/>
  <c r="AA181" i="13"/>
  <c r="BG181" i="13"/>
  <c r="CM181" i="13"/>
  <c r="AG182" i="13"/>
  <c r="BM182" i="13"/>
  <c r="O183" i="13"/>
  <c r="CI183" i="13"/>
  <c r="AC184" i="13"/>
  <c r="BI184" i="13"/>
  <c r="CO184" i="13"/>
  <c r="AQ185" i="13"/>
  <c r="BW185" i="13"/>
  <c r="AO186" i="13"/>
  <c r="CC186" i="13"/>
  <c r="O187" i="13"/>
  <c r="CA187" i="13"/>
  <c r="M188" i="13"/>
  <c r="AS188" i="13"/>
  <c r="CG188" i="13"/>
  <c r="AA189" i="13"/>
  <c r="BG189" i="13"/>
  <c r="CM189" i="13"/>
  <c r="AG190" i="13"/>
  <c r="CK190" i="13"/>
  <c r="AA187" i="13"/>
  <c r="BI190" i="13"/>
  <c r="S173" i="13"/>
  <c r="AY173" i="13"/>
  <c r="CE173" i="13"/>
  <c r="M176" i="13"/>
  <c r="AS176" i="13"/>
  <c r="BY176" i="13"/>
  <c r="BM188" i="13"/>
  <c r="BK189" i="13"/>
  <c r="CU177" i="13"/>
  <c r="BM178" i="13"/>
  <c r="BC183" i="13"/>
  <c r="F174" i="13"/>
  <c r="BR174" i="13"/>
  <c r="CV175" i="13"/>
  <c r="AE174" i="13"/>
  <c r="BK174" i="13"/>
  <c r="CQ174" i="13"/>
  <c r="AC175" i="13"/>
  <c r="H175" i="13"/>
  <c r="BH175" i="13"/>
  <c r="AN173" i="13"/>
  <c r="BL173" i="13"/>
  <c r="CB173" i="13"/>
  <c r="AT174" i="13"/>
  <c r="BZ174" i="13"/>
  <c r="AR175" i="13"/>
  <c r="BX175" i="13"/>
  <c r="I173" i="13"/>
  <c r="AM174" i="13"/>
  <c r="E175" i="13"/>
  <c r="BQ175" i="13"/>
  <c r="BE177" i="13"/>
  <c r="AG185" i="13"/>
  <c r="T183" i="13"/>
  <c r="CF183" i="13"/>
  <c r="AA173" i="13"/>
  <c r="CM173" i="13"/>
  <c r="P173" i="13"/>
  <c r="AV173" i="13"/>
  <c r="Q173" i="13"/>
  <c r="AW173" i="13"/>
  <c r="CC173" i="13"/>
  <c r="Y174" i="13"/>
  <c r="CK174" i="13"/>
  <c r="BC175" i="13"/>
  <c r="CI175" i="13"/>
  <c r="BE173" i="13"/>
  <c r="BT173" i="13"/>
  <c r="AL174" i="13"/>
  <c r="BM173" i="13"/>
  <c r="CO175" i="13"/>
  <c r="CT175" i="13"/>
  <c r="AO173" i="13"/>
  <c r="BU173" i="13"/>
  <c r="BV175" i="13"/>
  <c r="BP175" i="13"/>
  <c r="N174" i="13"/>
  <c r="L175" i="13"/>
  <c r="G174" i="13"/>
  <c r="BS174" i="13"/>
  <c r="CL175" i="13"/>
  <c r="BN175" i="13"/>
  <c r="BD175" i="13"/>
  <c r="AX184" i="13"/>
  <c r="BG173" i="13"/>
  <c r="W175" i="13"/>
  <c r="T175" i="13"/>
  <c r="CJ173" i="13"/>
  <c r="V174" i="13"/>
  <c r="BB174" i="13"/>
  <c r="CH174" i="13"/>
  <c r="AZ175" i="13"/>
  <c r="R176" i="13"/>
  <c r="AX176" i="13"/>
  <c r="CD176" i="13"/>
  <c r="P177" i="13"/>
  <c r="AV177" i="13"/>
  <c r="O174" i="13"/>
  <c r="CA174" i="13"/>
  <c r="M175" i="13"/>
  <c r="AS175" i="13"/>
  <c r="BY175" i="13"/>
  <c r="Z175" i="13"/>
  <c r="AH175" i="13"/>
  <c r="J175" i="13"/>
  <c r="M179" i="13"/>
  <c r="CG179" i="13"/>
  <c r="K180" i="13"/>
  <c r="BW180" i="13"/>
  <c r="AG181" i="13"/>
  <c r="BM181" i="13"/>
  <c r="O182" i="13"/>
  <c r="M183" i="13"/>
  <c r="BI183" i="13"/>
  <c r="K184" i="13"/>
  <c r="AQ184" i="13"/>
  <c r="Y189" i="13"/>
  <c r="BE189" i="13"/>
  <c r="W190" i="13"/>
  <c r="BC190" i="13"/>
  <c r="CI190" i="13"/>
  <c r="AQ179" i="13"/>
  <c r="BW179" i="13"/>
  <c r="Q180" i="13"/>
  <c r="BM180" i="13"/>
  <c r="O181" i="13"/>
  <c r="AU181" i="13"/>
  <c r="CA181" i="13"/>
  <c r="M182" i="13"/>
  <c r="AS182" i="13"/>
  <c r="BY182" i="13"/>
  <c r="K187" i="13"/>
  <c r="AQ187" i="13"/>
  <c r="CE187" i="13"/>
  <c r="Q188" i="13"/>
  <c r="AW188" i="13"/>
  <c r="CC188" i="13"/>
  <c r="O189" i="13"/>
  <c r="AU189" i="13"/>
  <c r="M190" i="13"/>
  <c r="AS190" i="13"/>
  <c r="BY190" i="13"/>
  <c r="Z184" i="13"/>
  <c r="AI173" i="13"/>
  <c r="BO173" i="13"/>
  <c r="CU173" i="13"/>
  <c r="CS174" i="13"/>
  <c r="AC176" i="13"/>
  <c r="BI176" i="13"/>
  <c r="CO176" i="13"/>
  <c r="BS179" i="13"/>
  <c r="K181" i="13"/>
  <c r="AQ181" i="13"/>
  <c r="M184" i="13"/>
  <c r="H4" i="27"/>
  <c r="O4" i="27" s="1"/>
  <c r="H19" i="27"/>
  <c r="O19" i="27" s="1"/>
  <c r="H11" i="27"/>
  <c r="O11" i="27" s="1"/>
  <c r="H3" i="27"/>
  <c r="O3" i="27" s="1"/>
  <c r="H18" i="27"/>
  <c r="O18" i="27" s="1"/>
  <c r="H10" i="27"/>
  <c r="O10" i="27" s="1"/>
  <c r="H2" i="27"/>
  <c r="H17" i="27"/>
  <c r="O17" i="27" s="1"/>
  <c r="H9" i="27"/>
  <c r="O9" i="27" s="1"/>
  <c r="H16" i="27"/>
  <c r="O16" i="27" s="1"/>
  <c r="H8" i="27"/>
  <c r="O8" i="27" s="1"/>
  <c r="H15" i="27"/>
  <c r="O15" i="27" s="1"/>
  <c r="H7" i="27"/>
  <c r="O7" i="27" s="1"/>
  <c r="H22" i="27"/>
  <c r="H14" i="27"/>
  <c r="O14" i="27" s="1"/>
  <c r="H6" i="27"/>
  <c r="O6" i="27" s="1"/>
  <c r="H21" i="27"/>
  <c r="O21" i="27" s="1"/>
  <c r="H13" i="27"/>
  <c r="O13" i="27" s="1"/>
  <c r="H5" i="27"/>
  <c r="O5" i="27" s="1"/>
  <c r="H20" i="27"/>
  <c r="O20" i="27" s="1"/>
  <c r="H12" i="27"/>
  <c r="O12" i="27" s="1"/>
  <c r="E51" i="24"/>
  <c r="L46" i="24"/>
  <c r="G47" i="24"/>
  <c r="M51" i="24"/>
  <c r="D46" i="24"/>
  <c r="J51" i="24"/>
  <c r="H49" i="24"/>
  <c r="F47" i="24"/>
  <c r="M46" i="24"/>
  <c r="C51" i="24"/>
  <c r="L51" i="24"/>
  <c r="D51" i="24"/>
  <c r="G50" i="24"/>
  <c r="J49" i="24"/>
  <c r="H47" i="24"/>
  <c r="E50" i="24"/>
  <c r="I50" i="24"/>
  <c r="M50" i="24"/>
  <c r="K48" i="24"/>
  <c r="C48" i="24"/>
  <c r="I51" i="24"/>
  <c r="L50" i="24"/>
  <c r="D50" i="24"/>
  <c r="G49" i="24"/>
  <c r="J48" i="24"/>
  <c r="H46" i="24"/>
  <c r="C47" i="24"/>
  <c r="K50" i="24"/>
  <c r="D47" i="24"/>
  <c r="M47" i="24"/>
  <c r="H51" i="24"/>
  <c r="F51" i="24"/>
  <c r="L49" i="24"/>
  <c r="D49" i="24"/>
  <c r="G48" i="24"/>
  <c r="J47" i="24"/>
  <c r="E46" i="24"/>
  <c r="E47" i="24"/>
  <c r="K49" i="24"/>
  <c r="E48" i="24"/>
  <c r="F48" i="24"/>
  <c r="I47" i="24"/>
  <c r="K46" i="24"/>
  <c r="F50" i="24"/>
  <c r="I49" i="24"/>
  <c r="L48" i="24"/>
  <c r="D48" i="24"/>
  <c r="I46" i="24"/>
  <c r="F49" i="24"/>
  <c r="L47" i="24"/>
  <c r="G51" i="24"/>
  <c r="J50" i="24"/>
  <c r="M49" i="24"/>
  <c r="E49" i="24"/>
  <c r="H48" i="24"/>
  <c r="K47" i="24"/>
  <c r="G46" i="24"/>
  <c r="F46" i="24"/>
  <c r="G8" i="16"/>
  <c r="G15" i="16"/>
  <c r="G7" i="16"/>
  <c r="G16" i="16"/>
  <c r="G14" i="16"/>
  <c r="G6" i="16"/>
  <c r="G3" i="16"/>
  <c r="G13" i="16"/>
  <c r="G19" i="16"/>
  <c r="G11" i="16"/>
  <c r="G18" i="16"/>
  <c r="G10" i="16"/>
  <c r="G17" i="16"/>
  <c r="G9" i="16"/>
  <c r="F3" i="16"/>
  <c r="J46" i="24"/>
  <c r="K51" i="24"/>
  <c r="I48" i="24"/>
  <c r="M48" i="24"/>
  <c r="E100" i="22"/>
  <c r="C112" i="22"/>
  <c r="K116" i="22"/>
  <c r="Q123" i="22"/>
  <c r="Q107" i="22"/>
  <c r="P99" i="22"/>
  <c r="S124" i="22"/>
  <c r="S108" i="22"/>
  <c r="I115" i="22"/>
  <c r="I99" i="22"/>
  <c r="Q96" i="22"/>
  <c r="L121" i="22"/>
  <c r="O113" i="22"/>
  <c r="E97" i="22"/>
  <c r="I105" i="22"/>
  <c r="Q105" i="22"/>
  <c r="J105" i="22"/>
  <c r="R105" i="22"/>
  <c r="K105" i="22"/>
  <c r="S105" i="22"/>
  <c r="H105" i="22"/>
  <c r="P105" i="22"/>
  <c r="N123" i="22"/>
  <c r="D121" i="22"/>
  <c r="P117" i="22"/>
  <c r="R111" i="22"/>
  <c r="D104" i="22"/>
  <c r="Q126" i="22"/>
  <c r="R120" i="22"/>
  <c r="K117" i="22"/>
  <c r="M111" i="22"/>
  <c r="L106" i="22"/>
  <c r="Q101" i="22"/>
  <c r="G103" i="22"/>
  <c r="R125" i="22"/>
  <c r="K122" i="22"/>
  <c r="N121" i="22"/>
  <c r="G118" i="22"/>
  <c r="I112" i="22"/>
  <c r="U108" i="22"/>
  <c r="S103" i="22"/>
  <c r="K126" i="22"/>
  <c r="Q125" i="22"/>
  <c r="J122" i="22"/>
  <c r="V118" i="22"/>
  <c r="O115" i="22"/>
  <c r="N110" i="22"/>
  <c r="G107" i="22"/>
  <c r="N102" i="22"/>
  <c r="E125" i="22"/>
  <c r="F122" i="22"/>
  <c r="N122" i="22"/>
  <c r="V122" i="22"/>
  <c r="G122" i="22"/>
  <c r="O122" i="22"/>
  <c r="H122" i="22"/>
  <c r="P122" i="22"/>
  <c r="E122" i="22"/>
  <c r="M122" i="22"/>
  <c r="U122" i="22"/>
  <c r="F114" i="22"/>
  <c r="N114" i="22"/>
  <c r="V114" i="22"/>
  <c r="G114" i="22"/>
  <c r="O114" i="22"/>
  <c r="H114" i="22"/>
  <c r="P114" i="22"/>
  <c r="E114" i="22"/>
  <c r="M114" i="22"/>
  <c r="U114" i="22"/>
  <c r="F106" i="22"/>
  <c r="N106" i="22"/>
  <c r="V106" i="22"/>
  <c r="G106" i="22"/>
  <c r="O106" i="22"/>
  <c r="H106" i="22"/>
  <c r="P106" i="22"/>
  <c r="E106" i="22"/>
  <c r="M106" i="22"/>
  <c r="U106" i="22"/>
  <c r="F98" i="22"/>
  <c r="N98" i="22"/>
  <c r="V98" i="22"/>
  <c r="I98" i="22"/>
  <c r="Q98" i="22"/>
  <c r="G98" i="22"/>
  <c r="O98" i="22"/>
  <c r="H98" i="22"/>
  <c r="P98" i="22"/>
  <c r="E98" i="22"/>
  <c r="M98" i="22"/>
  <c r="U98" i="22"/>
  <c r="C113" i="22"/>
  <c r="C97" i="22"/>
  <c r="F126" i="22"/>
  <c r="I125" i="22"/>
  <c r="L124" i="22"/>
  <c r="O123" i="22"/>
  <c r="R122" i="22"/>
  <c r="U121" i="22"/>
  <c r="E121" i="22"/>
  <c r="H120" i="22"/>
  <c r="K119" i="22"/>
  <c r="N118" i="22"/>
  <c r="Q117" i="22"/>
  <c r="T116" i="22"/>
  <c r="D116" i="22"/>
  <c r="G115" i="22"/>
  <c r="J114" i="22"/>
  <c r="M113" i="22"/>
  <c r="P112" i="22"/>
  <c r="S111" i="22"/>
  <c r="V110" i="22"/>
  <c r="F110" i="22"/>
  <c r="I109" i="22"/>
  <c r="L108" i="22"/>
  <c r="O107" i="22"/>
  <c r="R106" i="22"/>
  <c r="U105" i="22"/>
  <c r="E105" i="22"/>
  <c r="H104" i="22"/>
  <c r="D103" i="22"/>
  <c r="S101" i="22"/>
  <c r="T100" i="22"/>
  <c r="L98" i="22"/>
  <c r="M97" i="22"/>
  <c r="S116" i="22"/>
  <c r="H109" i="22"/>
  <c r="K108" i="22"/>
  <c r="N107" i="22"/>
  <c r="Q106" i="22"/>
  <c r="T105" i="22"/>
  <c r="D105" i="22"/>
  <c r="U103" i="22"/>
  <c r="V102" i="22"/>
  <c r="R101" i="22"/>
  <c r="N100" i="22"/>
  <c r="O99" i="22"/>
  <c r="K98" i="22"/>
  <c r="G97" i="22"/>
  <c r="J98" i="22"/>
  <c r="F97" i="22"/>
  <c r="Q122" i="22"/>
  <c r="O112" i="22"/>
  <c r="V124" i="22"/>
  <c r="T114" i="22"/>
  <c r="L96" i="22"/>
  <c r="M116" i="22"/>
  <c r="Q104" i="22"/>
  <c r="H99" i="22"/>
  <c r="D98" i="22"/>
  <c r="H125" i="22"/>
  <c r="I114" i="22"/>
  <c r="F124" i="22"/>
  <c r="O121" i="22"/>
  <c r="S109" i="22"/>
  <c r="O105" i="22"/>
  <c r="R96" i="22"/>
  <c r="I97" i="22"/>
  <c r="Q97" i="22"/>
  <c r="D97" i="22"/>
  <c r="J97" i="22"/>
  <c r="R97" i="22"/>
  <c r="K97" i="22"/>
  <c r="S97" i="22"/>
  <c r="L97" i="22"/>
  <c r="H97" i="22"/>
  <c r="P97" i="22"/>
  <c r="T97" i="22"/>
  <c r="K124" i="22"/>
  <c r="T121" i="22"/>
  <c r="M118" i="22"/>
  <c r="U110" i="22"/>
  <c r="D112" i="22"/>
  <c r="S125" i="22"/>
  <c r="U119" i="22"/>
  <c r="N116" i="22"/>
  <c r="J112" i="22"/>
  <c r="F108" i="22"/>
  <c r="T103" i="22"/>
  <c r="G119" i="22"/>
  <c r="C106" i="22"/>
  <c r="E124" i="22"/>
  <c r="T119" i="22"/>
  <c r="P115" i="22"/>
  <c r="V113" i="22"/>
  <c r="O110" i="22"/>
  <c r="H107" i="22"/>
  <c r="N105" i="22"/>
  <c r="K101" i="22"/>
  <c r="J110" i="22"/>
  <c r="T124" i="22"/>
  <c r="P120" i="22"/>
  <c r="I117" i="22"/>
  <c r="H112" i="22"/>
  <c r="T108" i="22"/>
  <c r="P104" i="22"/>
  <c r="J101" i="22"/>
  <c r="V97" i="22"/>
  <c r="E117" i="22"/>
  <c r="E109" i="22"/>
  <c r="E101" i="22"/>
  <c r="C120" i="22"/>
  <c r="C104" i="22"/>
  <c r="N126" i="22"/>
  <c r="P125" i="22"/>
  <c r="V123" i="22"/>
  <c r="F123" i="22"/>
  <c r="I122" i="22"/>
  <c r="O120" i="22"/>
  <c r="R119" i="22"/>
  <c r="U118" i="22"/>
  <c r="E118" i="22"/>
  <c r="H117" i="22"/>
  <c r="N115" i="22"/>
  <c r="Q114" i="22"/>
  <c r="T113" i="22"/>
  <c r="D113" i="22"/>
  <c r="G112" i="22"/>
  <c r="J111" i="22"/>
  <c r="M110" i="22"/>
  <c r="P109" i="22"/>
  <c r="V107" i="22"/>
  <c r="F107" i="22"/>
  <c r="I106" i="22"/>
  <c r="L105" i="22"/>
  <c r="O104" i="22"/>
  <c r="L103" i="22"/>
  <c r="H102" i="22"/>
  <c r="I101" i="22"/>
  <c r="T98" i="22"/>
  <c r="U97" i="22"/>
  <c r="P101" i="22"/>
  <c r="U102" i="22"/>
  <c r="R103" i="22"/>
  <c r="O96" i="22"/>
  <c r="H101" i="22"/>
  <c r="F96" i="22"/>
  <c r="G96" i="22"/>
  <c r="I96" i="22"/>
  <c r="J96" i="22"/>
  <c r="E102" i="22"/>
  <c r="M102" i="22"/>
  <c r="J103" i="22"/>
  <c r="G104" i="22"/>
  <c r="I121" i="22"/>
  <c r="Q121" i="22"/>
  <c r="J121" i="22"/>
  <c r="R121" i="22"/>
  <c r="K121" i="22"/>
  <c r="S121" i="22"/>
  <c r="H121" i="22"/>
  <c r="P121" i="22"/>
  <c r="V126" i="22"/>
  <c r="G120" i="22"/>
  <c r="V115" i="22"/>
  <c r="E110" i="22"/>
  <c r="C123" i="22"/>
  <c r="I123" i="22"/>
  <c r="E119" i="22"/>
  <c r="Q115" i="22"/>
  <c r="P110" i="22"/>
  <c r="I107" i="22"/>
  <c r="P102" i="22"/>
  <c r="G111" i="22"/>
  <c r="P126" i="22"/>
  <c r="H123" i="22"/>
  <c r="D119" i="22"/>
  <c r="S114" i="22"/>
  <c r="F113" i="22"/>
  <c r="R109" i="22"/>
  <c r="K106" i="22"/>
  <c r="L100" i="22"/>
  <c r="J102" i="22"/>
  <c r="C121" i="22"/>
  <c r="C105" i="22"/>
  <c r="D124" i="22"/>
  <c r="S119" i="22"/>
  <c r="L116" i="22"/>
  <c r="K111" i="22"/>
  <c r="D108" i="22"/>
  <c r="M103" i="22"/>
  <c r="F100" i="22"/>
  <c r="H124" i="22"/>
  <c r="P124" i="22"/>
  <c r="I124" i="22"/>
  <c r="Q124" i="22"/>
  <c r="J124" i="22"/>
  <c r="R124" i="22"/>
  <c r="G124" i="22"/>
  <c r="O124" i="22"/>
  <c r="C124" i="22"/>
  <c r="H116" i="22"/>
  <c r="P116" i="22"/>
  <c r="I116" i="22"/>
  <c r="Q116" i="22"/>
  <c r="J116" i="22"/>
  <c r="R116" i="22"/>
  <c r="G116" i="22"/>
  <c r="O116" i="22"/>
  <c r="C116" i="22"/>
  <c r="H108" i="22"/>
  <c r="P108" i="22"/>
  <c r="I108" i="22"/>
  <c r="Q108" i="22"/>
  <c r="J108" i="22"/>
  <c r="R108" i="22"/>
  <c r="G108" i="22"/>
  <c r="O108" i="22"/>
  <c r="C108" i="22"/>
  <c r="H100" i="22"/>
  <c r="P100" i="22"/>
  <c r="K100" i="22"/>
  <c r="I100" i="22"/>
  <c r="Q100" i="22"/>
  <c r="J100" i="22"/>
  <c r="R100" i="22"/>
  <c r="G100" i="22"/>
  <c r="O100" i="22"/>
  <c r="C100" i="22"/>
  <c r="S100" i="22"/>
  <c r="C115" i="22"/>
  <c r="C99" i="22"/>
  <c r="I126" i="22"/>
  <c r="K125" i="22"/>
  <c r="N124" i="22"/>
  <c r="T122" i="22"/>
  <c r="D122" i="22"/>
  <c r="G121" i="22"/>
  <c r="J120" i="22"/>
  <c r="M119" i="22"/>
  <c r="P118" i="22"/>
  <c r="S117" i="22"/>
  <c r="V116" i="22"/>
  <c r="F116" i="22"/>
  <c r="L114" i="22"/>
  <c r="R112" i="22"/>
  <c r="U111" i="22"/>
  <c r="E111" i="22"/>
  <c r="H110" i="22"/>
  <c r="K109" i="22"/>
  <c r="N108" i="22"/>
  <c r="T106" i="22"/>
  <c r="D106" i="22"/>
  <c r="G105" i="22"/>
  <c r="J104" i="22"/>
  <c r="K103" i="22"/>
  <c r="G102" i="22"/>
  <c r="V100" i="22"/>
  <c r="D100" i="22"/>
  <c r="S98" i="22"/>
  <c r="O97" i="22"/>
  <c r="P96" i="22"/>
  <c r="I113" i="22"/>
  <c r="Q113" i="22"/>
  <c r="J113" i="22"/>
  <c r="R113" i="22"/>
  <c r="K113" i="22"/>
  <c r="S113" i="22"/>
  <c r="H113" i="22"/>
  <c r="P113" i="22"/>
  <c r="E126" i="22"/>
  <c r="J119" i="22"/>
  <c r="F115" i="22"/>
  <c r="L113" i="22"/>
  <c r="D120" i="22"/>
  <c r="C107" i="22"/>
  <c r="L122" i="22"/>
  <c r="H118" i="22"/>
  <c r="D114" i="22"/>
  <c r="G113" i="22"/>
  <c r="V108" i="22"/>
  <c r="R104" i="22"/>
  <c r="M100" i="22"/>
  <c r="C122" i="22"/>
  <c r="U124" i="22"/>
  <c r="Q120" i="22"/>
  <c r="J117" i="22"/>
  <c r="L111" i="22"/>
  <c r="E108" i="22"/>
  <c r="O102" i="22"/>
  <c r="J118" i="22"/>
  <c r="O126" i="22"/>
  <c r="G123" i="22"/>
  <c r="M121" i="22"/>
  <c r="F118" i="22"/>
  <c r="R114" i="22"/>
  <c r="U113" i="22"/>
  <c r="E113" i="22"/>
  <c r="Q109" i="22"/>
  <c r="J106" i="22"/>
  <c r="M105" i="22"/>
  <c r="G99" i="22"/>
  <c r="K123" i="22"/>
  <c r="S123" i="22"/>
  <c r="D123" i="22"/>
  <c r="L123" i="22"/>
  <c r="T123" i="22"/>
  <c r="E123" i="22"/>
  <c r="M123" i="22"/>
  <c r="U123" i="22"/>
  <c r="J123" i="22"/>
  <c r="R123" i="22"/>
  <c r="K115" i="22"/>
  <c r="S115" i="22"/>
  <c r="D115" i="22"/>
  <c r="L115" i="22"/>
  <c r="T115" i="22"/>
  <c r="E115" i="22"/>
  <c r="M115" i="22"/>
  <c r="U115" i="22"/>
  <c r="J115" i="22"/>
  <c r="R115" i="22"/>
  <c r="K107" i="22"/>
  <c r="S107" i="22"/>
  <c r="D107" i="22"/>
  <c r="L107" i="22"/>
  <c r="T107" i="22"/>
  <c r="E107" i="22"/>
  <c r="M107" i="22"/>
  <c r="U107" i="22"/>
  <c r="J107" i="22"/>
  <c r="R107" i="22"/>
  <c r="K99" i="22"/>
  <c r="S99" i="22"/>
  <c r="N99" i="22"/>
  <c r="D99" i="22"/>
  <c r="L99" i="22"/>
  <c r="T99" i="22"/>
  <c r="E99" i="22"/>
  <c r="M99" i="22"/>
  <c r="U99" i="22"/>
  <c r="J99" i="22"/>
  <c r="R99" i="22"/>
  <c r="F99" i="22"/>
  <c r="V99" i="22"/>
  <c r="C114" i="22"/>
  <c r="C98" i="22"/>
  <c r="G126" i="22"/>
  <c r="J125" i="22"/>
  <c r="M124" i="22"/>
  <c r="P123" i="22"/>
  <c r="S122" i="22"/>
  <c r="V121" i="22"/>
  <c r="F121" i="22"/>
  <c r="I120" i="22"/>
  <c r="L119" i="22"/>
  <c r="O118" i="22"/>
  <c r="R117" i="22"/>
  <c r="U116" i="22"/>
  <c r="E116" i="22"/>
  <c r="H115" i="22"/>
  <c r="K114" i="22"/>
  <c r="N113" i="22"/>
  <c r="Q112" i="22"/>
  <c r="T111" i="22"/>
  <c r="D111" i="22"/>
  <c r="G110" i="22"/>
  <c r="J109" i="22"/>
  <c r="M108" i="22"/>
  <c r="P107" i="22"/>
  <c r="S106" i="22"/>
  <c r="V105" i="22"/>
  <c r="F105" i="22"/>
  <c r="I104" i="22"/>
  <c r="E103" i="22"/>
  <c r="F102" i="22"/>
  <c r="U100" i="22"/>
  <c r="Q99" i="22"/>
  <c r="R98" i="22"/>
  <c r="N97" i="22"/>
  <c r="R126" i="22"/>
  <c r="J126" i="22"/>
  <c r="T125" i="22"/>
  <c r="L125" i="22"/>
  <c r="D125" i="22"/>
  <c r="S120" i="22"/>
  <c r="K120" i="22"/>
  <c r="V119" i="22"/>
  <c r="N119" i="22"/>
  <c r="F119" i="22"/>
  <c r="Q118" i="22"/>
  <c r="I118" i="22"/>
  <c r="T117" i="22"/>
  <c r="L117" i="22"/>
  <c r="D117" i="22"/>
  <c r="S112" i="22"/>
  <c r="K112" i="22"/>
  <c r="V111" i="22"/>
  <c r="N111" i="22"/>
  <c r="F111" i="22"/>
  <c r="Q110" i="22"/>
  <c r="I110" i="22"/>
  <c r="T109" i="22"/>
  <c r="L109" i="22"/>
  <c r="D109" i="22"/>
  <c r="S104" i="22"/>
  <c r="K104" i="22"/>
  <c r="V103" i="22"/>
  <c r="N103" i="22"/>
  <c r="F103" i="22"/>
  <c r="Q102" i="22"/>
  <c r="I102" i="22"/>
  <c r="T101" i="22"/>
  <c r="L101" i="22"/>
  <c r="D101" i="22"/>
  <c r="S96" i="22"/>
  <c r="K96" i="22"/>
  <c r="C96" i="22"/>
  <c r="C119" i="22"/>
  <c r="C111" i="22"/>
  <c r="C103" i="22"/>
  <c r="U126" i="22"/>
  <c r="M126" i="22"/>
  <c r="D126" i="22"/>
  <c r="O125" i="22"/>
  <c r="G125" i="22"/>
  <c r="V120" i="22"/>
  <c r="N120" i="22"/>
  <c r="F120" i="22"/>
  <c r="Q119" i="22"/>
  <c r="I119" i="22"/>
  <c r="T118" i="22"/>
  <c r="L118" i="22"/>
  <c r="D118" i="22"/>
  <c r="O117" i="22"/>
  <c r="G117" i="22"/>
  <c r="V112" i="22"/>
  <c r="N112" i="22"/>
  <c r="F112" i="22"/>
  <c r="Q111" i="22"/>
  <c r="I111" i="22"/>
  <c r="T110" i="22"/>
  <c r="L110" i="22"/>
  <c r="D110" i="22"/>
  <c r="O109" i="22"/>
  <c r="G109" i="22"/>
  <c r="V104" i="22"/>
  <c r="N104" i="22"/>
  <c r="F104" i="22"/>
  <c r="Q103" i="22"/>
  <c r="I103" i="22"/>
  <c r="T102" i="22"/>
  <c r="L102" i="22"/>
  <c r="D102" i="22"/>
  <c r="O101" i="22"/>
  <c r="G101" i="22"/>
  <c r="V96" i="22"/>
  <c r="N96" i="22"/>
  <c r="E96" i="22"/>
  <c r="C126" i="22"/>
  <c r="C118" i="22"/>
  <c r="C110" i="22"/>
  <c r="C102" i="22"/>
  <c r="T126" i="22"/>
  <c r="L126" i="22"/>
  <c r="V125" i="22"/>
  <c r="N125" i="22"/>
  <c r="F125" i="22"/>
  <c r="U120" i="22"/>
  <c r="M120" i="22"/>
  <c r="E120" i="22"/>
  <c r="P119" i="22"/>
  <c r="H119" i="22"/>
  <c r="S118" i="22"/>
  <c r="K118" i="22"/>
  <c r="V117" i="22"/>
  <c r="N117" i="22"/>
  <c r="F117" i="22"/>
  <c r="U112" i="22"/>
  <c r="M112" i="22"/>
  <c r="E112" i="22"/>
  <c r="P111" i="22"/>
  <c r="H111" i="22"/>
  <c r="S110" i="22"/>
  <c r="K110" i="22"/>
  <c r="V109" i="22"/>
  <c r="N109" i="22"/>
  <c r="F109" i="22"/>
  <c r="U104" i="22"/>
  <c r="M104" i="22"/>
  <c r="E104" i="22"/>
  <c r="P103" i="22"/>
  <c r="H103" i="22"/>
  <c r="S102" i="22"/>
  <c r="K102" i="22"/>
  <c r="V101" i="22"/>
  <c r="N101" i="22"/>
  <c r="F101" i="22"/>
  <c r="U96" i="22"/>
  <c r="M96" i="22"/>
  <c r="D96" i="22"/>
  <c r="C125" i="22"/>
  <c r="C117" i="22"/>
  <c r="C109" i="22"/>
  <c r="C101" i="22"/>
  <c r="S126" i="22"/>
  <c r="U125" i="22"/>
  <c r="M125" i="22"/>
  <c r="T120" i="22"/>
  <c r="L120" i="22"/>
  <c r="O119" i="22"/>
  <c r="R118" i="22"/>
  <c r="U117" i="22"/>
  <c r="M117" i="22"/>
  <c r="T112" i="22"/>
  <c r="L112" i="22"/>
  <c r="O111" i="22"/>
  <c r="R110" i="22"/>
  <c r="U109" i="22"/>
  <c r="M109" i="22"/>
  <c r="T104" i="22"/>
  <c r="L104" i="22"/>
  <c r="O103" i="22"/>
  <c r="R102" i="22"/>
  <c r="U101" i="22"/>
  <c r="M101" i="22"/>
  <c r="T96" i="22"/>
  <c r="F42" i="20"/>
  <c r="E42" i="20"/>
  <c r="D42" i="20"/>
  <c r="C42" i="20"/>
  <c r="F41" i="20"/>
  <c r="E41" i="20"/>
  <c r="D41" i="20"/>
  <c r="C41" i="20"/>
  <c r="F40" i="20"/>
  <c r="E40" i="20"/>
  <c r="D40" i="20"/>
  <c r="C40" i="20"/>
  <c r="F39" i="20"/>
  <c r="E39" i="20"/>
  <c r="D39" i="20"/>
  <c r="C39" i="20"/>
  <c r="F38" i="20"/>
  <c r="E38" i="20"/>
  <c r="D38" i="20"/>
  <c r="C38" i="20"/>
  <c r="F37" i="20"/>
  <c r="E37" i="20"/>
  <c r="D37" i="20"/>
  <c r="C37" i="20"/>
  <c r="F36" i="20"/>
  <c r="E36" i="20"/>
  <c r="D36" i="20"/>
  <c r="C36" i="20"/>
  <c r="F35" i="20"/>
  <c r="E35" i="20"/>
  <c r="D35" i="20"/>
  <c r="C35" i="20"/>
  <c r="F34" i="20"/>
  <c r="E34" i="20"/>
  <c r="D34" i="20"/>
  <c r="C34" i="20"/>
  <c r="F33" i="20"/>
  <c r="E33" i="20"/>
  <c r="D33" i="20"/>
  <c r="C33" i="20"/>
  <c r="F32" i="20"/>
  <c r="E32" i="20"/>
  <c r="D32" i="20"/>
  <c r="C32" i="20"/>
  <c r="F31" i="20"/>
  <c r="E31" i="20"/>
  <c r="D31" i="20"/>
  <c r="C31" i="20"/>
  <c r="F30" i="20"/>
  <c r="E30" i="20"/>
  <c r="D30" i="20"/>
  <c r="C30" i="20"/>
  <c r="F29" i="20"/>
  <c r="E29" i="20"/>
  <c r="D29" i="20"/>
  <c r="C29" i="20"/>
  <c r="N48" i="24" l="1"/>
  <c r="N51" i="24"/>
  <c r="O51" i="24" s="1"/>
  <c r="N50" i="24"/>
  <c r="O50" i="24" s="1"/>
  <c r="N49" i="24"/>
  <c r="O49" i="24" s="1"/>
  <c r="N47" i="24"/>
  <c r="O47" i="24" s="1"/>
  <c r="N46" i="24"/>
  <c r="O46" i="24" s="1"/>
  <c r="O48" i="24"/>
  <c r="D410" i="15" l="1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H63" i="15"/>
  <c r="L63" i="15" s="1"/>
  <c r="G63" i="15"/>
  <c r="I63" i="15" s="1"/>
  <c r="F63" i="15"/>
  <c r="D63" i="15"/>
  <c r="L62" i="15"/>
  <c r="K62" i="15"/>
  <c r="M62" i="15" s="1"/>
  <c r="J62" i="15"/>
  <c r="I62" i="15"/>
  <c r="H62" i="15"/>
  <c r="G62" i="15"/>
  <c r="F62" i="15"/>
  <c r="D62" i="15"/>
  <c r="H61" i="15"/>
  <c r="L61" i="15" s="1"/>
  <c r="G61" i="15"/>
  <c r="I61" i="15" s="1"/>
  <c r="F61" i="15"/>
  <c r="D61" i="15"/>
  <c r="D60" i="15"/>
  <c r="D59" i="15"/>
  <c r="D58" i="15"/>
  <c r="D57" i="15"/>
  <c r="D56" i="15"/>
  <c r="H55" i="15"/>
  <c r="L55" i="15" s="1"/>
  <c r="G55" i="15"/>
  <c r="I55" i="15" s="1"/>
  <c r="F55" i="15"/>
  <c r="D55" i="15"/>
  <c r="H54" i="15"/>
  <c r="K54" i="15" s="1"/>
  <c r="G54" i="15"/>
  <c r="I54" i="15" s="1"/>
  <c r="M54" i="15" s="1"/>
  <c r="F54" i="15"/>
  <c r="D54" i="15"/>
  <c r="L53" i="15"/>
  <c r="K53" i="15"/>
  <c r="J53" i="15"/>
  <c r="H53" i="15"/>
  <c r="G53" i="15"/>
  <c r="I53" i="15" s="1"/>
  <c r="M53" i="15" s="1"/>
  <c r="F53" i="15"/>
  <c r="D53" i="15"/>
  <c r="D52" i="15"/>
  <c r="D51" i="15"/>
  <c r="D50" i="15"/>
  <c r="H49" i="15"/>
  <c r="L49" i="15" s="1"/>
  <c r="G49" i="15"/>
  <c r="I49" i="15" s="1"/>
  <c r="F49" i="15"/>
  <c r="D49" i="15"/>
  <c r="L48" i="15"/>
  <c r="H48" i="15"/>
  <c r="K48" i="15" s="1"/>
  <c r="G48" i="15"/>
  <c r="I48" i="15" s="1"/>
  <c r="M48" i="15" s="1"/>
  <c r="F48" i="15"/>
  <c r="D48" i="15"/>
  <c r="H47" i="15"/>
  <c r="K47" i="15" s="1"/>
  <c r="G47" i="15"/>
  <c r="I47" i="15" s="1"/>
  <c r="M47" i="15" s="1"/>
  <c r="F47" i="15"/>
  <c r="D47" i="15"/>
  <c r="D46" i="15"/>
  <c r="D45" i="15"/>
  <c r="D44" i="15"/>
  <c r="D43" i="15"/>
  <c r="D42" i="15"/>
  <c r="H41" i="15"/>
  <c r="K41" i="15" s="1"/>
  <c r="G41" i="15"/>
  <c r="I41" i="15" s="1"/>
  <c r="M41" i="15" s="1"/>
  <c r="F41" i="15"/>
  <c r="D41" i="15"/>
  <c r="H40" i="15"/>
  <c r="K40" i="15" s="1"/>
  <c r="G40" i="15"/>
  <c r="I40" i="15" s="1"/>
  <c r="M40" i="15" s="1"/>
  <c r="F40" i="15"/>
  <c r="D40" i="15"/>
  <c r="H39" i="15"/>
  <c r="L39" i="15" s="1"/>
  <c r="G39" i="15"/>
  <c r="I39" i="15" s="1"/>
  <c r="F39" i="15"/>
  <c r="D39" i="15"/>
  <c r="D38" i="15"/>
  <c r="D37" i="15"/>
  <c r="D36" i="15"/>
  <c r="H35" i="15"/>
  <c r="L35" i="15" s="1"/>
  <c r="G35" i="15"/>
  <c r="I35" i="15" s="1"/>
  <c r="F35" i="15"/>
  <c r="D35" i="15"/>
  <c r="H34" i="15"/>
  <c r="L34" i="15" s="1"/>
  <c r="G34" i="15"/>
  <c r="I34" i="15" s="1"/>
  <c r="F34" i="15"/>
  <c r="D34" i="15"/>
  <c r="H33" i="15"/>
  <c r="K33" i="15" s="1"/>
  <c r="G33" i="15"/>
  <c r="I33" i="15" s="1"/>
  <c r="M33" i="15" s="1"/>
  <c r="F33" i="15"/>
  <c r="D33" i="15"/>
  <c r="D32" i="15"/>
  <c r="D31" i="15"/>
  <c r="D30" i="15"/>
  <c r="D29" i="15"/>
  <c r="D28" i="15"/>
  <c r="H27" i="15"/>
  <c r="K27" i="15" s="1"/>
  <c r="G27" i="15"/>
  <c r="I27" i="15" s="1"/>
  <c r="M27" i="15" s="1"/>
  <c r="F27" i="15"/>
  <c r="D27" i="15"/>
  <c r="H26" i="15"/>
  <c r="K26" i="15" s="1"/>
  <c r="G26" i="15"/>
  <c r="I26" i="15" s="1"/>
  <c r="M26" i="15" s="1"/>
  <c r="F26" i="15"/>
  <c r="D26" i="15"/>
  <c r="H25" i="15"/>
  <c r="K25" i="15" s="1"/>
  <c r="G25" i="15"/>
  <c r="I25" i="15" s="1"/>
  <c r="M25" i="15" s="1"/>
  <c r="F25" i="15"/>
  <c r="D25" i="15"/>
  <c r="D24" i="15"/>
  <c r="D23" i="15"/>
  <c r="D22" i="15"/>
  <c r="H21" i="15"/>
  <c r="K21" i="15" s="1"/>
  <c r="G21" i="15"/>
  <c r="I21" i="15" s="1"/>
  <c r="M21" i="15" s="1"/>
  <c r="F21" i="15"/>
  <c r="D21" i="15"/>
  <c r="H20" i="15"/>
  <c r="J20" i="15" s="1"/>
  <c r="G20" i="15"/>
  <c r="I20" i="15" s="1"/>
  <c r="F20" i="15"/>
  <c r="D20" i="15"/>
  <c r="H19" i="15"/>
  <c r="L19" i="15" s="1"/>
  <c r="G19" i="15"/>
  <c r="I19" i="15" s="1"/>
  <c r="F19" i="15"/>
  <c r="D19" i="15"/>
  <c r="D18" i="15"/>
  <c r="D17" i="15"/>
  <c r="D16" i="15"/>
  <c r="D15" i="15"/>
  <c r="D14" i="15"/>
  <c r="H13" i="15"/>
  <c r="L13" i="15" s="1"/>
  <c r="G13" i="15"/>
  <c r="I13" i="15" s="1"/>
  <c r="F13" i="15"/>
  <c r="D13" i="15"/>
  <c r="I12" i="15"/>
  <c r="H12" i="15"/>
  <c r="L12" i="15" s="1"/>
  <c r="G12" i="15"/>
  <c r="F12" i="15"/>
  <c r="D12" i="15"/>
  <c r="H11" i="15"/>
  <c r="K11" i="15" s="1"/>
  <c r="G11" i="15"/>
  <c r="I11" i="15" s="1"/>
  <c r="M11" i="15" s="1"/>
  <c r="F11" i="15"/>
  <c r="D11" i="15"/>
  <c r="D10" i="15"/>
  <c r="D9" i="15"/>
  <c r="D8" i="15"/>
  <c r="L7" i="15"/>
  <c r="K7" i="15"/>
  <c r="J7" i="15"/>
  <c r="I7" i="15"/>
  <c r="M7" i="15" s="1"/>
  <c r="H7" i="15"/>
  <c r="G7" i="15"/>
  <c r="F7" i="15"/>
  <c r="D7" i="15"/>
  <c r="H6" i="15"/>
  <c r="K6" i="15" s="1"/>
  <c r="G6" i="15"/>
  <c r="I6" i="15" s="1"/>
  <c r="M6" i="15" s="1"/>
  <c r="F6" i="15"/>
  <c r="D6" i="15"/>
  <c r="H5" i="15"/>
  <c r="L5" i="15" s="1"/>
  <c r="G5" i="15"/>
  <c r="I5" i="15" s="1"/>
  <c r="F5" i="15"/>
  <c r="D5" i="15"/>
  <c r="M63" i="15" l="1"/>
  <c r="M49" i="15"/>
  <c r="M61" i="15"/>
  <c r="K5" i="15"/>
  <c r="M5" i="15" s="1"/>
  <c r="J19" i="15"/>
  <c r="L21" i="15"/>
  <c r="J35" i="15"/>
  <c r="K19" i="15"/>
  <c r="M19" i="15" s="1"/>
  <c r="L26" i="15"/>
  <c r="K35" i="15"/>
  <c r="M35" i="15" s="1"/>
  <c r="J40" i="15"/>
  <c r="J33" i="15"/>
  <c r="J49" i="15"/>
  <c r="K49" i="15"/>
  <c r="L33" i="15"/>
  <c r="J47" i="15"/>
  <c r="L47" i="15"/>
  <c r="J61" i="15"/>
  <c r="J6" i="15"/>
  <c r="K13" i="15"/>
  <c r="M13" i="15" s="1"/>
  <c r="J11" i="15"/>
  <c r="L6" i="15"/>
  <c r="L25" i="15"/>
  <c r="K34" i="15"/>
  <c r="M34" i="15" s="1"/>
  <c r="J39" i="15"/>
  <c r="L41" i="15"/>
  <c r="J55" i="15"/>
  <c r="J5" i="15"/>
  <c r="J21" i="15"/>
  <c r="J26" i="15"/>
  <c r="L40" i="15"/>
  <c r="J63" i="15"/>
  <c r="L54" i="15"/>
  <c r="K63" i="15"/>
  <c r="J13" i="15"/>
  <c r="K61" i="15"/>
  <c r="L11" i="15"/>
  <c r="K20" i="15"/>
  <c r="M20" i="15" s="1"/>
  <c r="J25" i="15"/>
  <c r="L27" i="15"/>
  <c r="J41" i="15"/>
  <c r="L20" i="15"/>
  <c r="J34" i="15"/>
  <c r="K39" i="15"/>
  <c r="M39" i="15" s="1"/>
  <c r="J48" i="15"/>
  <c r="K55" i="15"/>
  <c r="M55" i="15" s="1"/>
  <c r="J12" i="15"/>
  <c r="K12" i="15"/>
  <c r="M12" i="15" s="1"/>
  <c r="J54" i="15"/>
  <c r="J27" i="15"/>
  <c r="F20" i="16" l="1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B7" i="13"/>
  <c r="B4" i="13"/>
  <c r="B29" i="13"/>
  <c r="A29" i="13"/>
  <c r="B18" i="13"/>
  <c r="A18" i="13"/>
  <c r="A21" i="13"/>
  <c r="B21" i="13"/>
  <c r="B10" i="13"/>
  <c r="B9" i="13"/>
  <c r="B5" i="13"/>
  <c r="A37" i="13"/>
  <c r="B37" i="13"/>
  <c r="A52" i="13"/>
  <c r="B52" i="13"/>
  <c r="B6" i="13"/>
  <c r="B20" i="13"/>
  <c r="A20" i="13"/>
  <c r="B42" i="13"/>
  <c r="A42" i="13"/>
  <c r="B57" i="13"/>
  <c r="A57" i="13"/>
  <c r="A59" i="13"/>
  <c r="B59" i="13"/>
  <c r="A22" i="13"/>
  <c r="B22" i="13"/>
  <c r="B55" i="13"/>
  <c r="A55" i="13"/>
  <c r="B53" i="13"/>
  <c r="A53" i="13"/>
  <c r="A25" i="13"/>
  <c r="B25" i="13"/>
  <c r="B58" i="13"/>
  <c r="A58" i="13"/>
  <c r="A39" i="13"/>
  <c r="B39" i="13"/>
  <c r="B8" i="13"/>
  <c r="A48" i="13"/>
  <c r="B48" i="13"/>
  <c r="A28" i="13"/>
  <c r="B28" i="13"/>
  <c r="A38" i="13"/>
  <c r="B38" i="13"/>
  <c r="B12" i="13"/>
  <c r="A43" i="13"/>
  <c r="B43" i="13"/>
  <c r="B63" i="13"/>
  <c r="A63" i="13"/>
  <c r="B40" i="13"/>
  <c r="A40" i="13"/>
  <c r="A50" i="13"/>
  <c r="B50" i="13"/>
  <c r="B45" i="13"/>
  <c r="A45" i="13"/>
  <c r="B14" i="13"/>
  <c r="A31" i="13"/>
  <c r="B31" i="13"/>
  <c r="A46" i="13"/>
  <c r="B46" i="13"/>
  <c r="B26" i="13"/>
  <c r="A26" i="13"/>
  <c r="A41" i="13"/>
  <c r="B41" i="13"/>
  <c r="B11" i="13"/>
  <c r="B32" i="13"/>
  <c r="A32" i="13"/>
  <c r="B27" i="13"/>
  <c r="A27" i="13"/>
  <c r="A19" i="13"/>
  <c r="B19" i="13"/>
  <c r="A56" i="13"/>
  <c r="B56" i="13"/>
  <c r="B61" i="13"/>
  <c r="A61" i="13"/>
  <c r="A33" i="13"/>
  <c r="B33" i="13"/>
  <c r="B3" i="13"/>
  <c r="B62" i="13"/>
  <c r="A62" i="13"/>
  <c r="A36" i="13"/>
  <c r="B36" i="13"/>
  <c r="B15" i="13"/>
  <c r="A15" i="13"/>
  <c r="A60" i="13"/>
  <c r="B60" i="13"/>
  <c r="B49" i="13"/>
  <c r="A49" i="13"/>
  <c r="A23" i="13"/>
  <c r="B23" i="13"/>
  <c r="A16" i="13"/>
  <c r="B16" i="13"/>
  <c r="B44" i="13"/>
  <c r="A44" i="13"/>
  <c r="A51" i="13"/>
  <c r="B51" i="13"/>
  <c r="A47" i="13"/>
  <c r="B47" i="13"/>
  <c r="B13" i="13"/>
  <c r="A54" i="13"/>
  <c r="B54" i="13"/>
  <c r="B34" i="13"/>
  <c r="A34" i="13"/>
  <c r="A30" i="13"/>
  <c r="B30" i="13"/>
  <c r="A24" i="13"/>
  <c r="B24" i="13"/>
  <c r="A35" i="13"/>
  <c r="B35" i="13"/>
  <c r="A17" i="13"/>
  <c r="B17" i="13"/>
</calcChain>
</file>

<file path=xl/sharedStrings.xml><?xml version="1.0" encoding="utf-8"?>
<sst xmlns="http://schemas.openxmlformats.org/spreadsheetml/2006/main" count="1702" uniqueCount="451">
  <si>
    <t>Serie</t>
  </si>
  <si>
    <t>I</t>
  </si>
  <si>
    <t>II</t>
  </si>
  <si>
    <t>III</t>
  </si>
  <si>
    <t>IV</t>
  </si>
  <si>
    <t>Crecimiento</t>
  </si>
  <si>
    <t>Total exportaciones</t>
  </si>
  <si>
    <t>Animales vivos</t>
  </si>
  <si>
    <t>Carnes y despojos comestibles</t>
  </si>
  <si>
    <t>Pescados y crustáceos, moluscos e invertebrados acuáticos</t>
  </si>
  <si>
    <t>Leche y productos lácteos, huevos, miel</t>
  </si>
  <si>
    <t>Demás productos de origen animal</t>
  </si>
  <si>
    <t>Plantas vivas y productos de la floricultura</t>
  </si>
  <si>
    <t>Legumbres y hortalizas, plantas, raíces y tubérculos</t>
  </si>
  <si>
    <t>Frutos comestibles, cortezas de agrios o melones</t>
  </si>
  <si>
    <t>Café, té, yerba mate y especias</t>
  </si>
  <si>
    <t>Cereales</t>
  </si>
  <si>
    <t>Productos de molinería, malta, almidón y fécula</t>
  </si>
  <si>
    <t>Semillas y frutos oleaginosos, forrajes</t>
  </si>
  <si>
    <t>Gomas, resinas, y demás jugos y extractos vegetales</t>
  </si>
  <si>
    <t>Materias trenzables y demás productos vegetales</t>
  </si>
  <si>
    <t>Grasas y aceites animales o vegetales</t>
  </si>
  <si>
    <t>Preparaciones de carne, pescado, crustáceos, moluscos</t>
  </si>
  <si>
    <t>Azúcares y artículos confitería</t>
  </si>
  <si>
    <t>Cacao y sus preparaciones</t>
  </si>
  <si>
    <t>Preparaciones a base de cereal, harina, leche; pastelería</t>
  </si>
  <si>
    <t>Preparaciones de legumbres u hortalizas, frutos, otras</t>
  </si>
  <si>
    <t>Preparaciones alimenticias diversas</t>
  </si>
  <si>
    <t xml:space="preserve">Bebidas, líquidos alcohólicos y vinagre </t>
  </si>
  <si>
    <t>Residuos industrias alimentarias. Alimentos para animales</t>
  </si>
  <si>
    <t>Tabaco, sucedáneos del tabaco elaborados</t>
  </si>
  <si>
    <t>Sal; azufre; tierras y piedras; yesos, cales y cementos</t>
  </si>
  <si>
    <t>Minerales, escorias y cenizas</t>
  </si>
  <si>
    <t>Combustibles y aceites minerales y sus productos</t>
  </si>
  <si>
    <t>Productos químicos inorgánicos</t>
  </si>
  <si>
    <t>Productos químicos orgánicos</t>
  </si>
  <si>
    <t>Productos farmacéuticos</t>
  </si>
  <si>
    <t>Abonos</t>
  </si>
  <si>
    <t>Extractos curtientes, pinturas, tintas</t>
  </si>
  <si>
    <t>Aceites esenciales, perfumería, cosméticos</t>
  </si>
  <si>
    <t>Jabones, ceras artificiales, pastas</t>
  </si>
  <si>
    <t>Materias albuminoideas, colas</t>
  </si>
  <si>
    <t>Productos diversos de las industrias químicas</t>
  </si>
  <si>
    <t>Materias plásticas y manufacturas</t>
  </si>
  <si>
    <t>Caucho y manufacturas</t>
  </si>
  <si>
    <t>Pieles y cueros</t>
  </si>
  <si>
    <t>Manufacturas de cuero, artículos de viaje, bolsos</t>
  </si>
  <si>
    <t>Peletería y confecciones</t>
  </si>
  <si>
    <t>Madera, carbón vegetal y manufacturas de madera</t>
  </si>
  <si>
    <t>Manufactura de espartería y cestería</t>
  </si>
  <si>
    <t>Pastas de madera, desperdicios de papel o cartón</t>
  </si>
  <si>
    <t>Papel, cartón y sus manufacturas</t>
  </si>
  <si>
    <t>Productos editoriales, prensa, textos</t>
  </si>
  <si>
    <t>Algodón</t>
  </si>
  <si>
    <t>Demás fibras vegetales, hilados de papel</t>
  </si>
  <si>
    <t>Filamentos sintéticos o artificiales</t>
  </si>
  <si>
    <t>Fibras sintéticas o artificiales discontinuas</t>
  </si>
  <si>
    <t>Guata, fieltro y telas sin tejer; cordeles ,cuerdas, cordajes</t>
  </si>
  <si>
    <t>Alfombras y materias textiles</t>
  </si>
  <si>
    <t>Tejidos especiales, superficies textiles con pelo</t>
  </si>
  <si>
    <t>Tejidos impregnados, recubiertos</t>
  </si>
  <si>
    <t>Tejidos de punto</t>
  </si>
  <si>
    <t>Prendas y complementos de vestir, de punto</t>
  </si>
  <si>
    <t>Prendas y complementos de vestir, excepto de punto</t>
  </si>
  <si>
    <t>Demás artículos textiles confeccionados</t>
  </si>
  <si>
    <t>Calzado, botines, artículos análogos y partes</t>
  </si>
  <si>
    <t>Artículos de sombrerería y partes</t>
  </si>
  <si>
    <t>Paraguas, bastones, látigos y sus partes</t>
  </si>
  <si>
    <t>Plumas, flores artificiales; manufactura de cabellos</t>
  </si>
  <si>
    <t>Manufacturas de piedra, yeso, cemento, mica y análogas</t>
  </si>
  <si>
    <t>Productos cerámicos</t>
  </si>
  <si>
    <t>Vidrio y manufacturas</t>
  </si>
  <si>
    <t>Perlas finas, piedras y metales preciosos</t>
  </si>
  <si>
    <t>Fundición, hierro y acero</t>
  </si>
  <si>
    <t>Manufactura de fundición, de hierro o acero</t>
  </si>
  <si>
    <t>Cobre y sus manufacturas</t>
  </si>
  <si>
    <t>Níquel y sus manufacturas</t>
  </si>
  <si>
    <t>Aluminio y sus manufacturas</t>
  </si>
  <si>
    <t>Plomo y manufacturas</t>
  </si>
  <si>
    <t>Zinc y manufacturas</t>
  </si>
  <si>
    <t>Demás metales comunes, "cermets" y manufacturas</t>
  </si>
  <si>
    <t>Herramientas y útiles, cuchillería y cubiertos</t>
  </si>
  <si>
    <t>Manufacturas diversas de metales comunes</t>
  </si>
  <si>
    <t>Reactores nucleares, calderas, máquinas y partes</t>
  </si>
  <si>
    <t>Aparatos y material eléctrico, de grabación o imagen</t>
  </si>
  <si>
    <t>Vehículos y material para vía férrea, aparatos de señalización</t>
  </si>
  <si>
    <t>Vehículos automóviles, tractores, ciclos, partes y accesorios</t>
  </si>
  <si>
    <t>Navegación aérea o espacial</t>
  </si>
  <si>
    <t>Navegación marítima o fluvial</t>
  </si>
  <si>
    <t>Instrumentos y aparatos de óptica, fotografía, cinematografía</t>
  </si>
  <si>
    <t>Relojería</t>
  </si>
  <si>
    <t>Instrumentos de música, partes y accesorios</t>
  </si>
  <si>
    <t>Armas y municiones, sus partes y accesorios</t>
  </si>
  <si>
    <t>Muebles</t>
  </si>
  <si>
    <t>Juguetes, artículos para recreo, deporte; partes y accesorios</t>
  </si>
  <si>
    <t>Manufacturas diversas</t>
  </si>
  <si>
    <t>Objetos de arte, de colección o de antigüedad</t>
  </si>
  <si>
    <t>Disposiciones de tratamiento especial</t>
  </si>
  <si>
    <t>Promedio</t>
  </si>
  <si>
    <t>Crecimientos</t>
  </si>
  <si>
    <t xml:space="preserve">Mediana </t>
  </si>
  <si>
    <t>Inversión Directa</t>
  </si>
  <si>
    <t xml:space="preserve">Derivados Financieros </t>
  </si>
  <si>
    <t>Inversión de Cartera</t>
  </si>
  <si>
    <t>Otra Inversión</t>
  </si>
  <si>
    <t>Activos de Reserva</t>
  </si>
  <si>
    <t>Pólvoras, explosivos, fósforos</t>
  </si>
  <si>
    <t>Productos fotográficos, cinematográficos</t>
  </si>
  <si>
    <t>Corcho y sus manufacturas</t>
  </si>
  <si>
    <t>Seda</t>
  </si>
  <si>
    <t>Lana y pelo fino u ordinario; hilados y tejidos de crin</t>
  </si>
  <si>
    <t>Estaño y manufacturas</t>
  </si>
  <si>
    <t>crecimientos</t>
  </si>
  <si>
    <t>Mediana</t>
  </si>
  <si>
    <t xml:space="preserve">participación </t>
  </si>
  <si>
    <t>promedio</t>
  </si>
  <si>
    <t>mediana</t>
  </si>
  <si>
    <t>contribuciones</t>
  </si>
  <si>
    <t>MES</t>
  </si>
  <si>
    <t>Exportaciones tradicionales</t>
  </si>
  <si>
    <t>Exportaciones no tradicionales</t>
  </si>
  <si>
    <r>
      <t>Café</t>
    </r>
    <r>
      <rPr>
        <b/>
        <vertAlign val="superscript"/>
        <sz val="9"/>
        <rFont val="Arial"/>
        <family val="2"/>
      </rPr>
      <t>1</t>
    </r>
  </si>
  <si>
    <t>Carbón</t>
  </si>
  <si>
    <t>Petróleo y sus derivados</t>
  </si>
  <si>
    <t>Ferroníquel</t>
  </si>
  <si>
    <t xml:space="preserve">Total Exportaciones Tradicionales </t>
  </si>
  <si>
    <t>Miles de Dólares FOB</t>
  </si>
  <si>
    <t>Toneladas Métricas</t>
  </si>
  <si>
    <t>Participación</t>
  </si>
  <si>
    <t>Café</t>
  </si>
  <si>
    <t/>
  </si>
  <si>
    <t>Inversión directa (activos)</t>
  </si>
  <si>
    <t>Cuentas</t>
  </si>
  <si>
    <t>S1</t>
  </si>
  <si>
    <t>Rubros</t>
  </si>
  <si>
    <t>Variación</t>
  </si>
  <si>
    <t>Contribución</t>
  </si>
  <si>
    <t>        3 Cuenta financiera</t>
  </si>
  <si>
    <t>                      3.1 Inversión directa</t>
  </si>
  <si>
    <t>                             Adquisición neta de activos financieros</t>
  </si>
  <si>
    <t>                                    3.1.1 Participaciones de capital y participaciones en fondos de inversión</t>
  </si>
  <si>
    <t>                                                  3.1.1.1 Participaciones de capital distintas de reinversión de utilidades</t>
  </si>
  <si>
    <t>Inversión directa (Pasivos)</t>
  </si>
  <si>
    <t>                                                                3.1.1.1.1 Inversionista directo en empresas de inversión directa</t>
  </si>
  <si>
    <t>                                                                3.1.1.1.2 Empresas de inversión directa en inversionista directo (inversión en sentido contrario)</t>
  </si>
  <si>
    <t>                                                                3.1.1.1.3 Entre empresas emparentadas</t>
  </si>
  <si>
    <t>                                                                              3.1.1.1.3.1 si la casa matriz que ejerce el control final es residente</t>
  </si>
  <si>
    <t>                                                                              3.1.1.1.3.2 si la casa matriz que ejerce el control final es no residente</t>
  </si>
  <si>
    <t>                                                                              3.1.1.1.3.3 si se desconoce la casa matriz que ejerce el control final</t>
  </si>
  <si>
    <t>                                                  3.1.1.2 Reinversión de utilidades</t>
  </si>
  <si>
    <t>                                                                3.1.1.0.1 De las cuales: Participaciones/unidades de fondos de inversión</t>
  </si>
  <si>
    <t>Inversión de cartera (activos)</t>
  </si>
  <si>
    <t>                                                                              3.1.1.0.1.1 De las cuales: Participaciones/unidades de fondos del mercado monetario</t>
  </si>
  <si>
    <t>                                    3.1.2 Instrumentos de deuda</t>
  </si>
  <si>
    <t>                                                  3.1.2.1 Derechos de los inversionistas directos sobre empresas de inversión directa</t>
  </si>
  <si>
    <t>                                                  3.1.2.2 Derechos de las empresas de inversión directa sobre inversionistas directos (inversión en sentido contrario)</t>
  </si>
  <si>
    <t>                                                  3.1.2.3 Entre empresas emparentadas</t>
  </si>
  <si>
    <t>                                                                3.1.2.3.1 si la casa matriz que ejerce el control final es residente</t>
  </si>
  <si>
    <t>Inversión de cartera (Pasivos)</t>
  </si>
  <si>
    <t>                                                                3.1.2.3.2 si la casa matriz que ejerce el control final es no residente</t>
  </si>
  <si>
    <t>                                                                3.1.2.3.3 si se desconoce la casa matriz que ejerce el control final</t>
  </si>
  <si>
    <t>                                                  3.1.2.0 De las cuales: Títulos de deuda</t>
  </si>
  <si>
    <t>                                                                3.1.2.0.1 Derechos de los inversionistas directos sobre empresas de inversión directa</t>
  </si>
  <si>
    <t>                                                                3.1.2.0.2 Derechos de las empresas de inversión directa sobre inversionistas directos (inversión en sentido contrario)</t>
  </si>
  <si>
    <t>                                                                3.1.2.0.3 Entre empresas emparentadas</t>
  </si>
  <si>
    <t>                                                                              3.1.2.0.3.1 si la casa matriz que ejerce el control final es residente</t>
  </si>
  <si>
    <t>                                                                              3.1.2.0.3.2 si la casa matriz que ejerce el control final es no residente</t>
  </si>
  <si>
    <t>Derivados financieros (activos)</t>
  </si>
  <si>
    <t>                             Pasivos netos incurridos</t>
  </si>
  <si>
    <t>                                                                              3.1.2.0.3.3 si se desconoce la casa matriz que ejerce el control final</t>
  </si>
  <si>
    <t>                                    3.4.2 Moneda y depósitos</t>
  </si>
  <si>
    <t>                                                  3.4.2.1 Banco central</t>
  </si>
  <si>
    <t>                                                                3.4.2.1.1 Corto plazo</t>
  </si>
  <si>
    <t>                                                                3.4.2.1.2 Largo plazo</t>
  </si>
  <si>
    <t>                                                                3.4.2.1.9 Autoridades monetarias (según corresponda)</t>
  </si>
  <si>
    <t>Derivados financieros (Pasivos)</t>
  </si>
  <si>
    <t>                                                                              3.4.2.1.9.1 Corto plazo</t>
  </si>
  <si>
    <t>                                                                              3.4.2.1.9.2 Largo plazo</t>
  </si>
  <si>
    <t>                                                  3.4.2.2 Sociedades captadoras de depósitos, excepto el banco central</t>
  </si>
  <si>
    <t>                                                                              3.4.2.2.0.1 De las cuales: Posiciones interbancarias</t>
  </si>
  <si>
    <t>                                                                              3.4.2.2.0.1 Corto plazo</t>
  </si>
  <si>
    <t>                                                                3.4.2.2.1 Corto plazo</t>
  </si>
  <si>
    <t>                                                                3.4.2.2.1 Largo plazo</t>
  </si>
  <si>
    <t>                                                                3.4.2.2.2 Largo plazo</t>
  </si>
  <si>
    <t>                                                                3.4.2.2.2 De las cuales: posiciones interbancarias</t>
  </si>
  <si>
    <t>                                                  3.4.2.3 Gobierno general</t>
  </si>
  <si>
    <t>                                                                3.4.2.3.1 Corto plazo</t>
  </si>
  <si>
    <t>Otra inversión (activos)</t>
  </si>
  <si>
    <t>                                                                3.4.2.3.2 Largo plazo</t>
  </si>
  <si>
    <t>                                                  3.4.2.4 Otros sectores</t>
  </si>
  <si>
    <t>                                                                              3.4.2.4.0.1 Corto plazo</t>
  </si>
  <si>
    <t>                                                                              3.4.2.4.0.2 Largo plazo</t>
  </si>
  <si>
    <t>                                                                3.4.2.4.1 Otras sociedades financieras</t>
  </si>
  <si>
    <t>                                                                              3.4.2.4.1.1 Corto plazo</t>
  </si>
  <si>
    <t>Otra inversión (Pasivos)</t>
  </si>
  <si>
    <t>                                                                              3.4.2.4.1.2 Largo plazo</t>
  </si>
  <si>
    <t>                                                                3.4.2.4.2 Sociedades no financieras, hogares e ISFLSH</t>
  </si>
  <si>
    <t>                                                                              3.4.2.4.2.1 Corto plazo</t>
  </si>
  <si>
    <t>                                                                              3.4.2.4.2.2 Largo plazo</t>
  </si>
  <si>
    <t>                                    3.4.3 Préstamos</t>
  </si>
  <si>
    <t>                                                  3.4.3.1 Banco central</t>
  </si>
  <si>
    <t>                                                                3.4.3.1.1 Crédito y préstamos del FMI (distintos de reservas)</t>
  </si>
  <si>
    <t>                                                                3.4.3.1.2 Otros a corto plazo</t>
  </si>
  <si>
    <t>                      3.2 Inversión de cartera</t>
  </si>
  <si>
    <t>Activos en reserva (activos)</t>
  </si>
  <si>
    <t>                                                                3.4.3.1.3 Otros a largo plazo</t>
  </si>
  <si>
    <t>                                                                3.4.3.1.9 Autoridades monetarias (según corresponda)</t>
  </si>
  <si>
    <t>                                    3.2.1 Participaciones de capital y participaciones en fondos de inversión</t>
  </si>
  <si>
    <t>                                                                              3.4.3.1.9.1 Crédito y préstamos del FMI (distintos de reservas)</t>
  </si>
  <si>
    <t>                                                  3.2.1.1 Banco central</t>
  </si>
  <si>
    <t>                                                                              3.4.3.1.9.2 Otros a corto plazo</t>
  </si>
  <si>
    <t>                                                                3.2.1.1.9 Autoridades monetarias (según corresponda)</t>
  </si>
  <si>
    <t>                                                                              3.4.3.1.9.3 Otros a largo plazo</t>
  </si>
  <si>
    <t>                                                  3.2.1.3 Gobierno general</t>
  </si>
  <si>
    <t>                                                  3.4.3.2 Sociedades captadoras de depósitos, excepto el banco central</t>
  </si>
  <si>
    <t>                                                  3.2.1.2 Sociedades captadoras de depósitos, excepto el banco central</t>
  </si>
  <si>
    <t>                                                                3.4.3.2.1 Corto plazo</t>
  </si>
  <si>
    <t>                                                  3.2.1.4 Otros sectores</t>
  </si>
  <si>
    <t>                                                                3.4.3.2.2 Largo plazo</t>
  </si>
  <si>
    <t>                                                                3.2.1.4.1 Otras sociedades financieras</t>
  </si>
  <si>
    <t>                                                  3.4.3.3 Gobierno general</t>
  </si>
  <si>
    <t>                                                                3.2.1.4.2 Sociedades no financieras, hogares e ISFLSH</t>
  </si>
  <si>
    <t>                                                                3.4.3.3.1 Crédito y préstamos del FMI (distintos de reservas)</t>
  </si>
  <si>
    <t>                                                                3.2.1.0.1 Participaciones en el capital distintas de participaciones en fondos de inversión</t>
  </si>
  <si>
    <t>                                                                3.4.3.3.2 Otros a corto plazo</t>
  </si>
  <si>
    <t>                                                                              3.2.1.0.1.1 Inscritos en Bolsa</t>
  </si>
  <si>
    <t>                                                                3.4.3.3.3 Otros a largo plazo</t>
  </si>
  <si>
    <t>                                                                              3.2.1.0.1.2 No inscritos en Bolsa</t>
  </si>
  <si>
    <t>                                                  3.4.3.4 Otros sectores</t>
  </si>
  <si>
    <t>                                                                3.2.1.0.2 Participaciones/unidades de fondos de inversión</t>
  </si>
  <si>
    <t>                                                                              3.4.3.4.0.1 Corto plazo</t>
  </si>
  <si>
    <t>                                                                              3.2.1.0.2.1 De las cuales: Reinversión de utilidades</t>
  </si>
  <si>
    <t>                                                                              3.4.3.4.0.2 Largo plazo</t>
  </si>
  <si>
    <t>                                                                                            3.2.1.0.2.0.1 De las cuales: Participaciones/unidades de fondos del mercado monetario</t>
  </si>
  <si>
    <t>                                                                3.4.3.4.1 Otras sociedades financieras</t>
  </si>
  <si>
    <t>                                    3.2.2 Títulos de deuda</t>
  </si>
  <si>
    <t>                                                  3.2.2.1 Banco central</t>
  </si>
  <si>
    <t>                                                                3.2.2.1.1 Corto plazo</t>
  </si>
  <si>
    <t>                                                                3.4.3.4.2 Sociedades no financieras, hogares e ISFLSH</t>
  </si>
  <si>
    <t>                                                                3.2.2.1.2 Largo plazo</t>
  </si>
  <si>
    <t>                                                                              3.4.3.4.2.1 Corto plazo</t>
  </si>
  <si>
    <t>                                                                3.2.2.1.9 Autoridades monetarias (según corresponda)</t>
  </si>
  <si>
    <t>                                                                              3.4.3.4.2.2 Largo plazo</t>
  </si>
  <si>
    <t>                                                                              3.2.1.1.9.1 Corto plazo</t>
  </si>
  <si>
    <t>                                    3.4.4 Seguros, pensiones y mecanismos normalizados de garantía</t>
  </si>
  <si>
    <t>                                                                              3.2.1.1.9.2 Largo plazo</t>
  </si>
  <si>
    <t>                                                  3.4.4.1 Banco central</t>
  </si>
  <si>
    <t>                                                  3.2.2.2 Sociedades captadoras de depósitos, excepto el banco central</t>
  </si>
  <si>
    <t>                                                                3.4.4.1.9 Autoridades monetarias (según corresponda)</t>
  </si>
  <si>
    <t>                                                                3.2.2.2.1 Corto plazo</t>
  </si>
  <si>
    <t>                                                  3.4.4.2 Sociedades captadoras de depósitos, excepto el banco central</t>
  </si>
  <si>
    <t>                                                                3.2.2.2.2 Largo plazo</t>
  </si>
  <si>
    <t>                                                  3.4.4.3 Gobierno general</t>
  </si>
  <si>
    <t>                                                  3.2.2.3 Gobierno general</t>
  </si>
  <si>
    <t>                                                  3.4.4.4 Otros sectores</t>
  </si>
  <si>
    <t>                                                                3.2.2.3.1 Corto plazo</t>
  </si>
  <si>
    <t>                                                                3.4.4.4.1 Otras sociedades financieras</t>
  </si>
  <si>
    <t>                                                                3.2.2.3.2 Largo plazo</t>
  </si>
  <si>
    <t>                                                                3.4.4.4.2 Sociedades no financieras, hogares e ISFLSH</t>
  </si>
  <si>
    <t>                                                  3.2.2.4 Otros sectores</t>
  </si>
  <si>
    <t>                                                                3.4.4.0.1 Reservas técnicas de seguros no de vida</t>
  </si>
  <si>
    <t>                                                                              3.2.2.4.0.1 Corto plazo</t>
  </si>
  <si>
    <t>                                                                3.4.4.0.2 Seguros de vida y derechos a rentas vitalicias</t>
  </si>
  <si>
    <t>                                                                              3.2.2.4.0.2 Largo plazo</t>
  </si>
  <si>
    <t>                                                                3.4.4.0.3 Derechos a prestaciones jubilatorias</t>
  </si>
  <si>
    <t>                                                                3.2.2.4.1 Otras sociedades financieras</t>
  </si>
  <si>
    <t>                                                                3.4.4.0.4 Derechos de fondos de pensiones sobre activos de sus patrocinadores</t>
  </si>
  <si>
    <t>                                                                              3.2.2.4.1.1 Corto plazo</t>
  </si>
  <si>
    <t>                                                                3.4.4.0.5 Derechos a prestaciones no jubilatorias</t>
  </si>
  <si>
    <t>                                                                              3.2.2.4.1.2 Largo plazo</t>
  </si>
  <si>
    <t>                                                                3.4.4.0.6 Provisiones para las peticiones de fondos en virtud de garantías normalizadas</t>
  </si>
  <si>
    <t>                                                                3.2.2.4.2 Sociedades no financieras, hogares e ISFLSH</t>
  </si>
  <si>
    <t>                                    3.4.5 Créditos y anticipos comerciales</t>
  </si>
  <si>
    <t>                                                                              3.2.2.4.2.1 Corto plazo</t>
  </si>
  <si>
    <t>                                                  3.4.5.1 Banco central</t>
  </si>
  <si>
    <t>                                                                              3.2.2.4.2.2 Largo plazo</t>
  </si>
  <si>
    <t>                                                                3.4.5.1.1 Corto plazo</t>
  </si>
  <si>
    <t>                                                                3.4.5.1.2 Largo plazo</t>
  </si>
  <si>
    <t>                                                                3.4.5.1.9 Autoridades monetarias (según corresponda)</t>
  </si>
  <si>
    <t>                                                                              3.4.5.1.9.1 Corto plazo</t>
  </si>
  <si>
    <t>                                                                              3.4.5.1.9.2 Largo plazo</t>
  </si>
  <si>
    <t>                                                  3.4.5.3 Sociedades captadoras de depósitos, excepto el banco central</t>
  </si>
  <si>
    <t>                                                                3.4.5.3.1 Corto plazo</t>
  </si>
  <si>
    <t>                                                                3.4.5.3.2 Largo plazo</t>
  </si>
  <si>
    <t>                                                  3.4.5.2 Gobierno general</t>
  </si>
  <si>
    <t>                                                                3.4.5.2.1 Corto plazo</t>
  </si>
  <si>
    <t>                                                                3.4.5.2.2 Largo plazo</t>
  </si>
  <si>
    <t>                                                  3.4.5.4 Otros sectores</t>
  </si>
  <si>
    <t>                                                                              3.4.5.4.0.1 Corto plazo</t>
  </si>
  <si>
    <t>                                                                              3.4.5.4.0.2 Largo plazo</t>
  </si>
  <si>
    <t>                                                                3.4.5.4.1 Otras sociedades financieras</t>
  </si>
  <si>
    <t>                                                                              3.4.5.4.1.1 Corto plazo</t>
  </si>
  <si>
    <t>                                                                              3.4.5.4.1.2 Largo plazo</t>
  </si>
  <si>
    <t>                                                                3.4.5.4.2 Sociedades no financieras, hogares e ISFLSH</t>
  </si>
  <si>
    <t>                                                                              3.4.5.4.2.1 Corto plazo</t>
  </si>
  <si>
    <t>                                                                              3.4.5.4.2.2 Largo plazo</t>
  </si>
  <si>
    <t>                                    3.4.6 Otras cuentas por cobrar/por pagar ¿otros</t>
  </si>
  <si>
    <t>                                                  3.4.6.1 Banco central</t>
  </si>
  <si>
    <t>                                                                3.4.6.1.1 Corto plazo</t>
  </si>
  <si>
    <t>                                                                3.4.6.1.2 Largo plazo</t>
  </si>
  <si>
    <t>                                                                3.4.6.1.9 Autoridades monetarias (según corresponda)</t>
  </si>
  <si>
    <t>                                                                              3.4.6.1.9.1 Corto plazo</t>
  </si>
  <si>
    <t>                                                                              3.4.6.1.9.2 Largo plazo</t>
  </si>
  <si>
    <t>                                                  3.4.6.2 Sociedades captadoras de depósitos, excepto el banco central</t>
  </si>
  <si>
    <t>                                                                3.4.6.2.1 Corto plazo</t>
  </si>
  <si>
    <t>                                                                              3.2.2.3.2.1 De las cuales: en el mercado local</t>
  </si>
  <si>
    <t>                                                                3.4.6.2.2 Largo plazo</t>
  </si>
  <si>
    <t>                                                                              3.2.2.3.2.2 De las cuales: en los mercados internacionales</t>
  </si>
  <si>
    <t>                                                  3.4.6.3 Gobierno general</t>
  </si>
  <si>
    <t>                                                                3.4.6.3.1 Corto plazo</t>
  </si>
  <si>
    <t>                                                                3.4.6.3.2 Largo plazo</t>
  </si>
  <si>
    <t>                                                  3.4.6.4 Otros sectores</t>
  </si>
  <si>
    <t>                                                                              3.4.6.4.0.1 Corto plazo</t>
  </si>
  <si>
    <t>                                                                              3.4.6.4.0.2 Largo plazo</t>
  </si>
  <si>
    <t>                                                                3.4.6.4.1 Otras sociedades financieras</t>
  </si>
  <si>
    <t>                                                                              3.4.6.4.1.1 Corto plazo</t>
  </si>
  <si>
    <t>                                                                              3.4.6.4.1.2 Largo plazo</t>
  </si>
  <si>
    <t>                                                                3.4.6.4.2 Sociedades no financieras, hogares e ISFLSH</t>
  </si>
  <si>
    <t>                      3.3 Derivados financieros (distintos de reservas) y opciones de compra de acciones por parte de empleados</t>
  </si>
  <si>
    <t>                                                                              3.4.6.4.2.1 Corto plazo</t>
  </si>
  <si>
    <t>                                    3.3.1 Banco central</t>
  </si>
  <si>
    <t>                                                                              3.4.6.4.2.2 Largo plazo</t>
  </si>
  <si>
    <t>                                                  3.3.1.9 Autoridades monetarias (según corresponda)</t>
  </si>
  <si>
    <t>                                    3.3.2 Sociedades captadoras de depósitos, excepto el banco central</t>
  </si>
  <si>
    <t>                                    3.3.3 Gobierno general</t>
  </si>
  <si>
    <t>                                    3.3.4 Otros sectores</t>
  </si>
  <si>
    <t>                                                  3.3.4.1 Otras sociedades financieras</t>
  </si>
  <si>
    <t>                                                  3.3.4.2 Sociedades no financieras, hogares e ISFLSH</t>
  </si>
  <si>
    <t>                                                  3.3.0.1 Derivados financieros (distintos de reservas)</t>
  </si>
  <si>
    <t>                                                                3.3.0.1.1 Opciones</t>
  </si>
  <si>
    <t>                                                                3.3.0.1.2 Contratos a término (Forwards)</t>
  </si>
  <si>
    <t>                                                  3.3.0.2 Opciones de compra de acciones por parte de empleados</t>
  </si>
  <si>
    <t>                      3.4 Otra inversión</t>
  </si>
  <si>
    <t>                                    3.4.1 Otras participaciones de capital</t>
  </si>
  <si>
    <t>                                           Adquisición neta de activos financieros</t>
  </si>
  <si>
    <t>                                           Pasivos netos incurridos</t>
  </si>
  <si>
    <t>                                    3.4.7 Derechos especiales de giro (Pasivos netos incurridos)</t>
  </si>
  <si>
    <t>                      3.5 Activos de reserva</t>
  </si>
  <si>
    <t>                                    3.5.1 Oro monetario</t>
  </si>
  <si>
    <t>                                                  3.5.1.1 Oro en lingotes</t>
  </si>
  <si>
    <t>                                                  3.5.1.2 Cuentas de oro no asignadas</t>
  </si>
  <si>
    <t>                                    3.5.2 Derechos especiales de giro</t>
  </si>
  <si>
    <t>                                    3.5.3 Posición de reserva en el FMI</t>
  </si>
  <si>
    <t>                                    3.5.4 Otros activos de reserva</t>
  </si>
  <si>
    <t>                                                  3.5.4.1 Moneda y depósitos</t>
  </si>
  <si>
    <t>                                                                3.5.4.1.1 Derechos sobre activos de las autoridades monetarias</t>
  </si>
  <si>
    <t>                                                                3.5.4.1.2 Derechos sobre activos de otras entidades</t>
  </si>
  <si>
    <t>                                                  3.5.4.2 Títulos-valores</t>
  </si>
  <si>
    <t>                                                                3.5.4.2.1 Títulos de deuda</t>
  </si>
  <si>
    <t>                                                                              3.5.4.2.1.1 Corto plazo</t>
  </si>
  <si>
    <t>                                                                              3.5.4.2.1.2 Largo plazo</t>
  </si>
  <si>
    <t>                                                                3.5.4.2.2 Participaciones de capital y participaciones en fondos de inversión</t>
  </si>
  <si>
    <t>                                                  3.5.4.3 Derivados financieros</t>
  </si>
  <si>
    <t>                                                  3.5.4.4 Otros activos</t>
  </si>
  <si>
    <t>        Errores y omisiones netos</t>
  </si>
  <si>
    <t>Memorándum Cuenta financiera excluyendo activos de reserva</t>
  </si>
  <si>
    <t>Periodo</t>
  </si>
  <si>
    <t>S1 2024 (p)</t>
  </si>
  <si>
    <t>S2 2024 (p)</t>
  </si>
  <si>
    <t>S1 2025 (pr)</t>
  </si>
  <si>
    <t>Cuenta corriente</t>
  </si>
  <si>
    <t>               Crédito (exportaciones)</t>
  </si>
  <si>
    <t>               Débito (importaciones)</t>
  </si>
  <si>
    <t xml:space="preserve">         Bienes y servicios</t>
  </si>
  <si>
    <t>                             Crédito (exportaciones)</t>
  </si>
  <si>
    <t>                             Débito (importaciones)</t>
  </si>
  <si>
    <t xml:space="preserve">                               Bienes</t>
  </si>
  <si>
    <t>                                           Crédito (exportaciones)</t>
  </si>
  <si>
    <t>                                           Débito (importaciones)</t>
  </si>
  <si>
    <t>                               Servicios</t>
  </si>
  <si>
    <t>                      Ingreso primario (Renta factorial)</t>
  </si>
  <si>
    <t>                             Crédito</t>
  </si>
  <si>
    <t>                             Débito</t>
  </si>
  <si>
    <t>                       Ingreso secundario (Transferencias corrientes)</t>
  </si>
  <si>
    <t>Peirodo</t>
  </si>
  <si>
    <t xml:space="preserve">                      3.3 Derivados financieros </t>
  </si>
  <si>
    <t xml:space="preserve">        Errores y omisiones</t>
  </si>
  <si>
    <t>Sector petrolero</t>
  </si>
  <si>
    <t>Subtotal Resto de Sectores</t>
  </si>
  <si>
    <t>Agricultura, caza, silvicultura y pesca</t>
  </si>
  <si>
    <t>Explotación de minas y canteras (incluye carbón)</t>
  </si>
  <si>
    <t>Industrias manufactureras</t>
  </si>
  <si>
    <t>Electricidad, gas y agua</t>
  </si>
  <si>
    <t>Construcción</t>
  </si>
  <si>
    <t>Comercio al por mayor y al por menor, restaurantes y hoteles</t>
  </si>
  <si>
    <t>Transportes, almacenamiento y comunicaciones</t>
  </si>
  <si>
    <t>Servicios financieros y empresariales</t>
  </si>
  <si>
    <t>Servicios comunales sociales y personales</t>
  </si>
  <si>
    <t>Total actividades económicas</t>
  </si>
  <si>
    <t>Otros</t>
  </si>
  <si>
    <t>Floricultutra</t>
  </si>
  <si>
    <t>Petróleo y derivados</t>
  </si>
  <si>
    <t>Piedras y metales preciosos</t>
  </si>
  <si>
    <t>Industria plástica</t>
  </si>
  <si>
    <t>Exportaciones tradicionales (eje derecho)</t>
  </si>
  <si>
    <t>Exportaciones no tradicionales (eje derecho)</t>
  </si>
  <si>
    <t>Cuenta Financiera  (% PIB)</t>
  </si>
  <si>
    <t>Bimestrallll</t>
  </si>
  <si>
    <t>Año</t>
  </si>
  <si>
    <t>Bimestre</t>
  </si>
  <si>
    <t>Fecha (Año)</t>
  </si>
  <si>
    <t>Trimestre</t>
  </si>
  <si>
    <t>Q4</t>
  </si>
  <si>
    <t>Q3</t>
  </si>
  <si>
    <t>Q2</t>
  </si>
  <si>
    <t>Q1</t>
  </si>
  <si>
    <t>año</t>
  </si>
  <si>
    <t>Total</t>
  </si>
  <si>
    <t>S2 2025 (pr)</t>
  </si>
  <si>
    <t>    1 Cuenta corriente</t>
  </si>
  <si>
    <t>         Crédito (exportaciones)</t>
  </si>
  <si>
    <t>         Débito (importaciones)</t>
  </si>
  <si>
    <t>              1.A Bienes y servicios</t>
  </si>
  <si>
    <t>                   Crédito (exportaciones)</t>
  </si>
  <si>
    <t>                   Débito (importaciones)</t>
  </si>
  <si>
    <t>                        1.A.a Bienes</t>
  </si>
  <si>
    <t>                             Crédito (exportaciones)</t>
  </si>
  <si>
    <t>                             Débito (importaciones)</t>
  </si>
  <si>
    <t>                        1.A.b Servicios</t>
  </si>
  <si>
    <t>              1.B Ingreso primario (Renta factorial)</t>
  </si>
  <si>
    <t>                   Crédito</t>
  </si>
  <si>
    <t>                   Débito</t>
  </si>
  <si>
    <t>              1.C Ingreso secundario (Transferencias corrientes)</t>
  </si>
  <si>
    <t>2024 (p)</t>
  </si>
  <si>
    <t xml:space="preserve"> 2025 (pr)</t>
  </si>
  <si>
    <t>S2</t>
  </si>
  <si>
    <t>Fecha (dd/mm/aaaa)</t>
  </si>
  <si>
    <t>Promedio mensual</t>
  </si>
  <si>
    <t>Promedio trimestral</t>
  </si>
  <si>
    <t>Producto interno bruto Valor (Miles de millones COP)</t>
  </si>
  <si>
    <t>Producto interno bruto Valor (Miles de millones USD)</t>
  </si>
  <si>
    <t>Bienes</t>
  </si>
  <si>
    <t xml:space="preserve"> Servicios</t>
  </si>
  <si>
    <t>Ingreso primario (Renta factorial)</t>
  </si>
  <si>
    <t>Ingreso secundario (Transferencias corrientes)</t>
  </si>
  <si>
    <t>PIB</t>
  </si>
  <si>
    <t>Cuenta corriente (% PIB)</t>
  </si>
  <si>
    <t>mes</t>
  </si>
  <si>
    <t>Piedras preciosas casi al nivel del petroleo</t>
  </si>
  <si>
    <t xml:space="preserve">subida de no tradicionales por sectores que no generan un valor añadido </t>
  </si>
  <si>
    <t>    3 Cuenta financiera</t>
  </si>
  <si>
    <t>              3.1 Inversión directa</t>
  </si>
  <si>
    <t>                   Adquisición neta de activos financieros</t>
  </si>
  <si>
    <t>                   Pasivos netos incurridos</t>
  </si>
  <si>
    <t>              3.2 Inversión de cartera</t>
  </si>
  <si>
    <t>              3.3 Derivados financieros (distintos de reservas) y opciones de compra de acciones por parte de empleados</t>
  </si>
  <si>
    <t>              3.4 Otra inversión</t>
  </si>
  <si>
    <t>              3.5 Activos de reserva</t>
  </si>
  <si>
    <t>    Errores y omisiones netos</t>
  </si>
  <si>
    <t>Cuenta Financiera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</si>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</sst>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##,###,###,###,###,###,###,###,###,##0.00"/>
    <numFmt numFmtId="166" formatCode="0.000%"/>
    <numFmt numFmtId="167" formatCode="mmmm\-yy"/>
    <numFmt numFmtId="168" formatCode="_(* #,##0_);_(* \(#,##0\);_(* &quot;-&quot;??_);_(@_)"/>
    <numFmt numFmtId="169" formatCode="_-* #,##0.00\ _€_-;\-* #,##0.00\ _€_-;_-* &quot;-&quot;??\ _€_-;_-@_-"/>
    <numFmt numFmtId="170" formatCode="#,##0.00000000000"/>
    <numFmt numFmtId="171" formatCode="#,##0.00000"/>
    <numFmt numFmtId="172" formatCode="_ * #,##0_ ;_ * \-#,##0_ ;_ * &quot;-&quot;??_ ;_ @_ "/>
    <numFmt numFmtId="173" formatCode="[$-540A]yyyy"/>
    <numFmt numFmtId="174" formatCode="#,##0.00_ ;\-#,##0.00\ "/>
    <numFmt numFmtId="175" formatCode="[$-540A]dd/mm/yyyy"/>
    <numFmt numFmtId="176" formatCode="dd/mm/yyyy"/>
    <numFmt numFmtId="177" formatCode="0.0%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Helvetic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7.5"/>
      <name val="Oracle Sans"/>
    </font>
    <font>
      <b/>
      <vertAlign val="superscript"/>
      <sz val="9"/>
      <name val="Arial"/>
      <family val="2"/>
    </font>
    <font>
      <sz val="8.25"/>
      <color rgb="FFFFFFFF"/>
      <name val="Oracle Sans"/>
    </font>
    <font>
      <b/>
      <sz val="11"/>
      <color theme="0"/>
      <name val="Calibri"/>
      <family val="2"/>
      <scheme val="minor"/>
    </font>
    <font>
      <sz val="8.25"/>
      <color rgb="FF000000"/>
      <name val="Oracle Sans"/>
    </font>
    <font>
      <b/>
      <sz val="8.25"/>
      <color theme="0"/>
      <name val="Oracle Sans"/>
    </font>
    <font>
      <sz val="8.25"/>
      <color theme="0"/>
      <name val="Oracle Sans"/>
    </font>
    <font>
      <b/>
      <sz val="9"/>
      <name val="Segoe UI"/>
      <family val="2"/>
    </font>
    <font>
      <b/>
      <sz val="10"/>
      <color rgb="FFFFFFFF"/>
      <name val="Helvetica"/>
      <family val="2"/>
    </font>
    <font>
      <b/>
      <sz val="9"/>
      <color theme="1"/>
      <name val="Segoe UI"/>
      <family val="2"/>
    </font>
    <font>
      <sz val="8"/>
      <name val="Calibri"/>
      <family val="2"/>
      <scheme val="minor"/>
    </font>
    <font>
      <sz val="7.5"/>
      <color rgb="FF000000"/>
      <name val="Oracle Sans"/>
    </font>
    <font>
      <sz val="12"/>
      <name val="Helvetica"/>
      <family val="2"/>
    </font>
    <font>
      <sz val="12"/>
      <color theme="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Helvetica"/>
      <family val="2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4D4F5B"/>
        <bgColor rgb="FF4D4F5B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4D4F5B"/>
      </patternFill>
    </fill>
    <fill>
      <patternFill patternType="solid">
        <fgColor rgb="FFF2F2F2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161513"/>
      </right>
      <top/>
      <bottom style="thin">
        <color rgb="FF16151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161513"/>
      </right>
      <top/>
      <bottom/>
      <diagonal/>
    </border>
    <border>
      <left/>
      <right/>
      <top style="thin">
        <color rgb="FF161513"/>
      </top>
      <bottom/>
      <diagonal/>
    </border>
    <border>
      <left style="thin">
        <color rgb="FF161513"/>
      </left>
      <right/>
      <top/>
      <bottom/>
      <diagonal/>
    </border>
    <border>
      <left/>
      <right/>
      <top/>
      <bottom style="thin">
        <color rgb="FF16151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161513"/>
      </left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161513"/>
      </right>
      <top style="thin">
        <color theme="4" tint="0.39997558519241921"/>
      </top>
      <bottom style="thin">
        <color rgb="FF161513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9" fontId="7" fillId="0" borderId="0" applyFont="0" applyFill="0" applyBorder="0" applyAlignment="0" applyProtection="0"/>
  </cellStyleXfs>
  <cellXfs count="160">
    <xf numFmtId="0" fontId="0" fillId="0" borderId="0" xfId="0"/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49" fontId="5" fillId="5" borderId="9" xfId="4" applyNumberFormat="1" applyFont="1" applyFill="1" applyBorder="1" applyAlignment="1">
      <alignment horizontal="center"/>
    </xf>
    <xf numFmtId="0" fontId="5" fillId="7" borderId="11" xfId="3" applyFont="1" applyFill="1" applyBorder="1" applyAlignment="1">
      <alignment horizontal="center" vertical="center" wrapText="1"/>
    </xf>
    <xf numFmtId="0" fontId="4" fillId="5" borderId="0" xfId="3" applyFill="1"/>
    <xf numFmtId="167" fontId="6" fillId="5" borderId="0" xfId="3" applyNumberFormat="1" applyFont="1" applyFill="1" applyAlignment="1">
      <alignment horizontal="left"/>
    </xf>
    <xf numFmtId="167" fontId="6" fillId="4" borderId="0" xfId="3" applyNumberFormat="1" applyFont="1" applyFill="1" applyAlignment="1">
      <alignment horizontal="left"/>
    </xf>
    <xf numFmtId="3" fontId="6" fillId="5" borderId="0" xfId="4" applyNumberFormat="1" applyFont="1" applyFill="1" applyBorder="1"/>
    <xf numFmtId="168" fontId="6" fillId="5" borderId="0" xfId="1" applyNumberFormat="1" applyFont="1" applyFill="1" applyBorder="1"/>
    <xf numFmtId="3" fontId="6" fillId="4" borderId="0" xfId="4" applyNumberFormat="1" applyFont="1" applyFill="1" applyBorder="1"/>
    <xf numFmtId="168" fontId="6" fillId="4" borderId="0" xfId="1" applyNumberFormat="1" applyFont="1" applyFill="1" applyBorder="1"/>
    <xf numFmtId="3" fontId="0" fillId="0" borderId="0" xfId="0" applyNumberFormat="1"/>
    <xf numFmtId="0" fontId="0" fillId="6" borderId="0" xfId="0" applyFill="1"/>
    <xf numFmtId="165" fontId="0" fillId="0" borderId="0" xfId="0" applyNumberFormat="1"/>
    <xf numFmtId="170" fontId="0" fillId="0" borderId="0" xfId="0" applyNumberFormat="1"/>
    <xf numFmtId="0" fontId="5" fillId="7" borderId="1" xfId="3" applyFont="1" applyFill="1" applyBorder="1" applyAlignment="1">
      <alignment horizontal="center" vertical="center" wrapText="1"/>
    </xf>
    <xf numFmtId="4" fontId="0" fillId="0" borderId="0" xfId="0" applyNumberFormat="1"/>
    <xf numFmtId="39" fontId="8" fillId="8" borderId="17" xfId="0" applyNumberFormat="1" applyFont="1" applyFill="1" applyBorder="1" applyAlignment="1">
      <alignment horizontal="right" vertical="center"/>
    </xf>
    <xf numFmtId="3" fontId="6" fillId="4" borderId="2" xfId="4" applyNumberFormat="1" applyFont="1" applyFill="1" applyBorder="1"/>
    <xf numFmtId="168" fontId="6" fillId="4" borderId="2" xfId="1" applyNumberFormat="1" applyFont="1" applyFill="1" applyBorder="1"/>
    <xf numFmtId="167" fontId="6" fillId="4" borderId="2" xfId="3" applyNumberFormat="1" applyFont="1" applyFill="1" applyBorder="1" applyAlignment="1">
      <alignment horizontal="left"/>
    </xf>
    <xf numFmtId="171" fontId="0" fillId="0" borderId="0" xfId="0" applyNumberFormat="1"/>
    <xf numFmtId="17" fontId="6" fillId="4" borderId="0" xfId="4" applyNumberFormat="1" applyFont="1" applyFill="1" applyAlignment="1">
      <alignment horizontal="right"/>
    </xf>
    <xf numFmtId="17" fontId="6" fillId="4" borderId="0" xfId="4" applyNumberFormat="1" applyFont="1" applyFill="1" applyBorder="1" applyAlignment="1">
      <alignment horizontal="right"/>
    </xf>
    <xf numFmtId="172" fontId="6" fillId="4" borderId="0" xfId="4" applyNumberFormat="1" applyFont="1" applyFill="1" applyBorder="1"/>
    <xf numFmtId="168" fontId="6" fillId="4" borderId="5" xfId="1" applyNumberFormat="1" applyFont="1" applyFill="1" applyBorder="1"/>
    <xf numFmtId="17" fontId="6" fillId="5" borderId="0" xfId="4" applyNumberFormat="1" applyFont="1" applyFill="1" applyAlignment="1">
      <alignment horizontal="right"/>
    </xf>
    <xf numFmtId="17" fontId="6" fillId="5" borderId="0" xfId="4" applyNumberFormat="1" applyFont="1" applyFill="1" applyBorder="1" applyAlignment="1">
      <alignment horizontal="right"/>
    </xf>
    <xf numFmtId="172" fontId="6" fillId="5" borderId="0" xfId="4" applyNumberFormat="1" applyFont="1" applyFill="1" applyBorder="1"/>
    <xf numFmtId="168" fontId="6" fillId="5" borderId="5" xfId="1" applyNumberFormat="1" applyFont="1" applyFill="1" applyBorder="1"/>
    <xf numFmtId="172" fontId="5" fillId="5" borderId="0" xfId="4" applyNumberFormat="1" applyFont="1" applyFill="1" applyBorder="1"/>
    <xf numFmtId="172" fontId="5" fillId="4" borderId="0" xfId="4" applyNumberFormat="1" applyFont="1" applyFill="1" applyBorder="1"/>
    <xf numFmtId="172" fontId="6" fillId="4" borderId="5" xfId="4" applyNumberFormat="1" applyFont="1" applyFill="1" applyBorder="1"/>
    <xf numFmtId="172" fontId="6" fillId="5" borderId="5" xfId="4" applyNumberFormat="1" applyFont="1" applyFill="1" applyBorder="1"/>
    <xf numFmtId="0" fontId="6" fillId="5" borderId="13" xfId="3" applyFont="1" applyFill="1" applyBorder="1"/>
    <xf numFmtId="172" fontId="5" fillId="5" borderId="0" xfId="4" applyNumberFormat="1" applyFont="1" applyFill="1" applyBorder="1" applyAlignment="1">
      <alignment horizontal="center" vertical="center" wrapText="1"/>
    </xf>
    <xf numFmtId="172" fontId="5" fillId="5" borderId="0" xfId="4" applyNumberFormat="1" applyFont="1" applyFill="1" applyBorder="1" applyAlignment="1">
      <alignment vertical="center" wrapText="1"/>
    </xf>
    <xf numFmtId="0" fontId="5" fillId="5" borderId="0" xfId="3" applyFont="1" applyFill="1" applyAlignment="1">
      <alignment horizontal="center" vertical="center" wrapText="1"/>
    </xf>
    <xf numFmtId="0" fontId="6" fillId="5" borderId="0" xfId="3" applyFont="1" applyFill="1"/>
    <xf numFmtId="172" fontId="5" fillId="5" borderId="16" xfId="4" applyNumberFormat="1" applyFont="1" applyFill="1" applyBorder="1" applyAlignment="1">
      <alignment horizontal="center" vertical="center" wrapText="1"/>
    </xf>
    <xf numFmtId="172" fontId="6" fillId="5" borderId="16" xfId="4" applyNumberFormat="1" applyFont="1" applyFill="1" applyBorder="1" applyAlignment="1">
      <alignment horizontal="center" vertical="center" wrapText="1"/>
    </xf>
    <xf numFmtId="0" fontId="6" fillId="5" borderId="16" xfId="3" applyFont="1" applyFill="1" applyBorder="1" applyAlignment="1">
      <alignment horizontal="center"/>
    </xf>
    <xf numFmtId="172" fontId="6" fillId="5" borderId="19" xfId="4" applyNumberFormat="1" applyFont="1" applyFill="1" applyBorder="1" applyAlignment="1">
      <alignment horizontal="center" vertical="center" wrapText="1"/>
    </xf>
    <xf numFmtId="172" fontId="0" fillId="0" borderId="0" xfId="0" applyNumberFormat="1"/>
    <xf numFmtId="172" fontId="0" fillId="0" borderId="17" xfId="0" applyNumberFormat="1" applyBorder="1"/>
    <xf numFmtId="0" fontId="0" fillId="0" borderId="17" xfId="0" applyBorder="1"/>
    <xf numFmtId="0" fontId="10" fillId="9" borderId="20" xfId="0" applyFont="1" applyFill="1" applyBorder="1" applyAlignment="1">
      <alignment horizontal="center" vertical="center"/>
    </xf>
    <xf numFmtId="173" fontId="10" fillId="9" borderId="20" xfId="0" applyNumberFormat="1" applyFont="1" applyFill="1" applyBorder="1" applyAlignment="1">
      <alignment horizontal="center" vertical="center"/>
    </xf>
    <xf numFmtId="173" fontId="10" fillId="9" borderId="20" xfId="0" applyNumberFormat="1" applyFont="1" applyFill="1" applyBorder="1" applyAlignment="1">
      <alignment vertical="center"/>
    </xf>
    <xf numFmtId="0" fontId="11" fillId="10" borderId="0" xfId="0" applyFont="1" applyFill="1"/>
    <xf numFmtId="0" fontId="11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 vertical="top"/>
    </xf>
    <xf numFmtId="0" fontId="12" fillId="9" borderId="20" xfId="0" applyFont="1" applyFill="1" applyBorder="1" applyAlignment="1">
      <alignment horizontal="left" vertical="center"/>
    </xf>
    <xf numFmtId="0" fontId="11" fillId="11" borderId="17" xfId="0" applyFont="1" applyFill="1" applyBorder="1"/>
    <xf numFmtId="0" fontId="10" fillId="9" borderId="20" xfId="0" applyFont="1" applyFill="1" applyBorder="1" applyAlignment="1">
      <alignment horizontal="left" vertical="center"/>
    </xf>
    <xf numFmtId="39" fontId="8" fillId="8" borderId="20" xfId="0" applyNumberFormat="1" applyFont="1" applyFill="1" applyBorder="1" applyAlignment="1">
      <alignment horizontal="right" vertical="center"/>
    </xf>
    <xf numFmtId="39" fontId="3" fillId="0" borderId="14" xfId="0" applyNumberFormat="1" applyFont="1" applyBorder="1"/>
    <xf numFmtId="39" fontId="0" fillId="0" borderId="15" xfId="0" applyNumberFormat="1" applyBorder="1"/>
    <xf numFmtId="0" fontId="0" fillId="0" borderId="7" xfId="0" applyBorder="1"/>
    <xf numFmtId="0" fontId="0" fillId="0" borderId="5" xfId="0" applyBorder="1"/>
    <xf numFmtId="0" fontId="0" fillId="0" borderId="15" xfId="0" applyBorder="1"/>
    <xf numFmtId="174" fontId="0" fillId="0" borderId="14" xfId="0" applyNumberFormat="1" applyBorder="1"/>
    <xf numFmtId="39" fontId="3" fillId="0" borderId="15" xfId="0" applyNumberFormat="1" applyFont="1" applyBorder="1"/>
    <xf numFmtId="174" fontId="0" fillId="0" borderId="15" xfId="0" applyNumberFormat="1" applyBorder="1"/>
    <xf numFmtId="39" fontId="3" fillId="0" borderId="21" xfId="0" applyNumberFormat="1" applyFont="1" applyBorder="1"/>
    <xf numFmtId="39" fontId="0" fillId="0" borderId="21" xfId="0" applyNumberFormat="1" applyBorder="1"/>
    <xf numFmtId="0" fontId="0" fillId="0" borderId="4" xfId="0" applyBorder="1"/>
    <xf numFmtId="0" fontId="0" fillId="0" borderId="21" xfId="0" applyBorder="1"/>
    <xf numFmtId="174" fontId="0" fillId="0" borderId="21" xfId="0" applyNumberFormat="1" applyBorder="1"/>
    <xf numFmtId="0" fontId="0" fillId="0" borderId="16" xfId="0" applyBorder="1"/>
    <xf numFmtId="39" fontId="0" fillId="0" borderId="14" xfId="0" applyNumberFormat="1" applyBorder="1"/>
    <xf numFmtId="0" fontId="0" fillId="0" borderId="14" xfId="0" applyBorder="1"/>
    <xf numFmtId="0" fontId="0" fillId="0" borderId="6" xfId="0" applyBorder="1"/>
    <xf numFmtId="0" fontId="10" fillId="12" borderId="24" xfId="0" applyFont="1" applyFill="1" applyBorder="1" applyAlignment="1">
      <alignment horizontal="center" vertical="center"/>
    </xf>
    <xf numFmtId="39" fontId="8" fillId="8" borderId="21" xfId="0" applyNumberFormat="1" applyFont="1" applyFill="1" applyBorder="1" applyAlignment="1">
      <alignment horizontal="right" vertical="center"/>
    </xf>
    <xf numFmtId="0" fontId="10" fillId="12" borderId="25" xfId="0" applyFont="1" applyFill="1" applyBorder="1" applyAlignment="1">
      <alignment horizontal="left" vertical="center"/>
    </xf>
    <xf numFmtId="0" fontId="14" fillId="12" borderId="0" xfId="0" applyFont="1" applyFill="1" applyAlignment="1">
      <alignment horizontal="center" vertical="center"/>
    </xf>
    <xf numFmtId="0" fontId="13" fillId="11" borderId="17" xfId="0" applyFont="1" applyFill="1" applyBorder="1" applyAlignment="1">
      <alignment vertical="top"/>
    </xf>
    <xf numFmtId="0" fontId="13" fillId="11" borderId="25" xfId="0" applyFont="1" applyFill="1" applyBorder="1" applyAlignment="1">
      <alignment vertical="top"/>
    </xf>
    <xf numFmtId="0" fontId="0" fillId="11" borderId="0" xfId="0" applyFill="1"/>
    <xf numFmtId="0" fontId="13" fillId="11" borderId="17" xfId="0" applyFont="1" applyFill="1" applyBorder="1" applyAlignment="1">
      <alignment horizontal="center" vertical="center"/>
    </xf>
    <xf numFmtId="3" fontId="15" fillId="13" borderId="2" xfId="0" applyNumberFormat="1" applyFont="1" applyFill="1" applyBorder="1" applyAlignment="1">
      <alignment horizontal="center" vertical="center"/>
    </xf>
    <xf numFmtId="39" fontId="0" fillId="0" borderId="0" xfId="0" applyNumberFormat="1"/>
    <xf numFmtId="0" fontId="16" fillId="3" borderId="0" xfId="0" applyFont="1" applyFill="1" applyAlignment="1">
      <alignment horizontal="center"/>
    </xf>
    <xf numFmtId="10" fontId="17" fillId="5" borderId="2" xfId="2" applyNumberFormat="1" applyFont="1" applyFill="1" applyBorder="1" applyAlignment="1">
      <alignment horizontal="center" vertical="center"/>
    </xf>
    <xf numFmtId="17" fontId="6" fillId="5" borderId="0" xfId="4" applyNumberFormat="1" applyFont="1" applyFill="1"/>
    <xf numFmtId="172" fontId="5" fillId="5" borderId="13" xfId="4" applyNumberFormat="1" applyFont="1" applyFill="1" applyBorder="1" applyAlignment="1">
      <alignment vertical="center" wrapText="1"/>
    </xf>
    <xf numFmtId="172" fontId="5" fillId="5" borderId="16" xfId="4" applyNumberFormat="1" applyFont="1" applyFill="1" applyBorder="1" applyAlignment="1">
      <alignment vertical="center" wrapText="1"/>
    </xf>
    <xf numFmtId="166" fontId="0" fillId="0" borderId="0" xfId="0" applyNumberFormat="1"/>
    <xf numFmtId="166" fontId="0" fillId="0" borderId="0" xfId="2" applyNumberFormat="1" applyFont="1" applyFill="1" applyBorder="1"/>
    <xf numFmtId="0" fontId="0" fillId="0" borderId="8" xfId="0" applyBorder="1"/>
    <xf numFmtId="166" fontId="0" fillId="0" borderId="17" xfId="0" applyNumberFormat="1" applyBorder="1"/>
    <xf numFmtId="166" fontId="0" fillId="0" borderId="0" xfId="2" applyNumberFormat="1" applyFont="1" applyFill="1"/>
    <xf numFmtId="166" fontId="0" fillId="0" borderId="8" xfId="0" applyNumberFormat="1" applyBorder="1"/>
    <xf numFmtId="166" fontId="0" fillId="0" borderId="14" xfId="0" applyNumberFormat="1" applyBorder="1"/>
    <xf numFmtId="166" fontId="0" fillId="0" borderId="6" xfId="0" applyNumberFormat="1" applyBorder="1"/>
    <xf numFmtId="37" fontId="19" fillId="8" borderId="20" xfId="0" applyNumberFormat="1" applyFont="1" applyFill="1" applyBorder="1" applyAlignment="1">
      <alignment horizontal="right" vertical="center"/>
    </xf>
    <xf numFmtId="0" fontId="10" fillId="9" borderId="20" xfId="0" applyFont="1" applyFill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7" fontId="0" fillId="0" borderId="0" xfId="0" applyNumberFormat="1"/>
    <xf numFmtId="0" fontId="10" fillId="12" borderId="23" xfId="0" applyFont="1" applyFill="1" applyBorder="1" applyAlignment="1">
      <alignment vertical="center"/>
    </xf>
    <xf numFmtId="174" fontId="0" fillId="0" borderId="0" xfId="0" applyNumberFormat="1"/>
    <xf numFmtId="175" fontId="20" fillId="0" borderId="20" xfId="0" applyNumberFormat="1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39" fontId="20" fillId="0" borderId="25" xfId="0" applyNumberFormat="1" applyFont="1" applyBorder="1" applyAlignment="1">
      <alignment horizontal="right" vertical="center"/>
    </xf>
    <xf numFmtId="175" fontId="20" fillId="0" borderId="22" xfId="0" applyNumberFormat="1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39" fontId="20" fillId="0" borderId="0" xfId="0" applyNumberFormat="1" applyFont="1" applyAlignment="1">
      <alignment horizontal="right" vertical="center"/>
    </xf>
    <xf numFmtId="0" fontId="21" fillId="0" borderId="20" xfId="0" applyFont="1" applyBorder="1" applyAlignment="1">
      <alignment horizontal="left" vertical="center"/>
    </xf>
    <xf numFmtId="0" fontId="21" fillId="0" borderId="25" xfId="0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 wrapText="1"/>
    </xf>
    <xf numFmtId="176" fontId="24" fillId="0" borderId="0" xfId="0" applyNumberFormat="1" applyFont="1" applyAlignment="1">
      <alignment horizontal="left" vertical="top" wrapText="1"/>
    </xf>
    <xf numFmtId="3" fontId="24" fillId="0" borderId="0" xfId="0" applyNumberFormat="1" applyFont="1" applyAlignment="1">
      <alignment horizontal="left" vertical="top" wrapText="1"/>
    </xf>
    <xf numFmtId="0" fontId="23" fillId="14" borderId="26" xfId="0" applyFont="1" applyFill="1" applyBorder="1" applyAlignment="1">
      <alignment horizontal="center"/>
    </xf>
    <xf numFmtId="0" fontId="20" fillId="15" borderId="29" xfId="0" applyFont="1" applyFill="1" applyBorder="1" applyAlignment="1">
      <alignment horizontal="left" vertical="center"/>
    </xf>
    <xf numFmtId="0" fontId="20" fillId="0" borderId="29" xfId="0" applyFont="1" applyBorder="1" applyAlignment="1">
      <alignment horizontal="left" vertical="center"/>
    </xf>
    <xf numFmtId="0" fontId="0" fillId="15" borderId="28" xfId="0" applyFill="1" applyBorder="1"/>
    <xf numFmtId="0" fontId="0" fillId="0" borderId="28" xfId="0" applyBorder="1"/>
    <xf numFmtId="0" fontId="0" fillId="2" borderId="0" xfId="0" applyFill="1" applyAlignment="1">
      <alignment horizontal="center" vertical="top"/>
    </xf>
    <xf numFmtId="0" fontId="25" fillId="0" borderId="0" xfId="0" applyFont="1"/>
    <xf numFmtId="0" fontId="16" fillId="0" borderId="0" xfId="0" applyFont="1" applyAlignment="1">
      <alignment horizontal="center"/>
    </xf>
    <xf numFmtId="17" fontId="0" fillId="0" borderId="0" xfId="0" applyNumberFormat="1"/>
    <xf numFmtId="166" fontId="0" fillId="0" borderId="17" xfId="2" applyNumberFormat="1" applyFont="1" applyFill="1" applyBorder="1"/>
    <xf numFmtId="166" fontId="0" fillId="0" borderId="17" xfId="2" applyNumberFormat="1" applyFont="1" applyBorder="1"/>
    <xf numFmtId="177" fontId="0" fillId="0" borderId="0" xfId="2" applyNumberFormat="1" applyFont="1"/>
    <xf numFmtId="37" fontId="17" fillId="5" borderId="2" xfId="1" applyNumberFormat="1" applyFont="1" applyFill="1" applyBorder="1" applyAlignment="1">
      <alignment horizontal="center" vertical="center"/>
    </xf>
    <xf numFmtId="37" fontId="17" fillId="5" borderId="4" xfId="1" applyNumberFormat="1" applyFont="1" applyFill="1" applyBorder="1" applyAlignment="1">
      <alignment horizontal="center" vertical="center"/>
    </xf>
    <xf numFmtId="37" fontId="17" fillId="0" borderId="2" xfId="1" applyNumberFormat="1" applyFont="1" applyFill="1" applyBorder="1" applyAlignment="1">
      <alignment horizontal="center" vertical="center"/>
    </xf>
    <xf numFmtId="37" fontId="17" fillId="0" borderId="4" xfId="1" applyNumberFormat="1" applyFont="1" applyFill="1" applyBorder="1" applyAlignment="1">
      <alignment horizontal="center" vertical="center"/>
    </xf>
    <xf numFmtId="0" fontId="0" fillId="2" borderId="0" xfId="2" applyNumberFormat="1" applyFont="1" applyFill="1" applyAlignment="1">
      <alignment horizontal="center" vertical="center"/>
    </xf>
    <xf numFmtId="39" fontId="0" fillId="2" borderId="0" xfId="2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5" borderId="0" xfId="3" applyFill="1" applyAlignment="1">
      <alignment horizontal="center"/>
    </xf>
    <xf numFmtId="0" fontId="5" fillId="5" borderId="13" xfId="3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horizontal="center" vertical="center" wrapText="1"/>
    </xf>
    <xf numFmtId="0" fontId="5" fillId="5" borderId="18" xfId="3" applyFont="1" applyFill="1" applyBorder="1" applyAlignment="1">
      <alignment horizontal="center" vertical="center" wrapText="1"/>
    </xf>
    <xf numFmtId="0" fontId="5" fillId="5" borderId="4" xfId="3" applyFont="1" applyFill="1" applyBorder="1" applyAlignment="1">
      <alignment horizontal="center" vertical="center" wrapText="1"/>
    </xf>
    <xf numFmtId="172" fontId="5" fillId="5" borderId="0" xfId="4" applyNumberFormat="1" applyFont="1" applyFill="1" applyBorder="1" applyAlignment="1">
      <alignment horizontal="center" vertical="center" wrapText="1"/>
    </xf>
    <xf numFmtId="172" fontId="5" fillId="5" borderId="12" xfId="4" applyNumberFormat="1" applyFont="1" applyFill="1" applyBorder="1" applyAlignment="1">
      <alignment horizontal="center" vertical="center" wrapText="1"/>
    </xf>
    <xf numFmtId="172" fontId="5" fillId="5" borderId="13" xfId="4" applyNumberFormat="1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/>
    </xf>
    <xf numFmtId="0" fontId="11" fillId="11" borderId="3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10" fillId="12" borderId="23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173" fontId="10" fillId="9" borderId="20" xfId="0" applyNumberFormat="1" applyFont="1" applyFill="1" applyBorder="1" applyAlignment="1">
      <alignment horizontal="center" vertical="center"/>
    </xf>
    <xf numFmtId="0" fontId="5" fillId="7" borderId="1" xfId="3" applyFont="1" applyFill="1" applyBorder="1" applyAlignment="1">
      <alignment horizontal="center" vertical="center" wrapText="1"/>
    </xf>
    <xf numFmtId="0" fontId="5" fillId="7" borderId="2" xfId="3" applyFont="1" applyFill="1" applyBorder="1" applyAlignment="1">
      <alignment horizontal="center" vertical="center" wrapText="1"/>
    </xf>
    <xf numFmtId="167" fontId="6" fillId="4" borderId="0" xfId="3" applyNumberFormat="1" applyFont="1" applyFill="1" applyBorder="1" applyAlignment="1">
      <alignment horizontal="left"/>
    </xf>
  </cellXfs>
  <cellStyles count="9">
    <cellStyle name="Millares" xfId="1" builtinId="3"/>
    <cellStyle name="Millares 2" xfId="4" xr:uid="{9F3822A0-6ED4-4AE8-9E86-9B95862A57ED}"/>
    <cellStyle name="Millares 3 2" xfId="6" xr:uid="{97821AA6-12B6-40BE-86EB-87B0AD188EF9}"/>
    <cellStyle name="Millares 4 2 2" xfId="7" xr:uid="{491B5240-6ADB-4040-83D0-C7C214D6976F}"/>
    <cellStyle name="Millares 7" xfId="8" xr:uid="{624E17EA-6DDA-477C-AC84-8DC46E4E2069}"/>
    <cellStyle name="Normal" xfId="0" builtinId="0"/>
    <cellStyle name="Normal 2" xfId="3" xr:uid="{27D1161B-DBF0-4C0C-9654-69A9BF2A4FA8}"/>
    <cellStyle name="Normal 3 2" xfId="5" xr:uid="{DA743514-77F7-43A6-8EAE-3737E822A6D9}"/>
    <cellStyle name="Porcentaje" xfId="2" builtinId="5"/>
  </cellStyles>
  <dxfs count="63"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FFFFFF"/>
        <name val="Oracle Sans"/>
        <scheme val="none"/>
      </font>
      <fill>
        <patternFill patternType="none">
          <fgColor rgb="FF4D4F5B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rgb="FFFFFFFF"/>
        <name val="Oracle Sans"/>
        <scheme val="none"/>
      </font>
      <fill>
        <patternFill patternType="none">
          <fgColor rgb="FF4D4F5B"/>
          <bgColor auto="1"/>
        </patternFill>
      </fill>
      <alignment horizontal="center" vertical="center" textRotation="0" wrapText="0" indent="0" justifyLastLine="0" shrinkToFit="0" readingOrder="0"/>
    </dxf>
    <dxf>
      <numFmt numFmtId="166" formatCode="0.00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%"/>
      <fill>
        <patternFill patternType="none">
          <fgColor indexed="64"/>
          <bgColor auto="1"/>
        </patternFill>
      </fill>
    </dxf>
    <dxf>
      <numFmt numFmtId="166" formatCode="0.00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(* #,##0_);_(* \(#,##0\);_(* &quot;-&quot;??_);_(@_)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161513"/>
        </right>
        <top style="thin">
          <color theme="4" tint="0.39997558519241921"/>
        </top>
        <bottom style="thin">
          <color rgb="FF16151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161513"/>
        </right>
        <top style="thin">
          <color theme="4" tint="0.39997558519241921"/>
        </top>
        <bottom style="thin">
          <color rgb="FF161513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3" formatCode="#,##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numFmt numFmtId="176" formatCode="dd/mm/yyyy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numFmt numFmtId="7" formatCode="#,##0.00;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rgb="FF16151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161513"/>
        </right>
        <top/>
        <bottom style="thin">
          <color rgb="FF16151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161513"/>
        </right>
        <top/>
        <bottom style="thin">
          <color rgb="FF16151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numFmt numFmtId="175" formatCode="[$-540A]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161513"/>
        </right>
        <top/>
        <bottom style="thin">
          <color rgb="FF161513"/>
        </bottom>
      </border>
    </dxf>
    <dxf>
      <border outline="0">
        <right style="thin">
          <color rgb="FF161513"/>
        </right>
        <bottom style="thin">
          <color rgb="FF16151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16151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161513"/>
        </right>
        <top/>
        <bottom style="thin">
          <color rgb="FF161513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161513"/>
        </left>
        <right style="thin">
          <color rgb="FF161513"/>
        </right>
        <top/>
        <bottom style="thin">
          <color rgb="FF16151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Helvetic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161513"/>
        </right>
        <top/>
        <bottom style="thin">
          <color rgb="FF161513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96B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'Cuenta Corriente'!$C$1</c:f>
              <c:strCache>
                <c:ptCount val="1"/>
                <c:pt idx="0">
                  <c:v>Bienes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'Cuenta Corriente'!$A$2:$B$21</c:f>
              <c:multiLvlStrCache>
                <c:ptCount val="20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Corriente'!$C$2:$C$21</c:f>
              <c:numCache>
                <c:formatCode>#,##0.00_);\(#,##0.00\)</c:formatCode>
                <c:ptCount val="20"/>
                <c:pt idx="0">
                  <c:v>-2587.520595</c:v>
                </c:pt>
                <c:pt idx="1">
                  <c:v>-3548.1394759999998</c:v>
                </c:pt>
                <c:pt idx="2">
                  <c:v>-3692.5201109999998</c:v>
                </c:pt>
                <c:pt idx="3">
                  <c:v>-4155.4611080000004</c:v>
                </c:pt>
                <c:pt idx="4">
                  <c:v>-3733.9745189999999</c:v>
                </c:pt>
                <c:pt idx="5">
                  <c:v>-1974.6221410000001</c:v>
                </c:pt>
                <c:pt idx="6">
                  <c:v>-3684.4672150000001</c:v>
                </c:pt>
                <c:pt idx="7">
                  <c:v>-2785.185105</c:v>
                </c:pt>
                <c:pt idx="8">
                  <c:v>-1917.4467360000001</c:v>
                </c:pt>
                <c:pt idx="9">
                  <c:v>-1699.2559249999999</c:v>
                </c:pt>
                <c:pt idx="10">
                  <c:v>-1352.9820709999999</c:v>
                </c:pt>
                <c:pt idx="11">
                  <c:v>-1837.8732230000001</c:v>
                </c:pt>
                <c:pt idx="12">
                  <c:v>-2105.2188679999999</c:v>
                </c:pt>
                <c:pt idx="13">
                  <c:v>-1967.1971699999999</c:v>
                </c:pt>
                <c:pt idx="14">
                  <c:v>-2318.0735410000002</c:v>
                </c:pt>
                <c:pt idx="15">
                  <c:v>-2765.2802750000001</c:v>
                </c:pt>
                <c:pt idx="16">
                  <c:v>-3064.9152220000001</c:v>
                </c:pt>
                <c:pt idx="17">
                  <c:v>-3631.821328</c:v>
                </c:pt>
                <c:pt idx="18">
                  <c:v>-4007.6605669999999</c:v>
                </c:pt>
                <c:pt idx="19">
                  <c:v>-4128.0566980000003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BF-44D7-BD9C-6CA2ACA0AE77}"/>
            </c:ext>
          </c:extLst>
        </c:ser>
        <c:ser>
          <c:idx val="1"/>
          <c:order val="1"/>
          <c:tx>
            <c:strRef>
              <c:f>'Cuenta Corriente'!$D$1</c:f>
              <c:strCache>
                <c:ptCount val="1"/>
                <c:pt idx="0">
                  <c:v> Servicios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'Cuenta Corriente'!$A$2:$B$21</c:f>
              <c:multiLvlStrCache>
                <c:ptCount val="20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Corriente'!$D$2:$D$21</c:f>
              <c:numCache>
                <c:formatCode>#,##0.00_);\(#,##0.00\)</c:formatCode>
                <c:ptCount val="20"/>
                <c:pt idx="0">
                  <c:v>-1100.5483449999999</c:v>
                </c:pt>
                <c:pt idx="1">
                  <c:v>-1473.5711200000001</c:v>
                </c:pt>
                <c:pt idx="2">
                  <c:v>-1566.1433119999999</c:v>
                </c:pt>
                <c:pt idx="3">
                  <c:v>-1876.7750920000001</c:v>
                </c:pt>
                <c:pt idx="4">
                  <c:v>-1223.5550430000001</c:v>
                </c:pt>
                <c:pt idx="5">
                  <c:v>-1071.565873</c:v>
                </c:pt>
                <c:pt idx="6">
                  <c:v>-731.68314559999999</c:v>
                </c:pt>
                <c:pt idx="7">
                  <c:v>-888.15881769999999</c:v>
                </c:pt>
                <c:pt idx="8">
                  <c:v>-259.5230947</c:v>
                </c:pt>
                <c:pt idx="9">
                  <c:v>-357.3271838</c:v>
                </c:pt>
                <c:pt idx="10">
                  <c:v>-51.011978579999997</c:v>
                </c:pt>
                <c:pt idx="11">
                  <c:v>-327.78344070000003</c:v>
                </c:pt>
                <c:pt idx="12">
                  <c:v>323.88717442000001</c:v>
                </c:pt>
                <c:pt idx="13">
                  <c:v>-392.33652549999999</c:v>
                </c:pt>
                <c:pt idx="14">
                  <c:v>-62.100234839999999</c:v>
                </c:pt>
                <c:pt idx="15">
                  <c:v>-396.17023349999999</c:v>
                </c:pt>
                <c:pt idx="16">
                  <c:v>515.60939867000002</c:v>
                </c:pt>
                <c:pt idx="17">
                  <c:v>-196.4203689</c:v>
                </c:pt>
                <c:pt idx="18">
                  <c:v>-29.361022899999998</c:v>
                </c:pt>
                <c:pt idx="19">
                  <c:v>-328.84666099999998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FBF-44D7-BD9C-6CA2ACA0AE77}"/>
            </c:ext>
          </c:extLst>
        </c:ser>
        <c:ser>
          <c:idx val="2"/>
          <c:order val="2"/>
          <c:tx>
            <c:strRef>
              <c:f>'Cuenta Corriente'!$E$1</c:f>
              <c:strCache>
                <c:ptCount val="1"/>
                <c:pt idx="0">
                  <c:v>Ingreso primario (Renta factorial)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'Cuenta Corriente'!$A$2:$B$21</c:f>
              <c:multiLvlStrCache>
                <c:ptCount val="20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Corriente'!$E$2:$E$21</c:f>
              <c:numCache>
                <c:formatCode>#,##0.00_);\(#,##0.00\)</c:formatCode>
                <c:ptCount val="20"/>
                <c:pt idx="0">
                  <c:v>-1867.196958</c:v>
                </c:pt>
                <c:pt idx="1">
                  <c:v>-1652.067106</c:v>
                </c:pt>
                <c:pt idx="2">
                  <c:v>-2339.0876250000001</c:v>
                </c:pt>
                <c:pt idx="3">
                  <c:v>-2864.9071920000001</c:v>
                </c:pt>
                <c:pt idx="4">
                  <c:v>-3616.8406690000002</c:v>
                </c:pt>
                <c:pt idx="5">
                  <c:v>-4530.5394310000001</c:v>
                </c:pt>
                <c:pt idx="6">
                  <c:v>-4794.7434119999998</c:v>
                </c:pt>
                <c:pt idx="7">
                  <c:v>-4144.2064620000001</c:v>
                </c:pt>
                <c:pt idx="8">
                  <c:v>-3727.0918120000001</c:v>
                </c:pt>
                <c:pt idx="9">
                  <c:v>-3056.0840710000002</c:v>
                </c:pt>
                <c:pt idx="10">
                  <c:v>-3507.7165030000001</c:v>
                </c:pt>
                <c:pt idx="11">
                  <c:v>-3147.8981239999998</c:v>
                </c:pt>
                <c:pt idx="12">
                  <c:v>-3151.9959229999999</c:v>
                </c:pt>
                <c:pt idx="13">
                  <c:v>-2964.9696439999998</c:v>
                </c:pt>
                <c:pt idx="14">
                  <c:v>-3342.6929150000001</c:v>
                </c:pt>
                <c:pt idx="15">
                  <c:v>-3377.3624690000001</c:v>
                </c:pt>
                <c:pt idx="16">
                  <c:v>-2992.860228</c:v>
                </c:pt>
                <c:pt idx="17">
                  <c:v>-2780.297329</c:v>
                </c:pt>
                <c:pt idx="18">
                  <c:v>-2993.1170579999998</c:v>
                </c:pt>
                <c:pt idx="19">
                  <c:v>-3679.6806489999999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FBF-44D7-BD9C-6CA2ACA0AE77}"/>
            </c:ext>
          </c:extLst>
        </c:ser>
        <c:ser>
          <c:idx val="3"/>
          <c:order val="4"/>
          <c:tx>
            <c:strRef>
              <c:f>'Cuenta Corriente'!$F$1</c:f>
              <c:strCache>
                <c:ptCount val="1"/>
                <c:pt idx="0">
                  <c:v>Ingreso secundario (Transferencias corrientes)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'Cuenta Corriente'!$A$2:$B$21</c:f>
              <c:multiLvlStrCache>
                <c:ptCount val="20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Corriente'!$F$2:$F$21</c:f>
              <c:numCache>
                <c:formatCode>#,##0.00_);\(#,##0.00\)</c:formatCode>
                <c:ptCount val="20"/>
                <c:pt idx="0">
                  <c:v>2450.1725879999999</c:v>
                </c:pt>
                <c:pt idx="1">
                  <c:v>2626.5442598999998</c:v>
                </c:pt>
                <c:pt idx="2">
                  <c:v>2762.9165349999998</c:v>
                </c:pt>
                <c:pt idx="3">
                  <c:v>2934.9017116999999</c:v>
                </c:pt>
                <c:pt idx="4">
                  <c:v>3176.4941878999998</c:v>
                </c:pt>
                <c:pt idx="5">
                  <c:v>2828.6900346000002</c:v>
                </c:pt>
                <c:pt idx="6">
                  <c:v>3103.6650636999998</c:v>
                </c:pt>
                <c:pt idx="7">
                  <c:v>3192.6166724999998</c:v>
                </c:pt>
                <c:pt idx="8">
                  <c:v>3094.4083856000002</c:v>
                </c:pt>
                <c:pt idx="9">
                  <c:v>3029.1708956000002</c:v>
                </c:pt>
                <c:pt idx="10">
                  <c:v>3364.7879063</c:v>
                </c:pt>
                <c:pt idx="11">
                  <c:v>3433.6791029999999</c:v>
                </c:pt>
                <c:pt idx="12">
                  <c:v>3331.0706616000002</c:v>
                </c:pt>
                <c:pt idx="13">
                  <c:v>3896.7697896999998</c:v>
                </c:pt>
                <c:pt idx="14">
                  <c:v>4073.2696314999998</c:v>
                </c:pt>
                <c:pt idx="15">
                  <c:v>4206.0449349</c:v>
                </c:pt>
                <c:pt idx="16">
                  <c:v>3846.2213740000002</c:v>
                </c:pt>
                <c:pt idx="17">
                  <c:v>4150.9926160000005</c:v>
                </c:pt>
                <c:pt idx="18">
                  <c:v>4212.9061881999996</c:v>
                </c:pt>
                <c:pt idx="19">
                  <c:v>4224.4137560999998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FBF-44D7-BD9C-6CA2ACA0A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2116080"/>
        <c:axId val="564119840"/>
      </c:barChart>
      <c:lineChart>
        <c:grouping val="standard"/>
        <c:varyColors val="0"/>
        <c:ser>
          <c:idx val="5"/>
          <c:order val="3"/>
          <c:tx>
            <c:strRef>
              <c:f>'Cuenta Corriente'!$I$1</c:f>
              <c:strCache>
                <c:ptCount val="1"/>
                <c:pt idx="0">
                  <c:v>Cuenta corriente (% PIB)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'Cuenta Corriente'!$I$2:$I$21</c:f>
              <c:numCache>
                <c:formatCode>0.0%</c:formatCode>
                <c:ptCount val="20"/>
                <c:pt idx="0">
                  <c:v>-4.0320974635455552E-2</c:v>
                </c:pt>
                <c:pt idx="1">
                  <c:v>-5.4852519013651409E-2</c:v>
                </c:pt>
                <c:pt idx="2">
                  <c:v>-6.0199958973326334E-2</c:v>
                </c:pt>
                <c:pt idx="3">
                  <c:v>-6.858941397458243E-2</c:v>
                </c:pt>
                <c:pt idx="4">
                  <c:v>-6.2658315577378568E-2</c:v>
                </c:pt>
                <c:pt idx="5">
                  <c:v>-5.2502817292979342E-2</c:v>
                </c:pt>
                <c:pt idx="6">
                  <c:v>-6.9506973307517497E-2</c:v>
                </c:pt>
                <c:pt idx="7">
                  <c:v>-5.6392743719742434E-2</c:v>
                </c:pt>
                <c:pt idx="8">
                  <c:v>-3.4598815214651898E-2</c:v>
                </c:pt>
                <c:pt idx="9">
                  <c:v>-2.4105215506980658E-2</c:v>
                </c:pt>
                <c:pt idx="10">
                  <c:v>-1.557578837433945E-2</c:v>
                </c:pt>
                <c:pt idx="11">
                  <c:v>-1.838914074711533E-2</c:v>
                </c:pt>
                <c:pt idx="12">
                  <c:v>-1.5602056400260458E-2</c:v>
                </c:pt>
                <c:pt idx="13">
                  <c:v>-1.3663616488026178E-2</c:v>
                </c:pt>
                <c:pt idx="14">
                  <c:v>-1.5471688962828776E-2</c:v>
                </c:pt>
                <c:pt idx="15">
                  <c:v>-2.1907729071475673E-2</c:v>
                </c:pt>
                <c:pt idx="16">
                  <c:v>-1.5984262690333047E-2</c:v>
                </c:pt>
                <c:pt idx="17">
                  <c:v>-2.3334919305745952E-2</c:v>
                </c:pt>
                <c:pt idx="18">
                  <c:v>-2.3637414959477455E-2</c:v>
                </c:pt>
                <c:pt idx="19">
                  <c:v>-3.0501167252304114E-2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FBF-44D7-BD9C-6CA2ACA0A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058367"/>
        <c:axId val="1692319135"/>
      </c:lineChart>
      <c:catAx>
        <c:axId val="7821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19840"/>
        <c:crosses val="autoZero"/>
        <c:auto val="1"/>
        <c:lblAlgn val="ctr"/>
        <c:lblOffset val="100"/>
        <c:noMultiLvlLbl val="0"/>
      </c:catAx>
      <c:valAx>
        <c:axId val="564119840"/>
        <c:scaling>
          <c:orientation val="minMax"/>
          <c:max val="500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16080"/>
        <c:crosses val="autoZero"/>
        <c:crossBetween val="between"/>
      </c:valAx>
      <c:valAx>
        <c:axId val="1692319135"/>
        <c:scaling>
          <c:orientation val="minMax"/>
          <c:max val="4.4000000000000011E-2"/>
          <c:min val="-8.0000000000000016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58367"/>
        <c:crosses val="max"/>
        <c:crossBetween val="between"/>
      </c:valAx>
      <c:catAx>
        <c:axId val="1152058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2319135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'Cuenta Financiera '!$C$1</c:f>
              <c:strCache>
                <c:ptCount val="1"/>
                <c:pt idx="0">
                  <c:v>Inversión Directa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4.0632445615711131E-3"/>
                  <c:y val="3.00935102515793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14-4BD5-A3D0-8DD65461BE97}"/>
                </c:ext>
              </c:extLst>
            </c:dLbl>
            <c:dLbl>
              <c:idx val="13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14-4BD5-A3D0-8DD65461BE97}"/>
                </c:ext>
              </c:extLst>
            </c:dLbl>
            <c:dLbl>
              <c:idx val="16"/>
              <c:layout>
                <c:manualLayout>
                  <c:x val="-2.0316222807855566E-3"/>
                  <c:y val="4.213115130898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14-4BD5-A3D0-8DD65461BE97}"/>
                </c:ext>
              </c:extLst>
            </c:dLbl>
            <c:dLbl>
              <c:idx val="17"/>
              <c:layout>
                <c:manualLayout>
                  <c:x val="2.0316222807854074E-3"/>
                  <c:y val="-9.02805307547381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14-4BD5-A3D0-8DD65461BE97}"/>
                </c:ext>
              </c:extLst>
            </c:dLbl>
            <c:numFmt formatCode="##,###,###,###,###,###,###,###,##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'Cuenta Financiera '!$A$2:$B$21</c:f>
              <c:multiLvlStrCache>
                <c:ptCount val="20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 '!$C$2:$C$21</c:f>
              <c:numCache>
                <c:formatCode>#,##0.00_);\(#,##0.00\)</c:formatCode>
                <c:ptCount val="20"/>
                <c:pt idx="0">
                  <c:v>-1438.1447740000001</c:v>
                </c:pt>
                <c:pt idx="1">
                  <c:v>-1012.617587</c:v>
                </c:pt>
                <c:pt idx="2">
                  <c:v>-2527.8875939999998</c:v>
                </c:pt>
                <c:pt idx="3">
                  <c:v>-1401.8715480000001</c:v>
                </c:pt>
                <c:pt idx="4">
                  <c:v>-3650.5735209999998</c:v>
                </c:pt>
                <c:pt idx="5">
                  <c:v>-3660.5871059999999</c:v>
                </c:pt>
                <c:pt idx="6">
                  <c:v>-2958.9113550000002</c:v>
                </c:pt>
                <c:pt idx="7">
                  <c:v>-3528.6486420000001</c:v>
                </c:pt>
                <c:pt idx="8">
                  <c:v>-3600.4136250000001</c:v>
                </c:pt>
                <c:pt idx="9">
                  <c:v>-5441.7419250000003</c:v>
                </c:pt>
                <c:pt idx="10">
                  <c:v>-3334.7105759999999</c:v>
                </c:pt>
                <c:pt idx="11">
                  <c:v>-3148.039894</c:v>
                </c:pt>
                <c:pt idx="12">
                  <c:v>-2407.8678650000002</c:v>
                </c:pt>
                <c:pt idx="13">
                  <c:v>-1646.3809650000001</c:v>
                </c:pt>
                <c:pt idx="14">
                  <c:v>-2455.6266839999998</c:v>
                </c:pt>
                <c:pt idx="15">
                  <c:v>-2662.207457</c:v>
                </c:pt>
                <c:pt idx="16">
                  <c:v>-2127.9737500000001</c:v>
                </c:pt>
                <c:pt idx="17">
                  <c:v>-1561.2484030000001</c:v>
                </c:pt>
                <c:pt idx="18">
                  <c:v>-1858.9645599999999</c:v>
                </c:pt>
                <c:pt idx="19">
                  <c:v>-1761.7595699999999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14-4BD5-A3D0-8DD65461BE97}"/>
            </c:ext>
          </c:extLst>
        </c:ser>
        <c:ser>
          <c:idx val="1"/>
          <c:order val="1"/>
          <c:tx>
            <c:strRef>
              <c:f>'Cuenta Financiera '!$D$1</c:f>
              <c:strCache>
                <c:ptCount val="1"/>
                <c:pt idx="0">
                  <c:v>Inversión de Cartera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14-4BD5-A3D0-8DD65461BE97}"/>
                </c:ext>
              </c:extLst>
            </c:dLbl>
            <c:dLbl>
              <c:idx val="13"/>
              <c:layout>
                <c:manualLayout>
                  <c:x val="-1.4872242415914758E-16"/>
                  <c:y val="-2.98968786978509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14-4BD5-A3D0-8DD65461BE97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14-4BD5-A3D0-8DD65461BE97}"/>
                </c:ext>
              </c:extLst>
            </c:dLbl>
            <c:dLbl>
              <c:idx val="17"/>
              <c:layout>
                <c:manualLayout>
                  <c:x val="-1.9065147586643629E-3"/>
                  <c:y val="-1.6628455762884986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14-4BD5-A3D0-8DD65461BE97}"/>
                </c:ext>
              </c:extLst>
            </c:dLbl>
            <c:numFmt formatCode="##,###,###,###,###,###,###,###,##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D6A3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'Cuenta Financiera '!$A$2:$B$21</c:f>
              <c:multiLvlStrCache>
                <c:ptCount val="20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 '!$D$2:$D$21</c:f>
              <c:numCache>
                <c:formatCode>#,##0.00_);\(#,##0.00\)</c:formatCode>
                <c:ptCount val="20"/>
                <c:pt idx="0">
                  <c:v>1318.8280556</c:v>
                </c:pt>
                <c:pt idx="1">
                  <c:v>-6089.3846750000002</c:v>
                </c:pt>
                <c:pt idx="2">
                  <c:v>850.56586331999995</c:v>
                </c:pt>
                <c:pt idx="3">
                  <c:v>-675.38217320000001</c:v>
                </c:pt>
                <c:pt idx="4">
                  <c:v>1865.9167996000001</c:v>
                </c:pt>
                <c:pt idx="5">
                  <c:v>-759.03031510000005</c:v>
                </c:pt>
                <c:pt idx="6">
                  <c:v>-233.03538560000001</c:v>
                </c:pt>
                <c:pt idx="7">
                  <c:v>-446.84972670000002</c:v>
                </c:pt>
                <c:pt idx="8">
                  <c:v>1111.2809603000001</c:v>
                </c:pt>
                <c:pt idx="9">
                  <c:v>1519.8078743000001</c:v>
                </c:pt>
                <c:pt idx="10">
                  <c:v>4527.3294861000004</c:v>
                </c:pt>
                <c:pt idx="11">
                  <c:v>1504.3073412000001</c:v>
                </c:pt>
                <c:pt idx="12">
                  <c:v>1415.8371325000001</c:v>
                </c:pt>
                <c:pt idx="13">
                  <c:v>-451.2502465</c:v>
                </c:pt>
                <c:pt idx="14">
                  <c:v>3489.4302171999998</c:v>
                </c:pt>
                <c:pt idx="15">
                  <c:v>-2182.4410849999999</c:v>
                </c:pt>
                <c:pt idx="16">
                  <c:v>2941.0469398999999</c:v>
                </c:pt>
                <c:pt idx="17">
                  <c:v>-3760.1064540000002</c:v>
                </c:pt>
                <c:pt idx="18">
                  <c:v>-4963.3955640000004</c:v>
                </c:pt>
                <c:pt idx="19">
                  <c:v>-1697.9149159999999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14-4BD5-A3D0-8DD65461BE97}"/>
            </c:ext>
          </c:extLst>
        </c:ser>
        <c:ser>
          <c:idx val="2"/>
          <c:order val="2"/>
          <c:tx>
            <c:strRef>
              <c:f>'Cuenta Financiera '!$E$1</c:f>
              <c:strCache>
                <c:ptCount val="1"/>
                <c:pt idx="0">
                  <c:v>Derivados Financieros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F14-4BD5-A3D0-8DD65461BE97}"/>
                </c:ext>
              </c:extLst>
            </c:dLbl>
            <c:dLbl>
              <c:idx val="13"/>
              <c:layout>
                <c:manualLayout>
                  <c:x val="2.230289344605051E-2"/>
                  <c:y val="-1.49510245892413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F14-4BD5-A3D0-8DD65461BE97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F14-4BD5-A3D0-8DD65461BE97}"/>
                </c:ext>
              </c:extLst>
            </c:dLbl>
            <c:dLbl>
              <c:idx val="17"/>
              <c:layout>
                <c:manualLayout>
                  <c:x val="-1.4923350425127771E-16"/>
                  <c:y val="-2.9912377930412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F14-4BD5-A3D0-8DD65461BE97}"/>
                </c:ext>
              </c:extLst>
            </c:dLbl>
            <c:numFmt formatCode="##,###,###,###,###,###,###,###,##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'Cuenta Financiera '!$A$2:$B$21</c:f>
              <c:multiLvlStrCache>
                <c:ptCount val="20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 '!$E$2:$E$21</c:f>
              <c:numCache>
                <c:formatCode>#,##0.00_);\(#,##0.00\)</c:formatCode>
                <c:ptCount val="20"/>
                <c:pt idx="0">
                  <c:v>-320.86280019999998</c:v>
                </c:pt>
                <c:pt idx="1">
                  <c:v>181.65367391999999</c:v>
                </c:pt>
                <c:pt idx="2">
                  <c:v>356.06058618999998</c:v>
                </c:pt>
                <c:pt idx="3">
                  <c:v>148.30763382000001</c:v>
                </c:pt>
                <c:pt idx="4">
                  <c:v>-377.13607869999998</c:v>
                </c:pt>
                <c:pt idx="5">
                  <c:v>36.169823274000002</c:v>
                </c:pt>
                <c:pt idx="6">
                  <c:v>487.33717306</c:v>
                </c:pt>
                <c:pt idx="7">
                  <c:v>676.96965304000003</c:v>
                </c:pt>
                <c:pt idx="8">
                  <c:v>-248.37005310000001</c:v>
                </c:pt>
                <c:pt idx="9">
                  <c:v>-756.28899639999997</c:v>
                </c:pt>
                <c:pt idx="10">
                  <c:v>-690.52362960000005</c:v>
                </c:pt>
                <c:pt idx="11">
                  <c:v>-879.40544580000005</c:v>
                </c:pt>
                <c:pt idx="12">
                  <c:v>-575.17204990000005</c:v>
                </c:pt>
                <c:pt idx="13">
                  <c:v>80.169823273999995</c:v>
                </c:pt>
                <c:pt idx="14">
                  <c:v>281.66982326999999</c:v>
                </c:pt>
                <c:pt idx="15">
                  <c:v>156.66982326999999</c:v>
                </c:pt>
                <c:pt idx="16">
                  <c:v>-422.282895</c:v>
                </c:pt>
                <c:pt idx="17">
                  <c:v>-448.318195</c:v>
                </c:pt>
                <c:pt idx="18">
                  <c:v>-398.30489499999999</c:v>
                </c:pt>
                <c:pt idx="19">
                  <c:v>-438.526095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F14-4BD5-A3D0-8DD65461BE97}"/>
            </c:ext>
          </c:extLst>
        </c:ser>
        <c:ser>
          <c:idx val="3"/>
          <c:order val="4"/>
          <c:tx>
            <c:strRef>
              <c:f>'Cuenta Financiera '!$F$1</c:f>
              <c:strCache>
                <c:ptCount val="1"/>
                <c:pt idx="0">
                  <c:v>Otra Inversión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2.0369940575911895E-3"/>
                  <c:y val="-3.6406486879286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F14-4BD5-A3D0-8DD65461BE97}"/>
                </c:ext>
              </c:extLst>
            </c:dLbl>
            <c:dLbl>
              <c:idx val="13"/>
              <c:layout>
                <c:manualLayout>
                  <c:x val="2.0316222807855562E-2"/>
                  <c:y val="-3.6112212301895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F14-4BD5-A3D0-8DD65461BE97}"/>
                </c:ext>
              </c:extLst>
            </c:dLbl>
            <c:dLbl>
              <c:idx val="16"/>
              <c:layout>
                <c:manualLayout>
                  <c:x val="-1.489839128493996E-16"/>
                  <c:y val="-8.1252003765716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F14-4BD5-A3D0-8DD65461BE97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F14-4BD5-A3D0-8DD65461BE97}"/>
                </c:ext>
              </c:extLst>
            </c:dLbl>
            <c:numFmt formatCode="##,###,###,###,###,###,###,###,##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'Cuenta Financiera '!$A$2:$B$21</c:f>
              <c:multiLvlStrCache>
                <c:ptCount val="20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 '!$F$2:$F$21</c:f>
              <c:numCache>
                <c:formatCode>#,##0.00_);\(#,##0.00\)</c:formatCode>
                <c:ptCount val="20"/>
                <c:pt idx="0">
                  <c:v>-2538.9623329999999</c:v>
                </c:pt>
                <c:pt idx="1">
                  <c:v>2985.7916681000002</c:v>
                </c:pt>
                <c:pt idx="2">
                  <c:v>-3336.998298</c:v>
                </c:pt>
                <c:pt idx="3">
                  <c:v>-3845.76811</c:v>
                </c:pt>
                <c:pt idx="4">
                  <c:v>-3001.8772269999999</c:v>
                </c:pt>
                <c:pt idx="5">
                  <c:v>-642.40141700000004</c:v>
                </c:pt>
                <c:pt idx="6">
                  <c:v>-3190.5331310000001</c:v>
                </c:pt>
                <c:pt idx="7">
                  <c:v>-1653.3628659999999</c:v>
                </c:pt>
                <c:pt idx="8">
                  <c:v>-218.92539249999999</c:v>
                </c:pt>
                <c:pt idx="9">
                  <c:v>1579.9864915999999</c:v>
                </c:pt>
                <c:pt idx="10">
                  <c:v>-2335.7994560000002</c:v>
                </c:pt>
                <c:pt idx="11">
                  <c:v>844.61254584000005</c:v>
                </c:pt>
                <c:pt idx="12">
                  <c:v>-869.83180259999995</c:v>
                </c:pt>
                <c:pt idx="13">
                  <c:v>23.453202714</c:v>
                </c:pt>
                <c:pt idx="14">
                  <c:v>-3385.3810990000002</c:v>
                </c:pt>
                <c:pt idx="15">
                  <c:v>2018.3096446</c:v>
                </c:pt>
                <c:pt idx="16">
                  <c:v>-2429.2437020000002</c:v>
                </c:pt>
                <c:pt idx="17">
                  <c:v>3394.6394282000001</c:v>
                </c:pt>
                <c:pt idx="18">
                  <c:v>4435.3333892000001</c:v>
                </c:pt>
                <c:pt idx="19">
                  <c:v>-115.6393827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F14-4BD5-A3D0-8DD65461BE97}"/>
            </c:ext>
          </c:extLst>
        </c:ser>
        <c:ser>
          <c:idx val="4"/>
          <c:order val="5"/>
          <c:tx>
            <c:strRef>
              <c:f>'Cuenta Financiera '!$G$1</c:f>
              <c:strCache>
                <c:ptCount val="1"/>
                <c:pt idx="0">
                  <c:v>Activos de Reserva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7.4491956424699801E-17"/>
                  <c:y val="-4.13207591431548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F14-4BD5-A3D0-8DD65461BE97}"/>
                </c:ext>
              </c:extLst>
            </c:dLbl>
            <c:dLbl>
              <c:idx val="13"/>
              <c:layout>
                <c:manualLayout>
                  <c:x val="0"/>
                  <c:y val="-4.89885806100728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F14-4BD5-A3D0-8DD65461BE97}"/>
                </c:ext>
              </c:extLst>
            </c:dLbl>
            <c:dLbl>
              <c:idx val="16"/>
              <c:layout>
                <c:manualLayout>
                  <c:x val="0"/>
                  <c:y val="-2.73803551934645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F14-4BD5-A3D0-8DD65461BE97}"/>
                </c:ext>
              </c:extLst>
            </c:dLbl>
            <c:dLbl>
              <c:idx val="17"/>
              <c:layout>
                <c:manualLayout>
                  <c:x val="0"/>
                  <c:y val="-3.18324933115275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F14-4BD5-A3D0-8DD65461BE97}"/>
                </c:ext>
              </c:extLst>
            </c:dLbl>
            <c:numFmt formatCode="##,###,###,###,###,###,###,###,##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'Cuenta Financiera '!$A$2:$B$21</c:f>
              <c:multiLvlStrCache>
                <c:ptCount val="20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 '!$G$2:$G$21</c:f>
              <c:numCache>
                <c:formatCode>#,##0.00_);\(#,##0.00\)</c:formatCode>
                <c:ptCount val="20"/>
                <c:pt idx="0">
                  <c:v>190.12768700000001</c:v>
                </c:pt>
                <c:pt idx="1">
                  <c:v>173.98878264999999</c:v>
                </c:pt>
                <c:pt idx="2">
                  <c:v>154.45625244999999</c:v>
                </c:pt>
                <c:pt idx="3">
                  <c:v>134.97245000000001</c:v>
                </c:pt>
                <c:pt idx="4">
                  <c:v>126.94617491</c:v>
                </c:pt>
                <c:pt idx="5">
                  <c:v>74.07856108</c:v>
                </c:pt>
                <c:pt idx="6">
                  <c:v>159.38365880999999</c:v>
                </c:pt>
                <c:pt idx="7">
                  <c:v>210.48249969</c:v>
                </c:pt>
                <c:pt idx="8">
                  <c:v>365.72011872000002</c:v>
                </c:pt>
                <c:pt idx="9">
                  <c:v>399.08935855999999</c:v>
                </c:pt>
                <c:pt idx="10">
                  <c:v>457.47194811000003</c:v>
                </c:pt>
                <c:pt idx="11">
                  <c:v>496.10652671999998</c:v>
                </c:pt>
                <c:pt idx="12">
                  <c:v>951.37462548999997</c:v>
                </c:pt>
                <c:pt idx="13">
                  <c:v>914.45394584999997</c:v>
                </c:pt>
                <c:pt idx="14">
                  <c:v>1045.5225390000001</c:v>
                </c:pt>
                <c:pt idx="15">
                  <c:v>681.96285583999997</c:v>
                </c:pt>
                <c:pt idx="16">
                  <c:v>563.57734721999998</c:v>
                </c:pt>
                <c:pt idx="17">
                  <c:v>524.58469700000001</c:v>
                </c:pt>
                <c:pt idx="18">
                  <c:v>534.16449928999998</c:v>
                </c:pt>
                <c:pt idx="19">
                  <c:v>542.91344924999999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F14-4BD5-A3D0-8DD65461B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2116080"/>
        <c:axId val="564119840"/>
      </c:barChart>
      <c:lineChart>
        <c:grouping val="standard"/>
        <c:varyColors val="0"/>
        <c:ser>
          <c:idx val="5"/>
          <c:order val="3"/>
          <c:tx>
            <c:strRef>
              <c:f>'Cuenta Financiera '!$J$1</c:f>
              <c:strCache>
                <c:ptCount val="1"/>
                <c:pt idx="0">
                  <c:v>Cuenta Financiera  (% PIB)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4.853332336414682E-2"/>
                  <c:y val="-1.66523145753046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F14-4BD5-A3D0-8DD65461BE97}"/>
                </c:ext>
              </c:extLst>
            </c:dLbl>
            <c:dLbl>
              <c:idx val="9"/>
              <c:layout>
                <c:manualLayout>
                  <c:x val="-3.8388397911774938E-2"/>
                  <c:y val="2.2654242525028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F14-4BD5-A3D0-8DD65461BE97}"/>
                </c:ext>
              </c:extLst>
            </c:dLbl>
            <c:dLbl>
              <c:idx val="10"/>
              <c:layout>
                <c:manualLayout>
                  <c:x val="-3.2301442640351924E-2"/>
                  <c:y val="3.777214910207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F14-4BD5-A3D0-8DD65461BE97}"/>
                </c:ext>
              </c:extLst>
            </c:dLbl>
            <c:dLbl>
              <c:idx val="12"/>
              <c:layout>
                <c:manualLayout>
                  <c:x val="-3.8438293552462727E-2"/>
                  <c:y val="2.55569728203471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F14-4BD5-A3D0-8DD65461BE97}"/>
                </c:ext>
              </c:extLst>
            </c:dLbl>
            <c:dLbl>
              <c:idx val="16"/>
              <c:layout>
                <c:manualLayout>
                  <c:x val="-3.6406671271677168E-2"/>
                  <c:y val="2.55569728203471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F14-4BD5-A3D0-8DD65461BE9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'Cuenta Financiera '!$J$2:$J$21</c:f>
              <c:numCache>
                <c:formatCode>0.00%</c:formatCode>
                <c:ptCount val="20"/>
                <c:pt idx="0">
                  <c:v>-3.6216550724065127E-2</c:v>
                </c:pt>
                <c:pt idx="1">
                  <c:v>-5.0967318354100677E-2</c:v>
                </c:pt>
                <c:pt idx="2">
                  <c:v>-5.6078189745035034E-2</c:v>
                </c:pt>
                <c:pt idx="3">
                  <c:v>-6.4879386349079901E-2</c:v>
                </c:pt>
                <c:pt idx="4">
                  <c:v>-5.8466076301249691E-2</c:v>
                </c:pt>
                <c:pt idx="5">
                  <c:v>-5.4755655237748238E-2</c:v>
                </c:pt>
                <c:pt idx="6">
                  <c:v>-6.5279240304873309E-2</c:v>
                </c:pt>
                <c:pt idx="7">
                  <c:v>-5.7812951238655999E-2</c:v>
                </c:pt>
                <c:pt idx="8">
                  <c:v>-3.1902665154537685E-2</c:v>
                </c:pt>
                <c:pt idx="9">
                  <c:v>-3.1228049378906268E-2</c:v>
                </c:pt>
                <c:pt idx="10">
                  <c:v>-1.3857125938937578E-2</c:v>
                </c:pt>
                <c:pt idx="11">
                  <c:v>-1.1566545722853738E-2</c:v>
                </c:pt>
                <c:pt idx="12">
                  <c:v>-1.446668738094299E-2</c:v>
                </c:pt>
                <c:pt idx="13">
                  <c:v>-1.0331490160551357E-2</c:v>
                </c:pt>
                <c:pt idx="14">
                  <c:v>-9.6077821904046682E-3</c:v>
                </c:pt>
                <c:pt idx="15">
                  <c:v>-1.8667149289432677E-2</c:v>
                </c:pt>
                <c:pt idx="16">
                  <c:v>-1.3900693037016526E-2</c:v>
                </c:pt>
                <c:pt idx="17">
                  <c:v>-1.7570401197503596E-2</c:v>
                </c:pt>
                <c:pt idx="18">
                  <c:v>-1.8887959140917298E-2</c:v>
                </c:pt>
                <c:pt idx="19">
                  <c:v>-2.7061018131777075E-2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F14-4BD5-A3D0-8DD65461B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058367"/>
        <c:axId val="1692319135"/>
      </c:lineChart>
      <c:catAx>
        <c:axId val="7821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19840"/>
        <c:crosses val="autoZero"/>
        <c:auto val="1"/>
        <c:lblAlgn val="ctr"/>
        <c:lblOffset val="100"/>
        <c:noMultiLvlLbl val="0"/>
      </c:catAx>
      <c:valAx>
        <c:axId val="564119840"/>
        <c:scaling>
          <c:orientation val="minMax"/>
          <c:max val="500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16080"/>
        <c:crosses val="autoZero"/>
        <c:crossBetween val="between"/>
      </c:valAx>
      <c:valAx>
        <c:axId val="1692319135"/>
        <c:scaling>
          <c:orientation val="minMax"/>
          <c:max val="4.0000000000000008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058367"/>
        <c:crosses val="max"/>
        <c:crossBetween val="between"/>
      </c:valAx>
      <c:catAx>
        <c:axId val="1152058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2319135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'Exportaciones tradicionales'!$AA$8</c:f>
              <c:strCache>
                <c:ptCount val="1"/>
                <c:pt idx="0">
                  <c:v> Café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tradicionales'!$Z$9:$Z$70</c:f>
              <c:numCache>
                <c:formatCode>mmm\-yy</c:formatCode>
                <c:ptCount val="6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</c:numCache>
            </c:numRef>
          </c:cat>
          <c:val>
            <c:numRef>
              <c:f>'Exportaciones tradicionales'!$AA$9:$AA$70</c:f>
              <c:numCache>
                <c:formatCode>0.000%</c:formatCode>
                <c:ptCount val="62"/>
                <c:pt idx="0">
                  <c:v>9.4981275123963121E-2</c:v>
                </c:pt>
                <c:pt idx="1">
                  <c:v>8.840524895298861E-2</c:v>
                </c:pt>
                <c:pt idx="2">
                  <c:v>7.8867676908979945E-2</c:v>
                </c:pt>
                <c:pt idx="3">
                  <c:v>7.8788673469569359E-2</c:v>
                </c:pt>
                <c:pt idx="4">
                  <c:v>3.7686331108573737E-2</c:v>
                </c:pt>
                <c:pt idx="5">
                  <c:v>3.3776626549644799E-2</c:v>
                </c:pt>
                <c:pt idx="6">
                  <c:v>8.6934269791156579E-2</c:v>
                </c:pt>
                <c:pt idx="7">
                  <c:v>9.0951294502212204E-2</c:v>
                </c:pt>
                <c:pt idx="8">
                  <c:v>6.7621503236221389E-2</c:v>
                </c:pt>
                <c:pt idx="9">
                  <c:v>8.3801003500881266E-2</c:v>
                </c:pt>
                <c:pt idx="10">
                  <c:v>7.3623224593355283E-2</c:v>
                </c:pt>
                <c:pt idx="11">
                  <c:v>7.9904054787029638E-2</c:v>
                </c:pt>
                <c:pt idx="12">
                  <c:v>8.4428282927376461E-2</c:v>
                </c:pt>
                <c:pt idx="13">
                  <c:v>8.7981288223573387E-2</c:v>
                </c:pt>
                <c:pt idx="14">
                  <c:v>8.3494052585948372E-2</c:v>
                </c:pt>
                <c:pt idx="15">
                  <c:v>5.7721626636011061E-2</c:v>
                </c:pt>
                <c:pt idx="16">
                  <c:v>5.6367790620845203E-2</c:v>
                </c:pt>
                <c:pt idx="17">
                  <c:v>6.4119453960935838E-2</c:v>
                </c:pt>
                <c:pt idx="18">
                  <c:v>6.4112857833887801E-2</c:v>
                </c:pt>
                <c:pt idx="19">
                  <c:v>7.0266175716864027E-2</c:v>
                </c:pt>
                <c:pt idx="20">
                  <c:v>6.7792416752663606E-2</c:v>
                </c:pt>
                <c:pt idx="21">
                  <c:v>7.4058450442735027E-2</c:v>
                </c:pt>
                <c:pt idx="22">
                  <c:v>6.1637437273809499E-2</c:v>
                </c:pt>
                <c:pt idx="23">
                  <c:v>7.2531761805498432E-2</c:v>
                </c:pt>
                <c:pt idx="24">
                  <c:v>6.4649607886323429E-2</c:v>
                </c:pt>
                <c:pt idx="25">
                  <c:v>5.9005494634767883E-2</c:v>
                </c:pt>
                <c:pt idx="26">
                  <c:v>6.2540722332260379E-2</c:v>
                </c:pt>
                <c:pt idx="27">
                  <c:v>5.4415579331686628E-2</c:v>
                </c:pt>
                <c:pt idx="28">
                  <c:v>5.3792675334004572E-2</c:v>
                </c:pt>
                <c:pt idx="29">
                  <c:v>5.2686416630076317E-2</c:v>
                </c:pt>
                <c:pt idx="30">
                  <c:v>5.1892547367790288E-2</c:v>
                </c:pt>
                <c:pt idx="31">
                  <c:v>5.4394503216181306E-2</c:v>
                </c:pt>
                <c:pt idx="32">
                  <c:v>5.3244790664862068E-2</c:v>
                </c:pt>
                <c:pt idx="33">
                  <c:v>4.2715741593138436E-2</c:v>
                </c:pt>
                <c:pt idx="34">
                  <c:v>5.7168712582811691E-2</c:v>
                </c:pt>
                <c:pt idx="35">
                  <c:v>6.6119129718266098E-2</c:v>
                </c:pt>
                <c:pt idx="36">
                  <c:v>6.1250420497918311E-2</c:v>
                </c:pt>
                <c:pt idx="37">
                  <c:v>6.4761988076921295E-2</c:v>
                </c:pt>
                <c:pt idx="38">
                  <c:v>5.7993452005784665E-2</c:v>
                </c:pt>
                <c:pt idx="39">
                  <c:v>5.6437720615515545E-2</c:v>
                </c:pt>
                <c:pt idx="40">
                  <c:v>5.6649346414508257E-2</c:v>
                </c:pt>
                <c:pt idx="41">
                  <c:v>7.0348029304823534E-2</c:v>
                </c:pt>
                <c:pt idx="42">
                  <c:v>5.9317614814255508E-2</c:v>
                </c:pt>
                <c:pt idx="43">
                  <c:v>7.9362916786141047E-2</c:v>
                </c:pt>
                <c:pt idx="44">
                  <c:v>6.4664512175077113E-2</c:v>
                </c:pt>
                <c:pt idx="45">
                  <c:v>7.4943681614782209E-2</c:v>
                </c:pt>
                <c:pt idx="46">
                  <c:v>7.5863364201428404E-2</c:v>
                </c:pt>
                <c:pt idx="47">
                  <c:v>9.9108178596593793E-2</c:v>
                </c:pt>
                <c:pt idx="48">
                  <c:v>0.12247147562984648</c:v>
                </c:pt>
                <c:pt idx="49">
                  <c:v>0.11157952044767858</c:v>
                </c:pt>
                <c:pt idx="50">
                  <c:v>0.12112037275481281</c:v>
                </c:pt>
                <c:pt idx="51">
                  <c:v>0.11283039615458429</c:v>
                </c:pt>
                <c:pt idx="52">
                  <c:v>9.3157857636082919E-2</c:v>
                </c:pt>
                <c:pt idx="53">
                  <c:v>0.10042085124118173</c:v>
                </c:pt>
                <c:pt idx="54">
                  <c:v>0.10539533818440124</c:v>
                </c:pt>
                <c:pt idx="55">
                  <c:v>0.13506021325766096</c:v>
                </c:pt>
                <c:pt idx="56">
                  <c:v>0.10645539329851733</c:v>
                </c:pt>
                <c:pt idx="57">
                  <c:v>0.12420862376208559</c:v>
                </c:pt>
                <c:pt idx="58">
                  <c:v>0.14383883761238014</c:v>
                </c:pt>
                <c:pt idx="59">
                  <c:v>0.11143051956473696</c:v>
                </c:pt>
                <c:pt idx="60">
                  <c:v>0.14498953704838483</c:v>
                </c:pt>
                <c:pt idx="61">
                  <c:v>9.5871800752585751E-2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B-CB4F-8922-61B10D966E68}"/>
            </c:ext>
          </c:extLst>
        </c:ser>
        <c:ser>
          <c:idx val="1"/>
          <c:order val="1"/>
          <c:tx>
            <c:strRef>
              <c:f>'Exportaciones tradicionales'!$AB$8</c:f>
              <c:strCache>
                <c:ptCount val="1"/>
                <c:pt idx="0">
                  <c:v> Carbón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tradicionales'!$Z$9:$Z$70</c:f>
              <c:numCache>
                <c:formatCode>mmm\-yy</c:formatCode>
                <c:ptCount val="6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</c:numCache>
            </c:numRef>
          </c:cat>
          <c:val>
            <c:numRef>
              <c:f>'Exportaciones tradicionales'!$AB$9:$AB$70</c:f>
              <c:numCache>
                <c:formatCode>0.000%</c:formatCode>
                <c:ptCount val="62"/>
                <c:pt idx="0">
                  <c:v>9.6179441200748853E-2</c:v>
                </c:pt>
                <c:pt idx="1">
                  <c:v>0.15137802749551629</c:v>
                </c:pt>
                <c:pt idx="2">
                  <c:v>7.8262102429085045E-2</c:v>
                </c:pt>
                <c:pt idx="3">
                  <c:v>0.11455438106406718</c:v>
                </c:pt>
                <c:pt idx="4">
                  <c:v>0.1083706306120959</c:v>
                </c:pt>
                <c:pt idx="5">
                  <c:v>0.1307977229397341</c:v>
                </c:pt>
                <c:pt idx="6">
                  <c:v>0.12125478797498826</c:v>
                </c:pt>
                <c:pt idx="7">
                  <c:v>0.1391690563811869</c:v>
                </c:pt>
                <c:pt idx="8">
                  <c:v>0.15271802541016402</c:v>
                </c:pt>
                <c:pt idx="9">
                  <c:v>0.15645457297269341</c:v>
                </c:pt>
                <c:pt idx="10">
                  <c:v>0.15273256480457542</c:v>
                </c:pt>
                <c:pt idx="11">
                  <c:v>0.19595334930286729</c:v>
                </c:pt>
                <c:pt idx="12">
                  <c:v>0.20407971604397118</c:v>
                </c:pt>
                <c:pt idx="13">
                  <c:v>0.13412779286170073</c:v>
                </c:pt>
                <c:pt idx="14">
                  <c:v>0.1296739461146211</c:v>
                </c:pt>
                <c:pt idx="15">
                  <c:v>0.24164084437485037</c:v>
                </c:pt>
                <c:pt idx="16">
                  <c:v>0.11567275674606907</c:v>
                </c:pt>
                <c:pt idx="17">
                  <c:v>0.27481329746416233</c:v>
                </c:pt>
                <c:pt idx="18">
                  <c:v>0.30601114852477984</c:v>
                </c:pt>
                <c:pt idx="19">
                  <c:v>0.16163627103191217</c:v>
                </c:pt>
                <c:pt idx="20">
                  <c:v>0.26075363830161702</c:v>
                </c:pt>
                <c:pt idx="21">
                  <c:v>0.23210718996810023</c:v>
                </c:pt>
                <c:pt idx="22">
                  <c:v>0.23774775570110221</c:v>
                </c:pt>
                <c:pt idx="23">
                  <c:v>0.24370573317739619</c:v>
                </c:pt>
                <c:pt idx="24">
                  <c:v>0.24368239306085454</c:v>
                </c:pt>
                <c:pt idx="25">
                  <c:v>0.23285939144801893</c:v>
                </c:pt>
                <c:pt idx="26">
                  <c:v>0.21462801440814541</c:v>
                </c:pt>
                <c:pt idx="27">
                  <c:v>0.14548117376794972</c:v>
                </c:pt>
                <c:pt idx="28">
                  <c:v>0.20341651112295236</c:v>
                </c:pt>
                <c:pt idx="29">
                  <c:v>0.19331936483736026</c:v>
                </c:pt>
                <c:pt idx="30">
                  <c:v>0.16296200208993489</c:v>
                </c:pt>
                <c:pt idx="31">
                  <c:v>0.1226269396997032</c:v>
                </c:pt>
                <c:pt idx="32">
                  <c:v>0.1578305147355209</c:v>
                </c:pt>
                <c:pt idx="33">
                  <c:v>0.14864521317252152</c:v>
                </c:pt>
                <c:pt idx="34">
                  <c:v>0.19571913859070622</c:v>
                </c:pt>
                <c:pt idx="35">
                  <c:v>0.18281319585659755</c:v>
                </c:pt>
                <c:pt idx="36">
                  <c:v>0.17866893716842058</c:v>
                </c:pt>
                <c:pt idx="37">
                  <c:v>0.16597391462412042</c:v>
                </c:pt>
                <c:pt idx="38">
                  <c:v>0.13366702306027742</c:v>
                </c:pt>
                <c:pt idx="39">
                  <c:v>0.1464581290896575</c:v>
                </c:pt>
                <c:pt idx="40">
                  <c:v>0.1434302664904912</c:v>
                </c:pt>
                <c:pt idx="41">
                  <c:v>0.11955924824070188</c:v>
                </c:pt>
                <c:pt idx="42">
                  <c:v>0.1918212414484031</c:v>
                </c:pt>
                <c:pt idx="43">
                  <c:v>9.1692089497469334E-2</c:v>
                </c:pt>
                <c:pt idx="44">
                  <c:v>0.13051096636812828</c:v>
                </c:pt>
                <c:pt idx="45">
                  <c:v>0.10692922815654504</c:v>
                </c:pt>
                <c:pt idx="46">
                  <c:v>0.18053484644848283</c:v>
                </c:pt>
                <c:pt idx="47">
                  <c:v>0.12895514973008429</c:v>
                </c:pt>
                <c:pt idx="48">
                  <c:v>8.6549340406992956E-2</c:v>
                </c:pt>
                <c:pt idx="49">
                  <c:v>0.12334912490152501</c:v>
                </c:pt>
                <c:pt idx="50">
                  <c:v>5.2669575857527198E-2</c:v>
                </c:pt>
                <c:pt idx="51">
                  <c:v>9.7992855465087403E-2</c:v>
                </c:pt>
                <c:pt idx="52">
                  <c:v>0.12688868211105317</c:v>
                </c:pt>
                <c:pt idx="53">
                  <c:v>9.8868653749891885E-2</c:v>
                </c:pt>
                <c:pt idx="54">
                  <c:v>0.10837521063053189</c:v>
                </c:pt>
                <c:pt idx="55">
                  <c:v>5.7976831005631682E-2</c:v>
                </c:pt>
                <c:pt idx="56">
                  <c:v>0.11587406382351047</c:v>
                </c:pt>
                <c:pt idx="57">
                  <c:v>9.9957335981926937E-2</c:v>
                </c:pt>
                <c:pt idx="58">
                  <c:v>9.7555871822664217E-2</c:v>
                </c:pt>
                <c:pt idx="59">
                  <c:v>0.10209130361701139</c:v>
                </c:pt>
                <c:pt idx="60">
                  <c:v>8.5426901388491544E-2</c:v>
                </c:pt>
                <c:pt idx="61">
                  <c:v>8.994277256490707E-2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B-CB4F-8922-61B10D966E68}"/>
            </c:ext>
          </c:extLst>
        </c:ser>
        <c:ser>
          <c:idx val="2"/>
          <c:order val="2"/>
          <c:tx>
            <c:strRef>
              <c:f>'Exportaciones tradicionales'!$AC$8</c:f>
              <c:strCache>
                <c:ptCount val="1"/>
                <c:pt idx="0">
                  <c:v> Petróleo y derivados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tradicionales'!$Z$9:$Z$70</c:f>
              <c:numCache>
                <c:formatCode>mmm\-yy</c:formatCode>
                <c:ptCount val="6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</c:numCache>
            </c:numRef>
          </c:cat>
          <c:val>
            <c:numRef>
              <c:f>'Exportaciones tradicionales'!$AC$9:$AC$70</c:f>
              <c:numCache>
                <c:formatCode>0.000%</c:formatCode>
                <c:ptCount val="62"/>
                <c:pt idx="0">
                  <c:v>0.35637590810962977</c:v>
                </c:pt>
                <c:pt idx="1">
                  <c:v>0.2746549351180293</c:v>
                </c:pt>
                <c:pt idx="2">
                  <c:v>0.33533437085300249</c:v>
                </c:pt>
                <c:pt idx="3">
                  <c:v>0.28971526591789121</c:v>
                </c:pt>
                <c:pt idx="4">
                  <c:v>0.39203833593501136</c:v>
                </c:pt>
                <c:pt idx="5">
                  <c:v>0.35901918180045234</c:v>
                </c:pt>
                <c:pt idx="6">
                  <c:v>0.28977495263206876</c:v>
                </c:pt>
                <c:pt idx="7">
                  <c:v>0.29689699112357248</c:v>
                </c:pt>
                <c:pt idx="8">
                  <c:v>0.33610865728690181</c:v>
                </c:pt>
                <c:pt idx="9">
                  <c:v>0.34013916709814301</c:v>
                </c:pt>
                <c:pt idx="10">
                  <c:v>0.34244318344364705</c:v>
                </c:pt>
                <c:pt idx="11">
                  <c:v>0.30947852942831611</c:v>
                </c:pt>
                <c:pt idx="12">
                  <c:v>0.3336734725071196</c:v>
                </c:pt>
                <c:pt idx="13">
                  <c:v>0.33914732575231221</c:v>
                </c:pt>
                <c:pt idx="14">
                  <c:v>0.38330552927906009</c:v>
                </c:pt>
                <c:pt idx="15">
                  <c:v>0.35749632105159734</c:v>
                </c:pt>
                <c:pt idx="16">
                  <c:v>0.39867339371186372</c:v>
                </c:pt>
                <c:pt idx="17">
                  <c:v>0.31107906251790279</c:v>
                </c:pt>
                <c:pt idx="18">
                  <c:v>0.31109641160100249</c:v>
                </c:pt>
                <c:pt idx="19">
                  <c:v>0.34531308134294847</c:v>
                </c:pt>
                <c:pt idx="20">
                  <c:v>0.281313378555547</c:v>
                </c:pt>
                <c:pt idx="21">
                  <c:v>0.28504808265018194</c:v>
                </c:pt>
                <c:pt idx="22">
                  <c:v>0.31868742838067993</c:v>
                </c:pt>
                <c:pt idx="23">
                  <c:v>0.28440189701482838</c:v>
                </c:pt>
                <c:pt idx="24">
                  <c:v>0.28466341015761643</c:v>
                </c:pt>
                <c:pt idx="25">
                  <c:v>0.30686178573255357</c:v>
                </c:pt>
                <c:pt idx="26">
                  <c:v>0.26947940755863919</c:v>
                </c:pt>
                <c:pt idx="27">
                  <c:v>0.34475640481933978</c:v>
                </c:pt>
                <c:pt idx="28">
                  <c:v>0.26498505831749392</c:v>
                </c:pt>
                <c:pt idx="29">
                  <c:v>0.295497832693707</c:v>
                </c:pt>
                <c:pt idx="30">
                  <c:v>0.34319459189449608</c:v>
                </c:pt>
                <c:pt idx="31">
                  <c:v>0.36437351205786173</c:v>
                </c:pt>
                <c:pt idx="32">
                  <c:v>0.36351231639311543</c:v>
                </c:pt>
                <c:pt idx="33">
                  <c:v>0.37153298183312394</c:v>
                </c:pt>
                <c:pt idx="34">
                  <c:v>0.28936088830507423</c:v>
                </c:pt>
                <c:pt idx="35">
                  <c:v>0.32863069688499802</c:v>
                </c:pt>
                <c:pt idx="36">
                  <c:v>0.29293363924572519</c:v>
                </c:pt>
                <c:pt idx="37">
                  <c:v>0.29353447452432829</c:v>
                </c:pt>
                <c:pt idx="38">
                  <c:v>0.35185108665180342</c:v>
                </c:pt>
                <c:pt idx="39">
                  <c:v>0.31070972145306569</c:v>
                </c:pt>
                <c:pt idx="40">
                  <c:v>0.31802524532516535</c:v>
                </c:pt>
                <c:pt idx="41">
                  <c:v>0.34052860427289294</c:v>
                </c:pt>
                <c:pt idx="42">
                  <c:v>0.28983665485745957</c:v>
                </c:pt>
                <c:pt idx="43">
                  <c:v>0.33615140898092954</c:v>
                </c:pt>
                <c:pt idx="44">
                  <c:v>0.28561606229400222</c:v>
                </c:pt>
                <c:pt idx="45">
                  <c:v>0.28534551354970722</c:v>
                </c:pt>
                <c:pt idx="46">
                  <c:v>0.2670494709953295</c:v>
                </c:pt>
                <c:pt idx="47">
                  <c:v>0.27732393772206421</c:v>
                </c:pt>
                <c:pt idx="48">
                  <c:v>0.28754546757048138</c:v>
                </c:pt>
                <c:pt idx="49">
                  <c:v>0.22873999792761965</c:v>
                </c:pt>
                <c:pt idx="50">
                  <c:v>0.33178361055758893</c:v>
                </c:pt>
                <c:pt idx="51">
                  <c:v>0.22815201429048068</c:v>
                </c:pt>
                <c:pt idx="52">
                  <c:v>0.24401148254026869</c:v>
                </c:pt>
                <c:pt idx="53">
                  <c:v>0.27193223375004938</c:v>
                </c:pt>
                <c:pt idx="54">
                  <c:v>0.24999031323783702</c:v>
                </c:pt>
                <c:pt idx="55">
                  <c:v>0.25550510128601733</c:v>
                </c:pt>
                <c:pt idx="56">
                  <c:v>0.22634566117862992</c:v>
                </c:pt>
                <c:pt idx="57">
                  <c:v>0.22238327184727313</c:v>
                </c:pt>
                <c:pt idx="58">
                  <c:v>0.22957467000530579</c:v>
                </c:pt>
                <c:pt idx="59">
                  <c:v>0.2124355892570641</c:v>
                </c:pt>
                <c:pt idx="60">
                  <c:v>0.23025882006973972</c:v>
                </c:pt>
                <c:pt idx="61">
                  <c:v>0.20649299515615277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3B-CB4F-8922-61B10D966E68}"/>
            </c:ext>
          </c:extLst>
        </c:ser>
        <c:ser>
          <c:idx val="4"/>
          <c:order val="3"/>
          <c:tx>
            <c:strRef>
              <c:f>'Exportaciones tradicionales'!$AE$8</c:f>
              <c:strCache>
                <c:ptCount val="1"/>
                <c:pt idx="0">
                  <c:v>Piedras y metales preciosos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tradicionales'!$Z$9:$Z$70</c:f>
              <c:numCache>
                <c:formatCode>mmm\-yy</c:formatCode>
                <c:ptCount val="6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</c:numCache>
            </c:numRef>
          </c:cat>
          <c:val>
            <c:numRef>
              <c:f>'Exportaciones tradicionales'!$AE$9:$AE$70</c:f>
              <c:numCache>
                <c:formatCode>0.000%</c:formatCode>
                <c:ptCount val="62"/>
                <c:pt idx="0">
                  <c:v>7.3191981711352147E-2</c:v>
                </c:pt>
                <c:pt idx="1">
                  <c:v>8.8855166104056513E-2</c:v>
                </c:pt>
                <c:pt idx="2">
                  <c:v>8.2616382436857941E-2</c:v>
                </c:pt>
                <c:pt idx="3">
                  <c:v>9.1387832336516539E-2</c:v>
                </c:pt>
                <c:pt idx="4">
                  <c:v>9.7579973347916529E-2</c:v>
                </c:pt>
                <c:pt idx="5">
                  <c:v>8.99654787990605E-2</c:v>
                </c:pt>
                <c:pt idx="6">
                  <c:v>9.0958615203153056E-2</c:v>
                </c:pt>
                <c:pt idx="7">
                  <c:v>6.5162086130304761E-2</c:v>
                </c:pt>
                <c:pt idx="8">
                  <c:v>7.5854770398826571E-2</c:v>
                </c:pt>
                <c:pt idx="9">
                  <c:v>6.3778405950260436E-2</c:v>
                </c:pt>
                <c:pt idx="10">
                  <c:v>7.3882249962858651E-2</c:v>
                </c:pt>
                <c:pt idx="11">
                  <c:v>8.2998370493873153E-2</c:v>
                </c:pt>
                <c:pt idx="12">
                  <c:v>5.0070529649287474E-2</c:v>
                </c:pt>
                <c:pt idx="13">
                  <c:v>6.3879502157036264E-2</c:v>
                </c:pt>
                <c:pt idx="14">
                  <c:v>5.2693123130722427E-2</c:v>
                </c:pt>
                <c:pt idx="15">
                  <c:v>4.6729148271775982E-2</c:v>
                </c:pt>
                <c:pt idx="16">
                  <c:v>5.9152444039087204E-2</c:v>
                </c:pt>
                <c:pt idx="17">
                  <c:v>3.6470193538261864E-2</c:v>
                </c:pt>
                <c:pt idx="18">
                  <c:v>5.291992415447043E-2</c:v>
                </c:pt>
                <c:pt idx="19">
                  <c:v>6.0930025506416574E-2</c:v>
                </c:pt>
                <c:pt idx="20">
                  <c:v>5.2702988945751775E-2</c:v>
                </c:pt>
                <c:pt idx="21">
                  <c:v>6.8839802118941251E-2</c:v>
                </c:pt>
                <c:pt idx="22">
                  <c:v>5.6737092015494178E-2</c:v>
                </c:pt>
                <c:pt idx="23">
                  <c:v>6.9728316491907291E-2</c:v>
                </c:pt>
                <c:pt idx="24">
                  <c:v>6.9150846939003724E-2</c:v>
                </c:pt>
                <c:pt idx="25">
                  <c:v>6.368280488426234E-2</c:v>
                </c:pt>
                <c:pt idx="26">
                  <c:v>7.1021459155876376E-2</c:v>
                </c:pt>
                <c:pt idx="27">
                  <c:v>6.9775075007213333E-2</c:v>
                </c:pt>
                <c:pt idx="28">
                  <c:v>7.7775257361593755E-2</c:v>
                </c:pt>
                <c:pt idx="29">
                  <c:v>6.7224173331460316E-2</c:v>
                </c:pt>
                <c:pt idx="30">
                  <c:v>7.9791909071325814E-2</c:v>
                </c:pt>
                <c:pt idx="31">
                  <c:v>7.3041486267533054E-2</c:v>
                </c:pt>
                <c:pt idx="32">
                  <c:v>7.8605911713564722E-2</c:v>
                </c:pt>
                <c:pt idx="33">
                  <c:v>6.618250263013313E-2</c:v>
                </c:pt>
                <c:pt idx="34">
                  <c:v>8.1767381162402578E-2</c:v>
                </c:pt>
                <c:pt idx="35">
                  <c:v>7.420676426923567E-2</c:v>
                </c:pt>
                <c:pt idx="36">
                  <c:v>7.7063967088767837E-2</c:v>
                </c:pt>
                <c:pt idx="37">
                  <c:v>6.5180583187011698E-2</c:v>
                </c:pt>
                <c:pt idx="38">
                  <c:v>6.2745604138007005E-2</c:v>
                </c:pt>
                <c:pt idx="39">
                  <c:v>8.8587952531110334E-2</c:v>
                </c:pt>
                <c:pt idx="40">
                  <c:v>7.8634167248722034E-2</c:v>
                </c:pt>
                <c:pt idx="41">
                  <c:v>7.3121614349663466E-2</c:v>
                </c:pt>
                <c:pt idx="42">
                  <c:v>9.0155342137135927E-2</c:v>
                </c:pt>
                <c:pt idx="43">
                  <c:v>8.6199224599470867E-2</c:v>
                </c:pt>
                <c:pt idx="44">
                  <c:v>0.10806996727120016</c:v>
                </c:pt>
                <c:pt idx="45">
                  <c:v>0.11959901063518637</c:v>
                </c:pt>
                <c:pt idx="46">
                  <c:v>0.10206780405842833</c:v>
                </c:pt>
                <c:pt idx="47">
                  <c:v>8.8943084606978001E-2</c:v>
                </c:pt>
                <c:pt idx="48">
                  <c:v>9.0433873999364631E-2</c:v>
                </c:pt>
                <c:pt idx="49">
                  <c:v>9.0774269962104109E-2</c:v>
                </c:pt>
                <c:pt idx="50">
                  <c:v>8.1636261286934547E-2</c:v>
                </c:pt>
                <c:pt idx="51">
                  <c:v>8.9296208565205676E-2</c:v>
                </c:pt>
                <c:pt idx="52">
                  <c:v>8.4546010561729029E-2</c:v>
                </c:pt>
                <c:pt idx="53">
                  <c:v>8.1518417535118778E-2</c:v>
                </c:pt>
                <c:pt idx="54">
                  <c:v>9.3604298649239581E-2</c:v>
                </c:pt>
                <c:pt idx="55">
                  <c:v>8.3797952795379563E-2</c:v>
                </c:pt>
                <c:pt idx="56">
                  <c:v>9.6883233575735375E-2</c:v>
                </c:pt>
                <c:pt idx="57">
                  <c:v>0.10992154399205856</c:v>
                </c:pt>
                <c:pt idx="58">
                  <c:v>8.7030906175076986E-2</c:v>
                </c:pt>
                <c:pt idx="59">
                  <c:v>0.1629130520208534</c:v>
                </c:pt>
                <c:pt idx="60">
                  <c:v>0.16588518740554001</c:v>
                </c:pt>
                <c:pt idx="61">
                  <c:v>0.19168266509499293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3B-CB4F-8922-61B10D966E68}"/>
            </c:ext>
          </c:extLst>
        </c:ser>
        <c:ser>
          <c:idx val="6"/>
          <c:order val="4"/>
          <c:tx>
            <c:strRef>
              <c:f>'Exportaciones tradicionales'!$AG$8</c:f>
              <c:strCache>
                <c:ptCount val="1"/>
                <c:pt idx="0">
                  <c:v>Floricultutra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tradicionales'!$Z$9:$Z$70</c:f>
              <c:numCache>
                <c:formatCode>mmm\-yy</c:formatCode>
                <c:ptCount val="6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</c:numCache>
            </c:numRef>
          </c:cat>
          <c:val>
            <c:numRef>
              <c:f>'Exportaciones tradicionales'!$AG$9:$AG$70</c:f>
              <c:numCache>
                <c:formatCode>0.000%</c:formatCode>
                <c:ptCount val="62"/>
                <c:pt idx="0">
                  <c:v>4.9887235786758029E-2</c:v>
                </c:pt>
                <c:pt idx="1">
                  <c:v>5.2539949131416235E-2</c:v>
                </c:pt>
                <c:pt idx="2">
                  <c:v>6.0486642991372429E-2</c:v>
                </c:pt>
                <c:pt idx="3">
                  <c:v>4.9492186928152236E-2</c:v>
                </c:pt>
                <c:pt idx="4">
                  <c:v>7.0209053347794842E-2</c:v>
                </c:pt>
                <c:pt idx="5">
                  <c:v>3.9562734710671565E-2</c:v>
                </c:pt>
                <c:pt idx="6">
                  <c:v>3.1000286771235827E-2</c:v>
                </c:pt>
                <c:pt idx="7">
                  <c:v>3.3068276329678015E-2</c:v>
                </c:pt>
                <c:pt idx="8">
                  <c:v>2.571212974608136E-2</c:v>
                </c:pt>
                <c:pt idx="9">
                  <c:v>3.9319552425244139E-2</c:v>
                </c:pt>
                <c:pt idx="10">
                  <c:v>3.4512729925951141E-2</c:v>
                </c:pt>
                <c:pt idx="11">
                  <c:v>3.6189440015354714E-2</c:v>
                </c:pt>
                <c:pt idx="12">
                  <c:v>3.7256620356050464E-2</c:v>
                </c:pt>
                <c:pt idx="13">
                  <c:v>6.1709289132380794E-2</c:v>
                </c:pt>
                <c:pt idx="14">
                  <c:v>4.6787358462058115E-2</c:v>
                </c:pt>
                <c:pt idx="15">
                  <c:v>3.4564375824508914E-2</c:v>
                </c:pt>
                <c:pt idx="16">
                  <c:v>5.4335740239311189E-2</c:v>
                </c:pt>
                <c:pt idx="17">
                  <c:v>3.1816540576051766E-2</c:v>
                </c:pt>
                <c:pt idx="18">
                  <c:v>2.4818305228683623E-2</c:v>
                </c:pt>
                <c:pt idx="19">
                  <c:v>3.2408282948463291E-2</c:v>
                </c:pt>
                <c:pt idx="20">
                  <c:v>2.6249204738130444E-2</c:v>
                </c:pt>
                <c:pt idx="21">
                  <c:v>3.418694054640295E-2</c:v>
                </c:pt>
                <c:pt idx="22">
                  <c:v>3.2845309643185792E-2</c:v>
                </c:pt>
                <c:pt idx="23">
                  <c:v>2.8541639563187112E-2</c:v>
                </c:pt>
                <c:pt idx="24">
                  <c:v>4.261902383347406E-2</c:v>
                </c:pt>
                <c:pt idx="25">
                  <c:v>5.3185324391244362E-2</c:v>
                </c:pt>
                <c:pt idx="26">
                  <c:v>4.8283263575140102E-2</c:v>
                </c:pt>
                <c:pt idx="27">
                  <c:v>3.9247508496264107E-2</c:v>
                </c:pt>
                <c:pt idx="28">
                  <c:v>5.0040071264502488E-2</c:v>
                </c:pt>
                <c:pt idx="29">
                  <c:v>4.3603769560182047E-2</c:v>
                </c:pt>
                <c:pt idx="30">
                  <c:v>5.1993009982711239E-2</c:v>
                </c:pt>
                <c:pt idx="31">
                  <c:v>3.3528022057433021E-2</c:v>
                </c:pt>
                <c:pt idx="32">
                  <c:v>3.33411603139337E-2</c:v>
                </c:pt>
                <c:pt idx="33">
                  <c:v>3.4672638852490216E-2</c:v>
                </c:pt>
                <c:pt idx="34">
                  <c:v>4.0533097874451703E-2</c:v>
                </c:pt>
                <c:pt idx="35">
                  <c:v>3.7319265698880111E-2</c:v>
                </c:pt>
                <c:pt idx="36">
                  <c:v>4.6463788770556784E-2</c:v>
                </c:pt>
                <c:pt idx="37">
                  <c:v>6.692548689978392E-2</c:v>
                </c:pt>
                <c:pt idx="38">
                  <c:v>5.7819395393176119E-2</c:v>
                </c:pt>
                <c:pt idx="39">
                  <c:v>4.0851925743016673E-2</c:v>
                </c:pt>
                <c:pt idx="40">
                  <c:v>5.7840847386847714E-2</c:v>
                </c:pt>
                <c:pt idx="41">
                  <c:v>5.2985567542792614E-2</c:v>
                </c:pt>
                <c:pt idx="42">
                  <c:v>4.6850639093797254E-2</c:v>
                </c:pt>
                <c:pt idx="43">
                  <c:v>3.9760213716405902E-2</c:v>
                </c:pt>
                <c:pt idx="44">
                  <c:v>4.1714596675891093E-2</c:v>
                </c:pt>
                <c:pt idx="45">
                  <c:v>4.1034903254533767E-2</c:v>
                </c:pt>
                <c:pt idx="46">
                  <c:v>4.2214706774284919E-2</c:v>
                </c:pt>
                <c:pt idx="47">
                  <c:v>4.534237974465307E-2</c:v>
                </c:pt>
                <c:pt idx="48">
                  <c:v>5.1031175876402192E-2</c:v>
                </c:pt>
                <c:pt idx="49">
                  <c:v>6.2275175811183879E-2</c:v>
                </c:pt>
                <c:pt idx="50">
                  <c:v>6.2759979650056724E-2</c:v>
                </c:pt>
                <c:pt idx="51">
                  <c:v>4.8307164741855556E-2</c:v>
                </c:pt>
                <c:pt idx="52">
                  <c:v>5.5614182801231239E-2</c:v>
                </c:pt>
                <c:pt idx="53">
                  <c:v>6.8254313468014402E-2</c:v>
                </c:pt>
                <c:pt idx="54">
                  <c:v>3.6714796694252781E-2</c:v>
                </c:pt>
                <c:pt idx="55">
                  <c:v>3.9504256937092239E-2</c:v>
                </c:pt>
                <c:pt idx="56">
                  <c:v>3.4356551712642201E-2</c:v>
                </c:pt>
                <c:pt idx="57">
                  <c:v>3.9683894547890577E-2</c:v>
                </c:pt>
                <c:pt idx="58">
                  <c:v>4.7980751181970191E-2</c:v>
                </c:pt>
                <c:pt idx="59">
                  <c:v>4.0753432524039644E-2</c:v>
                </c:pt>
                <c:pt idx="60">
                  <c:v>4.3686498788008489E-2</c:v>
                </c:pt>
                <c:pt idx="61">
                  <c:v>5.1791018420117567E-2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3B-CB4F-8922-61B10D966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80207"/>
        <c:axId val="1830789024"/>
      </c:lineChart>
      <c:lineChart>
        <c:grouping val="standard"/>
        <c:varyColors val="0"/>
        <c:ser>
          <c:idx val="7"/>
          <c:order val="5"/>
          <c:tx>
            <c:strRef>
              <c:f>'Exportaciones tradicionales'!$AH$8</c:f>
              <c:strCache>
                <c:ptCount val="1"/>
                <c:pt idx="0">
                  <c:v>Exportaciones tradicionales (eje derecho)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tradicionales'!$Z$9:$Z$70</c:f>
              <c:numCache>
                <c:formatCode>mmm\-yy</c:formatCode>
                <c:ptCount val="6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</c:numCache>
            </c:numRef>
          </c:cat>
          <c:val>
            <c:numRef>
              <c:f>'Exportaciones tradicionales'!$AH$9:$AH$70</c:f>
              <c:numCache>
                <c:formatCode>0.000%</c:formatCode>
                <c:ptCount val="62"/>
                <c:pt idx="0">
                  <c:v>0.56035880472659194</c:v>
                </c:pt>
                <c:pt idx="1">
                  <c:v>0.52418272283896983</c:v>
                </c:pt>
                <c:pt idx="2">
                  <c:v>0.50123807065453518</c:v>
                </c:pt>
                <c:pt idx="3">
                  <c:v>0.49360607227184472</c:v>
                </c:pt>
                <c:pt idx="4">
                  <c:v>0.54628203143991205</c:v>
                </c:pt>
                <c:pt idx="5">
                  <c:v>0.53583828409469181</c:v>
                </c:pt>
                <c:pt idx="6">
                  <c:v>0.51055148993695565</c:v>
                </c:pt>
                <c:pt idx="7">
                  <c:v>0.53926392629272268</c:v>
                </c:pt>
                <c:pt idx="8">
                  <c:v>0.58539380628928961</c:v>
                </c:pt>
                <c:pt idx="9">
                  <c:v>0.58132254146828655</c:v>
                </c:pt>
                <c:pt idx="10">
                  <c:v>0.58672068027975488</c:v>
                </c:pt>
                <c:pt idx="11">
                  <c:v>0.6001599629801152</c:v>
                </c:pt>
                <c:pt idx="12">
                  <c:v>0.63763321570920217</c:v>
                </c:pt>
                <c:pt idx="13">
                  <c:v>0.57533870779385088</c:v>
                </c:pt>
                <c:pt idx="14">
                  <c:v>0.60915599881024507</c:v>
                </c:pt>
                <c:pt idx="15">
                  <c:v>0.67733433169110013</c:v>
                </c:pt>
                <c:pt idx="16">
                  <c:v>0.58781447936713149</c:v>
                </c:pt>
                <c:pt idx="17">
                  <c:v>0.6744067434436779</c:v>
                </c:pt>
                <c:pt idx="18">
                  <c:v>0.69486522767351344</c:v>
                </c:pt>
                <c:pt idx="19">
                  <c:v>0.59512095079606797</c:v>
                </c:pt>
                <c:pt idx="20">
                  <c:v>0.62685914232341822</c:v>
                </c:pt>
                <c:pt idx="21">
                  <c:v>0.60246910761058237</c:v>
                </c:pt>
                <c:pt idx="22">
                  <c:v>0.62900015829248435</c:v>
                </c:pt>
                <c:pt idx="23">
                  <c:v>0.61493496955496851</c:v>
                </c:pt>
                <c:pt idx="24">
                  <c:v>0.61989827963120281</c:v>
                </c:pt>
                <c:pt idx="25">
                  <c:v>0.60868470085656279</c:v>
                </c:pt>
                <c:pt idx="26">
                  <c:v>0.5606587318983699</c:v>
                </c:pt>
                <c:pt idx="27">
                  <c:v>0.55741178168247218</c:v>
                </c:pt>
                <c:pt idx="28">
                  <c:v>0.54000634254896462</c:v>
                </c:pt>
                <c:pt idx="29">
                  <c:v>0.55390310789447128</c:v>
                </c:pt>
                <c:pt idx="30">
                  <c:v>0.57059360539245785</c:v>
                </c:pt>
                <c:pt idx="31">
                  <c:v>0.55795981384451365</c:v>
                </c:pt>
                <c:pt idx="32">
                  <c:v>0.57979645268901381</c:v>
                </c:pt>
                <c:pt idx="33">
                  <c:v>0.5714182019695957</c:v>
                </c:pt>
                <c:pt idx="34">
                  <c:v>0.55326279988179783</c:v>
                </c:pt>
                <c:pt idx="35">
                  <c:v>0.58510294206643221</c:v>
                </c:pt>
                <c:pt idx="36">
                  <c:v>0.54376872712910518</c:v>
                </c:pt>
                <c:pt idx="37">
                  <c:v>0.53253621855857625</c:v>
                </c:pt>
                <c:pt idx="38">
                  <c:v>0.55111048416523212</c:v>
                </c:pt>
                <c:pt idx="39">
                  <c:v>0.52587833421224695</c:v>
                </c:pt>
                <c:pt idx="40">
                  <c:v>0.5335882795989324</c:v>
                </c:pt>
                <c:pt idx="41">
                  <c:v>0.5381029559635393</c:v>
                </c:pt>
                <c:pt idx="42">
                  <c:v>0.55109879745833434</c:v>
                </c:pt>
                <c:pt idx="43">
                  <c:v>0.52326101313998552</c:v>
                </c:pt>
                <c:pt idx="44">
                  <c:v>0.49347532707223951</c:v>
                </c:pt>
                <c:pt idx="45">
                  <c:v>0.47608831879044372</c:v>
                </c:pt>
                <c:pt idx="46">
                  <c:v>0.53159563254534203</c:v>
                </c:pt>
                <c:pt idx="47">
                  <c:v>0.51789435360575753</c:v>
                </c:pt>
                <c:pt idx="48">
                  <c:v>0.50580194105655907</c:v>
                </c:pt>
                <c:pt idx="49">
                  <c:v>0.47169677071254923</c:v>
                </c:pt>
                <c:pt idx="50">
                  <c:v>0.51501906636735795</c:v>
                </c:pt>
                <c:pt idx="51">
                  <c:v>0.44962620941388848</c:v>
                </c:pt>
                <c:pt idx="52">
                  <c:v>0.47277060091403705</c:v>
                </c:pt>
                <c:pt idx="53">
                  <c:v>0.48146788179567951</c:v>
                </c:pt>
                <c:pt idx="54">
                  <c:v>0.47281038870741621</c:v>
                </c:pt>
                <c:pt idx="55">
                  <c:v>0.459135273343799</c:v>
                </c:pt>
                <c:pt idx="56">
                  <c:v>0.45648319432672951</c:v>
                </c:pt>
                <c:pt idx="57">
                  <c:v>0.45616286470323664</c:v>
                </c:pt>
                <c:pt idx="58">
                  <c:v>0.48156311981848016</c:v>
                </c:pt>
                <c:pt idx="59">
                  <c:v>0.43586418669734533</c:v>
                </c:pt>
                <c:pt idx="60">
                  <c:v>0.46067525850661611</c:v>
                </c:pt>
                <c:pt idx="61">
                  <c:v>0.39230756847364562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3B-CB4F-8922-61B10D966E68}"/>
            </c:ext>
          </c:extLst>
        </c:ser>
        <c:ser>
          <c:idx val="8"/>
          <c:order val="6"/>
          <c:tx>
            <c:strRef>
              <c:f>'Exportaciones tradicionales'!$AI$8</c:f>
              <c:strCache>
                <c:ptCount val="1"/>
                <c:pt idx="0">
                  <c:v>Exportaciones no tradicionales (eje derecho)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tradicionales'!$Z$9:$Z$70</c:f>
              <c:numCache>
                <c:formatCode>mmm\-yy</c:formatCode>
                <c:ptCount val="6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</c:numCache>
            </c:numRef>
          </c:cat>
          <c:val>
            <c:numRef>
              <c:f>'Exportaciones tradicionales'!$AI$9:$AI$70</c:f>
              <c:numCache>
                <c:formatCode>0.000%</c:formatCode>
                <c:ptCount val="62"/>
                <c:pt idx="0">
                  <c:v>0.43964119527340806</c:v>
                </c:pt>
                <c:pt idx="1">
                  <c:v>0.47581727716103023</c:v>
                </c:pt>
                <c:pt idx="2">
                  <c:v>0.49876192934546482</c:v>
                </c:pt>
                <c:pt idx="3">
                  <c:v>0.50639392772815528</c:v>
                </c:pt>
                <c:pt idx="4">
                  <c:v>0.45371796856008795</c:v>
                </c:pt>
                <c:pt idx="5">
                  <c:v>0.46416171590530825</c:v>
                </c:pt>
                <c:pt idx="6">
                  <c:v>0.48944851006304435</c:v>
                </c:pt>
                <c:pt idx="7">
                  <c:v>0.46073607370727732</c:v>
                </c:pt>
                <c:pt idx="8">
                  <c:v>0.41460619371071045</c:v>
                </c:pt>
                <c:pt idx="9">
                  <c:v>0.41867745853171345</c:v>
                </c:pt>
                <c:pt idx="10">
                  <c:v>0.41327931972024512</c:v>
                </c:pt>
                <c:pt idx="11">
                  <c:v>0.39984003701988474</c:v>
                </c:pt>
                <c:pt idx="12">
                  <c:v>0.36236678429079788</c:v>
                </c:pt>
                <c:pt idx="13">
                  <c:v>0.42466129220614918</c:v>
                </c:pt>
                <c:pt idx="14">
                  <c:v>0.39084400118975493</c:v>
                </c:pt>
                <c:pt idx="15">
                  <c:v>0.32266566830889981</c:v>
                </c:pt>
                <c:pt idx="16">
                  <c:v>0.41218552063286856</c:v>
                </c:pt>
                <c:pt idx="17">
                  <c:v>0.3255932565563221</c:v>
                </c:pt>
                <c:pt idx="18">
                  <c:v>0.30513477232648661</c:v>
                </c:pt>
                <c:pt idx="19">
                  <c:v>0.40487904920393197</c:v>
                </c:pt>
                <c:pt idx="20">
                  <c:v>0.37314085767658178</c:v>
                </c:pt>
                <c:pt idx="21">
                  <c:v>0.39753089238941769</c:v>
                </c:pt>
                <c:pt idx="22">
                  <c:v>0.37099984170751565</c:v>
                </c:pt>
                <c:pt idx="23">
                  <c:v>0.38506503044503149</c:v>
                </c:pt>
                <c:pt idx="24">
                  <c:v>0.38010172036879719</c:v>
                </c:pt>
                <c:pt idx="25">
                  <c:v>0.39131529914343716</c:v>
                </c:pt>
                <c:pt idx="26">
                  <c:v>0.4393412681016301</c:v>
                </c:pt>
                <c:pt idx="27">
                  <c:v>0.44258821831752782</c:v>
                </c:pt>
                <c:pt idx="28">
                  <c:v>0.45999365745103538</c:v>
                </c:pt>
                <c:pt idx="29">
                  <c:v>0.44609689210552872</c:v>
                </c:pt>
                <c:pt idx="30">
                  <c:v>0.42940639460754215</c:v>
                </c:pt>
                <c:pt idx="31">
                  <c:v>0.44204018615548635</c:v>
                </c:pt>
                <c:pt idx="32">
                  <c:v>0.42020354731098619</c:v>
                </c:pt>
                <c:pt idx="33">
                  <c:v>0.42858179803040436</c:v>
                </c:pt>
                <c:pt idx="34">
                  <c:v>0.44673720011820217</c:v>
                </c:pt>
                <c:pt idx="35">
                  <c:v>0.41489705793356785</c:v>
                </c:pt>
                <c:pt idx="36">
                  <c:v>0.45623127287089482</c:v>
                </c:pt>
                <c:pt idx="37">
                  <c:v>0.46746378144142375</c:v>
                </c:pt>
                <c:pt idx="38">
                  <c:v>0.44888951583476788</c:v>
                </c:pt>
                <c:pt idx="39">
                  <c:v>0.47412166578775311</c:v>
                </c:pt>
                <c:pt idx="40">
                  <c:v>0.46641172040106754</c:v>
                </c:pt>
                <c:pt idx="41">
                  <c:v>0.46189704403646065</c:v>
                </c:pt>
                <c:pt idx="42">
                  <c:v>0.44890120254166566</c:v>
                </c:pt>
                <c:pt idx="43">
                  <c:v>0.47673898686001448</c:v>
                </c:pt>
                <c:pt idx="44">
                  <c:v>0.50652467292776049</c:v>
                </c:pt>
                <c:pt idx="45">
                  <c:v>0.52391168120955622</c:v>
                </c:pt>
                <c:pt idx="46">
                  <c:v>0.46840436745465802</c:v>
                </c:pt>
                <c:pt idx="47">
                  <c:v>0.48210564639424247</c:v>
                </c:pt>
                <c:pt idx="48">
                  <c:v>0.49419805894344093</c:v>
                </c:pt>
                <c:pt idx="49">
                  <c:v>0.52830322928745077</c:v>
                </c:pt>
                <c:pt idx="50">
                  <c:v>0.48498093363264205</c:v>
                </c:pt>
                <c:pt idx="51">
                  <c:v>0.55037379058611158</c:v>
                </c:pt>
                <c:pt idx="52">
                  <c:v>0.527229399085963</c:v>
                </c:pt>
                <c:pt idx="53">
                  <c:v>0.51853211820432044</c:v>
                </c:pt>
                <c:pt idx="54">
                  <c:v>0.52718961129258379</c:v>
                </c:pt>
                <c:pt idx="55">
                  <c:v>0.540864726656201</c:v>
                </c:pt>
                <c:pt idx="56">
                  <c:v>0.54351680567327054</c:v>
                </c:pt>
                <c:pt idx="57">
                  <c:v>0.54383713529676336</c:v>
                </c:pt>
                <c:pt idx="58">
                  <c:v>0.5184368801815199</c:v>
                </c:pt>
                <c:pt idx="59">
                  <c:v>0.56413581330265461</c:v>
                </c:pt>
                <c:pt idx="60">
                  <c:v>0.53932474149338383</c:v>
                </c:pt>
                <c:pt idx="61">
                  <c:v>0.60769243152635444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3B-CB4F-8922-61B10D966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676560"/>
        <c:axId val="1767673600"/>
      </c:lineChart>
      <c:dateAx>
        <c:axId val="12908020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0789024"/>
        <c:crosses val="autoZero"/>
        <c:auto val="1"/>
        <c:lblOffset val="100"/>
        <c:baseTimeUnit val="months"/>
      </c:dateAx>
      <c:valAx>
        <c:axId val="1830789024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9080207"/>
        <c:crosses val="autoZero"/>
        <c:crossBetween val="between"/>
      </c:valAx>
      <c:valAx>
        <c:axId val="1767673600"/>
        <c:scaling>
          <c:orientation val="minMax"/>
          <c:max val="0.70000000000000007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7676560"/>
        <c:crosses val="max"/>
        <c:crossBetween val="between"/>
      </c:valAx>
      <c:dateAx>
        <c:axId val="17676765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767673600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'Exportaciones tradicionales'!$AA$8</c:f>
              <c:strCache>
                <c:ptCount val="1"/>
                <c:pt idx="0">
                  <c:v> Café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tradicionales'!$Z$9:$Z$69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'Exportaciones tradicionales'!$AA$9:$AA$69</c:f>
              <c:numCache>
                <c:formatCode>0.000%</c:formatCode>
                <c:ptCount val="61"/>
                <c:pt idx="0">
                  <c:v>9.4981275123963121E-2</c:v>
                </c:pt>
                <c:pt idx="1">
                  <c:v>8.840524895298861E-2</c:v>
                </c:pt>
                <c:pt idx="2">
                  <c:v>7.8867676908979945E-2</c:v>
                </c:pt>
                <c:pt idx="3">
                  <c:v>7.8788673469569359E-2</c:v>
                </c:pt>
                <c:pt idx="4">
                  <c:v>3.7686331108573737E-2</c:v>
                </c:pt>
                <c:pt idx="5">
                  <c:v>3.3776626549644799E-2</c:v>
                </c:pt>
                <c:pt idx="6">
                  <c:v>8.6934269791156579E-2</c:v>
                </c:pt>
                <c:pt idx="7">
                  <c:v>9.0951294502212204E-2</c:v>
                </c:pt>
                <c:pt idx="8">
                  <c:v>6.7621503236221389E-2</c:v>
                </c:pt>
                <c:pt idx="9">
                  <c:v>8.3801003500881266E-2</c:v>
                </c:pt>
                <c:pt idx="10">
                  <c:v>7.3623224593355283E-2</c:v>
                </c:pt>
                <c:pt idx="11">
                  <c:v>7.9904054787029638E-2</c:v>
                </c:pt>
                <c:pt idx="12">
                  <c:v>8.4428282927376461E-2</c:v>
                </c:pt>
                <c:pt idx="13">
                  <c:v>8.7981288223573387E-2</c:v>
                </c:pt>
                <c:pt idx="14">
                  <c:v>8.3494052585948372E-2</c:v>
                </c:pt>
                <c:pt idx="15">
                  <c:v>5.7721626636011061E-2</c:v>
                </c:pt>
                <c:pt idx="16">
                  <c:v>5.6367790620845203E-2</c:v>
                </c:pt>
                <c:pt idx="17">
                  <c:v>6.4119453960935838E-2</c:v>
                </c:pt>
                <c:pt idx="18">
                  <c:v>6.4112857833887801E-2</c:v>
                </c:pt>
                <c:pt idx="19">
                  <c:v>7.0266175716864027E-2</c:v>
                </c:pt>
                <c:pt idx="20">
                  <c:v>6.7792416752663606E-2</c:v>
                </c:pt>
                <c:pt idx="21">
                  <c:v>7.4058450442735027E-2</c:v>
                </c:pt>
                <c:pt idx="22">
                  <c:v>6.1637437273809499E-2</c:v>
                </c:pt>
                <c:pt idx="23">
                  <c:v>7.2531761805498432E-2</c:v>
                </c:pt>
                <c:pt idx="24">
                  <c:v>6.4649607886323429E-2</c:v>
                </c:pt>
                <c:pt idx="25">
                  <c:v>5.9005494634767883E-2</c:v>
                </c:pt>
                <c:pt idx="26">
                  <c:v>6.2540722332260379E-2</c:v>
                </c:pt>
                <c:pt idx="27">
                  <c:v>5.4415579331686628E-2</c:v>
                </c:pt>
                <c:pt idx="28">
                  <c:v>5.3792675334004572E-2</c:v>
                </c:pt>
                <c:pt idx="29">
                  <c:v>5.2686416630076317E-2</c:v>
                </c:pt>
                <c:pt idx="30">
                  <c:v>5.1892547367790288E-2</c:v>
                </c:pt>
                <c:pt idx="31">
                  <c:v>5.4394503216181306E-2</c:v>
                </c:pt>
                <c:pt idx="32">
                  <c:v>5.3244790664862068E-2</c:v>
                </c:pt>
                <c:pt idx="33">
                  <c:v>4.2715741593138436E-2</c:v>
                </c:pt>
                <c:pt idx="34">
                  <c:v>5.7168712582811691E-2</c:v>
                </c:pt>
                <c:pt idx="35">
                  <c:v>6.6119129718266098E-2</c:v>
                </c:pt>
                <c:pt idx="36">
                  <c:v>6.1250420497918311E-2</c:v>
                </c:pt>
                <c:pt idx="37">
                  <c:v>6.4761988076921295E-2</c:v>
                </c:pt>
                <c:pt idx="38">
                  <c:v>5.7993452005784665E-2</c:v>
                </c:pt>
                <c:pt idx="39">
                  <c:v>5.6437720615515545E-2</c:v>
                </c:pt>
                <c:pt idx="40">
                  <c:v>5.6649346414508257E-2</c:v>
                </c:pt>
                <c:pt idx="41">
                  <c:v>7.0348029304823534E-2</c:v>
                </c:pt>
                <c:pt idx="42">
                  <c:v>5.9317614814255508E-2</c:v>
                </c:pt>
                <c:pt idx="43">
                  <c:v>7.9362916786141047E-2</c:v>
                </c:pt>
                <c:pt idx="44">
                  <c:v>6.4664512175077113E-2</c:v>
                </c:pt>
                <c:pt idx="45">
                  <c:v>7.4943681614782209E-2</c:v>
                </c:pt>
                <c:pt idx="46">
                  <c:v>7.5863364201428404E-2</c:v>
                </c:pt>
                <c:pt idx="47">
                  <c:v>9.9108178596593793E-2</c:v>
                </c:pt>
                <c:pt idx="48">
                  <c:v>0.12247147562984648</c:v>
                </c:pt>
                <c:pt idx="49">
                  <c:v>0.11157952044767858</c:v>
                </c:pt>
                <c:pt idx="50">
                  <c:v>0.12112037275481281</c:v>
                </c:pt>
                <c:pt idx="51">
                  <c:v>0.11283039615458429</c:v>
                </c:pt>
                <c:pt idx="52">
                  <c:v>9.3157857636082919E-2</c:v>
                </c:pt>
                <c:pt idx="53">
                  <c:v>0.10042085124118173</c:v>
                </c:pt>
                <c:pt idx="54">
                  <c:v>0.10539533818440124</c:v>
                </c:pt>
                <c:pt idx="55">
                  <c:v>0.13506021325766096</c:v>
                </c:pt>
                <c:pt idx="56">
                  <c:v>0.10645539329851733</c:v>
                </c:pt>
                <c:pt idx="57">
                  <c:v>0.12420862376208559</c:v>
                </c:pt>
                <c:pt idx="58">
                  <c:v>0.14383883761238014</c:v>
                </c:pt>
                <c:pt idx="59">
                  <c:v>0.11143051956473696</c:v>
                </c:pt>
                <c:pt idx="60">
                  <c:v>0.14498953704838483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3-BF43-BB5A-F561902D8075}"/>
            </c:ext>
          </c:extLst>
        </c:ser>
        <c:ser>
          <c:idx val="1"/>
          <c:order val="1"/>
          <c:tx>
            <c:strRef>
              <c:f>'Exportaciones tradicionales'!$AB$8</c:f>
              <c:strCache>
                <c:ptCount val="1"/>
                <c:pt idx="0">
                  <c:v> Carbón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tradicionales'!$Z$9:$Z$69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'Exportaciones tradicionales'!$AB$9:$AB$69</c:f>
              <c:numCache>
                <c:formatCode>0.000%</c:formatCode>
                <c:ptCount val="61"/>
                <c:pt idx="0">
                  <c:v>9.6179441200748853E-2</c:v>
                </c:pt>
                <c:pt idx="1">
                  <c:v>0.15137802749551629</c:v>
                </c:pt>
                <c:pt idx="2">
                  <c:v>7.8262102429085045E-2</c:v>
                </c:pt>
                <c:pt idx="3">
                  <c:v>0.11455438106406718</c:v>
                </c:pt>
                <c:pt idx="4">
                  <c:v>0.1083706306120959</c:v>
                </c:pt>
                <c:pt idx="5">
                  <c:v>0.1307977229397341</c:v>
                </c:pt>
                <c:pt idx="6">
                  <c:v>0.12125478797498826</c:v>
                </c:pt>
                <c:pt idx="7">
                  <c:v>0.1391690563811869</c:v>
                </c:pt>
                <c:pt idx="8">
                  <c:v>0.15271802541016402</c:v>
                </c:pt>
                <c:pt idx="9">
                  <c:v>0.15645457297269341</c:v>
                </c:pt>
                <c:pt idx="10">
                  <c:v>0.15273256480457542</c:v>
                </c:pt>
                <c:pt idx="11">
                  <c:v>0.19595334930286729</c:v>
                </c:pt>
                <c:pt idx="12">
                  <c:v>0.20407971604397118</c:v>
                </c:pt>
                <c:pt idx="13">
                  <c:v>0.13412779286170073</c:v>
                </c:pt>
                <c:pt idx="14">
                  <c:v>0.1296739461146211</c:v>
                </c:pt>
                <c:pt idx="15">
                  <c:v>0.24164084437485037</c:v>
                </c:pt>
                <c:pt idx="16">
                  <c:v>0.11567275674606907</c:v>
                </c:pt>
                <c:pt idx="17">
                  <c:v>0.27481329746416233</c:v>
                </c:pt>
                <c:pt idx="18">
                  <c:v>0.30601114852477984</c:v>
                </c:pt>
                <c:pt idx="19">
                  <c:v>0.16163627103191217</c:v>
                </c:pt>
                <c:pt idx="20">
                  <c:v>0.26075363830161702</c:v>
                </c:pt>
                <c:pt idx="21">
                  <c:v>0.23210718996810023</c:v>
                </c:pt>
                <c:pt idx="22">
                  <c:v>0.23774775570110221</c:v>
                </c:pt>
                <c:pt idx="23">
                  <c:v>0.24370573317739619</c:v>
                </c:pt>
                <c:pt idx="24">
                  <c:v>0.24368239306085454</c:v>
                </c:pt>
                <c:pt idx="25">
                  <c:v>0.23285939144801893</c:v>
                </c:pt>
                <c:pt idx="26">
                  <c:v>0.21462801440814541</c:v>
                </c:pt>
                <c:pt idx="27">
                  <c:v>0.14548117376794972</c:v>
                </c:pt>
                <c:pt idx="28">
                  <c:v>0.20341651112295236</c:v>
                </c:pt>
                <c:pt idx="29">
                  <c:v>0.19331936483736026</c:v>
                </c:pt>
                <c:pt idx="30">
                  <c:v>0.16296200208993489</c:v>
                </c:pt>
                <c:pt idx="31">
                  <c:v>0.1226269396997032</c:v>
                </c:pt>
                <c:pt idx="32">
                  <c:v>0.1578305147355209</c:v>
                </c:pt>
                <c:pt idx="33">
                  <c:v>0.14864521317252152</c:v>
                </c:pt>
                <c:pt idx="34">
                  <c:v>0.19571913859070622</c:v>
                </c:pt>
                <c:pt idx="35">
                  <c:v>0.18281319585659755</c:v>
                </c:pt>
                <c:pt idx="36">
                  <c:v>0.17866893716842058</c:v>
                </c:pt>
                <c:pt idx="37">
                  <c:v>0.16597391462412042</c:v>
                </c:pt>
                <c:pt idx="38">
                  <c:v>0.13366702306027742</c:v>
                </c:pt>
                <c:pt idx="39">
                  <c:v>0.1464581290896575</c:v>
                </c:pt>
                <c:pt idx="40">
                  <c:v>0.1434302664904912</c:v>
                </c:pt>
                <c:pt idx="41">
                  <c:v>0.11955924824070188</c:v>
                </c:pt>
                <c:pt idx="42">
                  <c:v>0.1918212414484031</c:v>
                </c:pt>
                <c:pt idx="43">
                  <c:v>9.1692089497469334E-2</c:v>
                </c:pt>
                <c:pt idx="44">
                  <c:v>0.13051096636812828</c:v>
                </c:pt>
                <c:pt idx="45">
                  <c:v>0.10692922815654504</c:v>
                </c:pt>
                <c:pt idx="46">
                  <c:v>0.18053484644848283</c:v>
                </c:pt>
                <c:pt idx="47">
                  <c:v>0.12895514973008429</c:v>
                </c:pt>
                <c:pt idx="48">
                  <c:v>8.6549340406992956E-2</c:v>
                </c:pt>
                <c:pt idx="49">
                  <c:v>0.12334912490152501</c:v>
                </c:pt>
                <c:pt idx="50">
                  <c:v>5.2669575857527198E-2</c:v>
                </c:pt>
                <c:pt idx="51">
                  <c:v>9.7992855465087403E-2</c:v>
                </c:pt>
                <c:pt idx="52">
                  <c:v>0.12688868211105317</c:v>
                </c:pt>
                <c:pt idx="53">
                  <c:v>9.8868653749891885E-2</c:v>
                </c:pt>
                <c:pt idx="54">
                  <c:v>0.10837521063053189</c:v>
                </c:pt>
                <c:pt idx="55">
                  <c:v>5.7976831005631682E-2</c:v>
                </c:pt>
                <c:pt idx="56">
                  <c:v>0.11587406382351047</c:v>
                </c:pt>
                <c:pt idx="57">
                  <c:v>9.9957335981926937E-2</c:v>
                </c:pt>
                <c:pt idx="58">
                  <c:v>9.7555871822664217E-2</c:v>
                </c:pt>
                <c:pt idx="59">
                  <c:v>0.10209130361701139</c:v>
                </c:pt>
                <c:pt idx="60">
                  <c:v>8.5426901388491544E-2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23-BF43-BB5A-F561902D8075}"/>
            </c:ext>
          </c:extLst>
        </c:ser>
        <c:ser>
          <c:idx val="2"/>
          <c:order val="2"/>
          <c:tx>
            <c:strRef>
              <c:f>'Exportaciones tradicionales'!$AC$8</c:f>
              <c:strCache>
                <c:ptCount val="1"/>
                <c:pt idx="0">
                  <c:v> Petróleo y derivados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tradicionales'!$Z$9:$Z$69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'Exportaciones tradicionales'!$AC$9:$AC$69</c:f>
              <c:numCache>
                <c:formatCode>0.000%</c:formatCode>
                <c:ptCount val="61"/>
                <c:pt idx="0">
                  <c:v>0.35637590810962977</c:v>
                </c:pt>
                <c:pt idx="1">
                  <c:v>0.2746549351180293</c:v>
                </c:pt>
                <c:pt idx="2">
                  <c:v>0.33533437085300249</c:v>
                </c:pt>
                <c:pt idx="3">
                  <c:v>0.28971526591789121</c:v>
                </c:pt>
                <c:pt idx="4">
                  <c:v>0.39203833593501136</c:v>
                </c:pt>
                <c:pt idx="5">
                  <c:v>0.35901918180045234</c:v>
                </c:pt>
                <c:pt idx="6">
                  <c:v>0.28977495263206876</c:v>
                </c:pt>
                <c:pt idx="7">
                  <c:v>0.29689699112357248</c:v>
                </c:pt>
                <c:pt idx="8">
                  <c:v>0.33610865728690181</c:v>
                </c:pt>
                <c:pt idx="9">
                  <c:v>0.34013916709814301</c:v>
                </c:pt>
                <c:pt idx="10">
                  <c:v>0.34244318344364705</c:v>
                </c:pt>
                <c:pt idx="11">
                  <c:v>0.30947852942831611</c:v>
                </c:pt>
                <c:pt idx="12">
                  <c:v>0.3336734725071196</c:v>
                </c:pt>
                <c:pt idx="13">
                  <c:v>0.33914732575231221</c:v>
                </c:pt>
                <c:pt idx="14">
                  <c:v>0.38330552927906009</c:v>
                </c:pt>
                <c:pt idx="15">
                  <c:v>0.35749632105159734</c:v>
                </c:pt>
                <c:pt idx="16">
                  <c:v>0.39867339371186372</c:v>
                </c:pt>
                <c:pt idx="17">
                  <c:v>0.31107906251790279</c:v>
                </c:pt>
                <c:pt idx="18">
                  <c:v>0.31109641160100249</c:v>
                </c:pt>
                <c:pt idx="19">
                  <c:v>0.34531308134294847</c:v>
                </c:pt>
                <c:pt idx="20">
                  <c:v>0.281313378555547</c:v>
                </c:pt>
                <c:pt idx="21">
                  <c:v>0.28504808265018194</c:v>
                </c:pt>
                <c:pt idx="22">
                  <c:v>0.31868742838067993</c:v>
                </c:pt>
                <c:pt idx="23">
                  <c:v>0.28440189701482838</c:v>
                </c:pt>
                <c:pt idx="24">
                  <c:v>0.28466341015761643</c:v>
                </c:pt>
                <c:pt idx="25">
                  <c:v>0.30686178573255357</c:v>
                </c:pt>
                <c:pt idx="26">
                  <c:v>0.26947940755863919</c:v>
                </c:pt>
                <c:pt idx="27">
                  <c:v>0.34475640481933978</c:v>
                </c:pt>
                <c:pt idx="28">
                  <c:v>0.26498505831749392</c:v>
                </c:pt>
                <c:pt idx="29">
                  <c:v>0.295497832693707</c:v>
                </c:pt>
                <c:pt idx="30">
                  <c:v>0.34319459189449608</c:v>
                </c:pt>
                <c:pt idx="31">
                  <c:v>0.36437351205786173</c:v>
                </c:pt>
                <c:pt idx="32">
                  <c:v>0.36351231639311543</c:v>
                </c:pt>
                <c:pt idx="33">
                  <c:v>0.37153298183312394</c:v>
                </c:pt>
                <c:pt idx="34">
                  <c:v>0.28936088830507423</c:v>
                </c:pt>
                <c:pt idx="35">
                  <c:v>0.32863069688499802</c:v>
                </c:pt>
                <c:pt idx="36">
                  <c:v>0.29293363924572519</c:v>
                </c:pt>
                <c:pt idx="37">
                  <c:v>0.29353447452432829</c:v>
                </c:pt>
                <c:pt idx="38">
                  <c:v>0.35185108665180342</c:v>
                </c:pt>
                <c:pt idx="39">
                  <c:v>0.31070972145306569</c:v>
                </c:pt>
                <c:pt idx="40">
                  <c:v>0.31802524532516535</c:v>
                </c:pt>
                <c:pt idx="41">
                  <c:v>0.34052860427289294</c:v>
                </c:pt>
                <c:pt idx="42">
                  <c:v>0.28983665485745957</c:v>
                </c:pt>
                <c:pt idx="43">
                  <c:v>0.33615140898092954</c:v>
                </c:pt>
                <c:pt idx="44">
                  <c:v>0.28561606229400222</c:v>
                </c:pt>
                <c:pt idx="45">
                  <c:v>0.28534551354970722</c:v>
                </c:pt>
                <c:pt idx="46">
                  <c:v>0.2670494709953295</c:v>
                </c:pt>
                <c:pt idx="47">
                  <c:v>0.27732393772206421</c:v>
                </c:pt>
                <c:pt idx="48">
                  <c:v>0.28754546757048138</c:v>
                </c:pt>
                <c:pt idx="49">
                  <c:v>0.22873999792761965</c:v>
                </c:pt>
                <c:pt idx="50">
                  <c:v>0.33178361055758893</c:v>
                </c:pt>
                <c:pt idx="51">
                  <c:v>0.22815201429048068</c:v>
                </c:pt>
                <c:pt idx="52">
                  <c:v>0.24401148254026869</c:v>
                </c:pt>
                <c:pt idx="53">
                  <c:v>0.27193223375004938</c:v>
                </c:pt>
                <c:pt idx="54">
                  <c:v>0.24999031323783702</c:v>
                </c:pt>
                <c:pt idx="55">
                  <c:v>0.25550510128601733</c:v>
                </c:pt>
                <c:pt idx="56">
                  <c:v>0.22634566117862992</c:v>
                </c:pt>
                <c:pt idx="57">
                  <c:v>0.22238327184727313</c:v>
                </c:pt>
                <c:pt idx="58">
                  <c:v>0.22957467000530579</c:v>
                </c:pt>
                <c:pt idx="59">
                  <c:v>0.2124355892570641</c:v>
                </c:pt>
                <c:pt idx="60">
                  <c:v>0.23025882006973972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23-BF43-BB5A-F561902D8075}"/>
            </c:ext>
          </c:extLst>
        </c:ser>
        <c:ser>
          <c:idx val="3"/>
          <c:order val="3"/>
          <c:tx>
            <c:strRef>
              <c:f>'Exportaciones tradicionales'!$AD$8</c:f>
              <c:strCache>
                <c:ptCount val="1"/>
                <c:pt idx="0">
                  <c:v> Ferroníquel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tradicionales'!$Z$9:$Z$69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'Exportaciones tradicionales'!$AD$9:$AD$69</c:f>
              <c:numCache>
                <c:formatCode>0.000%</c:formatCode>
                <c:ptCount val="61"/>
                <c:pt idx="0">
                  <c:v>1.2822180292250117E-2</c:v>
                </c:pt>
                <c:pt idx="1">
                  <c:v>9.7445112724356357E-3</c:v>
                </c:pt>
                <c:pt idx="2">
                  <c:v>8.7739204634676854E-3</c:v>
                </c:pt>
                <c:pt idx="3">
                  <c:v>1.0547751820316989E-2</c:v>
                </c:pt>
                <c:pt idx="4">
                  <c:v>8.1867337842310445E-3</c:v>
                </c:pt>
                <c:pt idx="5">
                  <c:v>1.2244752804860528E-2</c:v>
                </c:pt>
                <c:pt idx="6">
                  <c:v>1.2587479538742084E-2</c:v>
                </c:pt>
                <c:pt idx="7">
                  <c:v>1.2246584285751096E-2</c:v>
                </c:pt>
                <c:pt idx="8">
                  <c:v>2.8945620356002365E-2</c:v>
                </c:pt>
                <c:pt idx="9">
                  <c:v>9.2779789656876038E-4</c:v>
                </c:pt>
                <c:pt idx="10">
                  <c:v>1.7921707438177146E-2</c:v>
                </c:pt>
                <c:pt idx="11">
                  <c:v>1.482402946190221E-2</c:v>
                </c:pt>
                <c:pt idx="12">
                  <c:v>1.5451744230734832E-2</c:v>
                </c:pt>
                <c:pt idx="13">
                  <c:v>1.4082300956264478E-2</c:v>
                </c:pt>
                <c:pt idx="14">
                  <c:v>1.2682470830615506E-2</c:v>
                </c:pt>
                <c:pt idx="15">
                  <c:v>2.0475539628641362E-2</c:v>
                </c:pt>
                <c:pt idx="16">
                  <c:v>1.7100538288353478E-2</c:v>
                </c:pt>
                <c:pt idx="17">
                  <c:v>2.4394929500676961E-2</c:v>
                </c:pt>
                <c:pt idx="18">
                  <c:v>1.3644809713843315E-2</c:v>
                </c:pt>
                <c:pt idx="19">
                  <c:v>1.7905422704343317E-2</c:v>
                </c:pt>
                <c:pt idx="20">
                  <c:v>1.6999708713590578E-2</c:v>
                </c:pt>
                <c:pt idx="21">
                  <c:v>1.1255384549565166E-2</c:v>
                </c:pt>
                <c:pt idx="22">
                  <c:v>1.0927536936892716E-2</c:v>
                </c:pt>
                <c:pt idx="23">
                  <c:v>1.4295577557245477E-2</c:v>
                </c:pt>
                <c:pt idx="24">
                  <c:v>2.6902868526408392E-2</c:v>
                </c:pt>
                <c:pt idx="25">
                  <c:v>9.9580290412223989E-3</c:v>
                </c:pt>
                <c:pt idx="26">
                  <c:v>1.4010587599324864E-2</c:v>
                </c:pt>
                <c:pt idx="27">
                  <c:v>1.2758623763496011E-2</c:v>
                </c:pt>
                <c:pt idx="28">
                  <c:v>1.7812097774513699E-2</c:v>
                </c:pt>
                <c:pt idx="29">
                  <c:v>1.2399493733327653E-2</c:v>
                </c:pt>
                <c:pt idx="30">
                  <c:v>1.2544464040236689E-2</c:v>
                </c:pt>
                <c:pt idx="31">
                  <c:v>1.6564858870767394E-2</c:v>
                </c:pt>
                <c:pt idx="32">
                  <c:v>5.2088308955153661E-3</c:v>
                </c:pt>
                <c:pt idx="33">
                  <c:v>8.5242653708117091E-3</c:v>
                </c:pt>
                <c:pt idx="34">
                  <c:v>1.1014060403205695E-2</c:v>
                </c:pt>
                <c:pt idx="35">
                  <c:v>7.5399196065704293E-3</c:v>
                </c:pt>
                <c:pt idx="36">
                  <c:v>1.0915730217041088E-2</c:v>
                </c:pt>
                <c:pt idx="37">
                  <c:v>8.2658413332062104E-3</c:v>
                </c:pt>
                <c:pt idx="38">
                  <c:v>7.5989224473666916E-3</c:v>
                </c:pt>
                <c:pt idx="39">
                  <c:v>1.2272763054008113E-2</c:v>
                </c:pt>
                <c:pt idx="40">
                  <c:v>1.548342136876763E-2</c:v>
                </c:pt>
                <c:pt idx="41">
                  <c:v>7.6670741451209563E-3</c:v>
                </c:pt>
                <c:pt idx="42">
                  <c:v>1.0123286338216211E-2</c:v>
                </c:pt>
                <c:pt idx="43">
                  <c:v>1.605459787544556E-2</c:v>
                </c:pt>
                <c:pt idx="44">
                  <c:v>1.2683786235031882E-2</c:v>
                </c:pt>
                <c:pt idx="45">
                  <c:v>8.8698954694092173E-3</c:v>
                </c:pt>
                <c:pt idx="46">
                  <c:v>8.1479509001012983E-3</c:v>
                </c:pt>
                <c:pt idx="47">
                  <c:v>1.2507087557015253E-2</c:v>
                </c:pt>
                <c:pt idx="48">
                  <c:v>9.2356574492382538E-3</c:v>
                </c:pt>
                <c:pt idx="49">
                  <c:v>8.0281274357259444E-3</c:v>
                </c:pt>
                <c:pt idx="50">
                  <c:v>9.4455071974289539E-3</c:v>
                </c:pt>
                <c:pt idx="51">
                  <c:v>1.0650943503736127E-2</c:v>
                </c:pt>
                <c:pt idx="52">
                  <c:v>8.7125786266322221E-3</c:v>
                </c:pt>
                <c:pt idx="53">
                  <c:v>1.0246143054556544E-2</c:v>
                </c:pt>
                <c:pt idx="54">
                  <c:v>9.0495266546460531E-3</c:v>
                </c:pt>
                <c:pt idx="55">
                  <c:v>1.0593127794488955E-2</c:v>
                </c:pt>
                <c:pt idx="56">
                  <c:v>7.8080760260718614E-3</c:v>
                </c:pt>
                <c:pt idx="57">
                  <c:v>9.6136331119509259E-3</c:v>
                </c:pt>
                <c:pt idx="58">
                  <c:v>1.0593740378129971E-2</c:v>
                </c:pt>
                <c:pt idx="59">
                  <c:v>9.9067742585328862E-3</c:v>
                </c:pt>
                <c:pt idx="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23-BF43-BB5A-F561902D8075}"/>
            </c:ext>
          </c:extLst>
        </c:ser>
        <c:ser>
          <c:idx val="4"/>
          <c:order val="4"/>
          <c:tx>
            <c:strRef>
              <c:f>'Exportaciones tradicionales'!$AE$8</c:f>
              <c:strCache>
                <c:ptCount val="1"/>
                <c:pt idx="0">
                  <c:v>Piedras y metales preciosos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tradicionales'!$Z$9:$Z$69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'Exportaciones tradicionales'!$AE$9:$AE$69</c:f>
              <c:numCache>
                <c:formatCode>0.000%</c:formatCode>
                <c:ptCount val="61"/>
                <c:pt idx="0">
                  <c:v>7.3191981711352147E-2</c:v>
                </c:pt>
                <c:pt idx="1">
                  <c:v>8.8855166104056513E-2</c:v>
                </c:pt>
                <c:pt idx="2">
                  <c:v>8.2616382436857941E-2</c:v>
                </c:pt>
                <c:pt idx="3">
                  <c:v>9.1387832336516539E-2</c:v>
                </c:pt>
                <c:pt idx="4">
                  <c:v>9.7579973347916529E-2</c:v>
                </c:pt>
                <c:pt idx="5">
                  <c:v>8.99654787990605E-2</c:v>
                </c:pt>
                <c:pt idx="6">
                  <c:v>9.0958615203153056E-2</c:v>
                </c:pt>
                <c:pt idx="7">
                  <c:v>6.5162086130304761E-2</c:v>
                </c:pt>
                <c:pt idx="8">
                  <c:v>7.5854770398826571E-2</c:v>
                </c:pt>
                <c:pt idx="9">
                  <c:v>6.3778405950260436E-2</c:v>
                </c:pt>
                <c:pt idx="10">
                  <c:v>7.3882249962858651E-2</c:v>
                </c:pt>
                <c:pt idx="11">
                  <c:v>8.2998370493873153E-2</c:v>
                </c:pt>
                <c:pt idx="12">
                  <c:v>5.0070529649287474E-2</c:v>
                </c:pt>
                <c:pt idx="13">
                  <c:v>6.3879502157036264E-2</c:v>
                </c:pt>
                <c:pt idx="14">
                  <c:v>5.2693123130722427E-2</c:v>
                </c:pt>
                <c:pt idx="15">
                  <c:v>4.6729148271775982E-2</c:v>
                </c:pt>
                <c:pt idx="16">
                  <c:v>5.9152444039087204E-2</c:v>
                </c:pt>
                <c:pt idx="17">
                  <c:v>3.6470193538261864E-2</c:v>
                </c:pt>
                <c:pt idx="18">
                  <c:v>5.291992415447043E-2</c:v>
                </c:pt>
                <c:pt idx="19">
                  <c:v>6.0930025506416574E-2</c:v>
                </c:pt>
                <c:pt idx="20">
                  <c:v>5.2702988945751775E-2</c:v>
                </c:pt>
                <c:pt idx="21">
                  <c:v>6.8839802118941251E-2</c:v>
                </c:pt>
                <c:pt idx="22">
                  <c:v>5.6737092015494178E-2</c:v>
                </c:pt>
                <c:pt idx="23">
                  <c:v>6.9728316491907291E-2</c:v>
                </c:pt>
                <c:pt idx="24">
                  <c:v>6.9150846939003724E-2</c:v>
                </c:pt>
                <c:pt idx="25">
                  <c:v>6.368280488426234E-2</c:v>
                </c:pt>
                <c:pt idx="26">
                  <c:v>7.1021459155876376E-2</c:v>
                </c:pt>
                <c:pt idx="27">
                  <c:v>6.9775075007213333E-2</c:v>
                </c:pt>
                <c:pt idx="28">
                  <c:v>7.7775257361593755E-2</c:v>
                </c:pt>
                <c:pt idx="29">
                  <c:v>6.7224173331460316E-2</c:v>
                </c:pt>
                <c:pt idx="30">
                  <c:v>7.9791909071325814E-2</c:v>
                </c:pt>
                <c:pt idx="31">
                  <c:v>7.3041486267533054E-2</c:v>
                </c:pt>
                <c:pt idx="32">
                  <c:v>7.8605911713564722E-2</c:v>
                </c:pt>
                <c:pt idx="33">
                  <c:v>6.618250263013313E-2</c:v>
                </c:pt>
                <c:pt idx="34">
                  <c:v>8.1767381162402578E-2</c:v>
                </c:pt>
                <c:pt idx="35">
                  <c:v>7.420676426923567E-2</c:v>
                </c:pt>
                <c:pt idx="36">
                  <c:v>7.7063967088767837E-2</c:v>
                </c:pt>
                <c:pt idx="37">
                  <c:v>6.5180583187011698E-2</c:v>
                </c:pt>
                <c:pt idx="38">
                  <c:v>6.2745604138007005E-2</c:v>
                </c:pt>
                <c:pt idx="39">
                  <c:v>8.8587952531110334E-2</c:v>
                </c:pt>
                <c:pt idx="40">
                  <c:v>7.8634167248722034E-2</c:v>
                </c:pt>
                <c:pt idx="41">
                  <c:v>7.3121614349663466E-2</c:v>
                </c:pt>
                <c:pt idx="42">
                  <c:v>9.0155342137135927E-2</c:v>
                </c:pt>
                <c:pt idx="43">
                  <c:v>8.6199224599470867E-2</c:v>
                </c:pt>
                <c:pt idx="44">
                  <c:v>0.10806996727120016</c:v>
                </c:pt>
                <c:pt idx="45">
                  <c:v>0.11959901063518637</c:v>
                </c:pt>
                <c:pt idx="46">
                  <c:v>0.10206780405842833</c:v>
                </c:pt>
                <c:pt idx="47">
                  <c:v>8.8943084606978001E-2</c:v>
                </c:pt>
                <c:pt idx="48">
                  <c:v>9.0433873999364631E-2</c:v>
                </c:pt>
                <c:pt idx="49">
                  <c:v>9.0774269962104109E-2</c:v>
                </c:pt>
                <c:pt idx="50">
                  <c:v>8.1636261286934547E-2</c:v>
                </c:pt>
                <c:pt idx="51">
                  <c:v>8.9296208565205676E-2</c:v>
                </c:pt>
                <c:pt idx="52">
                  <c:v>8.4546010561729029E-2</c:v>
                </c:pt>
                <c:pt idx="53">
                  <c:v>8.1518417535118778E-2</c:v>
                </c:pt>
                <c:pt idx="54">
                  <c:v>9.3604298649239581E-2</c:v>
                </c:pt>
                <c:pt idx="55">
                  <c:v>8.3797952795379563E-2</c:v>
                </c:pt>
                <c:pt idx="56">
                  <c:v>9.6883233575735375E-2</c:v>
                </c:pt>
                <c:pt idx="57">
                  <c:v>0.10992154399205856</c:v>
                </c:pt>
                <c:pt idx="58">
                  <c:v>8.7030906175076986E-2</c:v>
                </c:pt>
                <c:pt idx="59">
                  <c:v>0.1629130520208534</c:v>
                </c:pt>
                <c:pt idx="60">
                  <c:v>0.16588518740554001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23-BF43-BB5A-F561902D8075}"/>
            </c:ext>
          </c:extLst>
        </c:ser>
        <c:ser>
          <c:idx val="5"/>
          <c:order val="5"/>
          <c:tx>
            <c:strRef>
              <c:f>'Exportaciones tradicionales'!$AF$8</c:f>
              <c:strCache>
                <c:ptCount val="1"/>
                <c:pt idx="0">
                  <c:v>Industria plástica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tradicionales'!$Z$9:$Z$69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'Exportaciones tradicionales'!$AF$9:$AF$69</c:f>
              <c:numCache>
                <c:formatCode>0.000%</c:formatCode>
                <c:ptCount val="61"/>
                <c:pt idx="0">
                  <c:v>5.0085655643154918E-2</c:v>
                </c:pt>
                <c:pt idx="1">
                  <c:v>5.4120734599331692E-2</c:v>
                </c:pt>
                <c:pt idx="2">
                  <c:v>4.4365569298246088E-2</c:v>
                </c:pt>
                <c:pt idx="3">
                  <c:v>5.6261906167148788E-2</c:v>
                </c:pt>
                <c:pt idx="4">
                  <c:v>4.5510048960786552E-2</c:v>
                </c:pt>
                <c:pt idx="5">
                  <c:v>5.1899668636137493E-2</c:v>
                </c:pt>
                <c:pt idx="6">
                  <c:v>5.084593066224815E-2</c:v>
                </c:pt>
                <c:pt idx="7">
                  <c:v>5.0974301321866478E-2</c:v>
                </c:pt>
                <c:pt idx="8">
                  <c:v>4.2237007259153837E-2</c:v>
                </c:pt>
                <c:pt idx="9">
                  <c:v>5.1119698368577167E-2</c:v>
                </c:pt>
                <c:pt idx="10">
                  <c:v>4.1974712049533743E-2</c:v>
                </c:pt>
                <c:pt idx="11">
                  <c:v>4.1647994328765321E-2</c:v>
                </c:pt>
                <c:pt idx="12">
                  <c:v>4.385670665795454E-2</c:v>
                </c:pt>
                <c:pt idx="13">
                  <c:v>4.1645332659387108E-2</c:v>
                </c:pt>
                <c:pt idx="14">
                  <c:v>4.1975517352976513E-2</c:v>
                </c:pt>
                <c:pt idx="15">
                  <c:v>2.6418838288028695E-2</c:v>
                </c:pt>
                <c:pt idx="16">
                  <c:v>3.695234655383877E-2</c:v>
                </c:pt>
                <c:pt idx="17">
                  <c:v>2.8414492709867522E-2</c:v>
                </c:pt>
                <c:pt idx="18">
                  <c:v>3.6543919043564348E-2</c:v>
                </c:pt>
                <c:pt idx="19">
                  <c:v>4.5591790209487157E-2</c:v>
                </c:pt>
                <c:pt idx="20">
                  <c:v>3.3580725899859741E-2</c:v>
                </c:pt>
                <c:pt idx="21">
                  <c:v>3.42324618572247E-2</c:v>
                </c:pt>
                <c:pt idx="22">
                  <c:v>2.793743556513353E-2</c:v>
                </c:pt>
                <c:pt idx="23">
                  <c:v>2.9271124297186871E-2</c:v>
                </c:pt>
                <c:pt idx="24">
                  <c:v>2.9024498852890695E-2</c:v>
                </c:pt>
                <c:pt idx="25">
                  <c:v>2.830278160140863E-2</c:v>
                </c:pt>
                <c:pt idx="26">
                  <c:v>3.1947222392869977E-2</c:v>
                </c:pt>
                <c:pt idx="27">
                  <c:v>3.1016879431248721E-2</c:v>
                </c:pt>
                <c:pt idx="28">
                  <c:v>2.8853433717115799E-2</c:v>
                </c:pt>
                <c:pt idx="29">
                  <c:v>3.2039645276500849E-2</c:v>
                </c:pt>
                <c:pt idx="30">
                  <c:v>2.9200637704896313E-2</c:v>
                </c:pt>
                <c:pt idx="31">
                  <c:v>3.2891380141775617E-2</c:v>
                </c:pt>
                <c:pt idx="32">
                  <c:v>3.1203637418373099E-2</c:v>
                </c:pt>
                <c:pt idx="33">
                  <c:v>3.7312062780707221E-2</c:v>
                </c:pt>
                <c:pt idx="34">
                  <c:v>2.9839114221745278E-2</c:v>
                </c:pt>
                <c:pt idx="35">
                  <c:v>3.2450867662954991E-2</c:v>
                </c:pt>
                <c:pt idx="36">
                  <c:v>3.3432733705000876E-2</c:v>
                </c:pt>
                <c:pt idx="37">
                  <c:v>3.517708705888533E-2</c:v>
                </c:pt>
                <c:pt idx="38">
                  <c:v>3.0831422101234834E-2</c:v>
                </c:pt>
                <c:pt idx="39">
                  <c:v>3.5305243445647484E-2</c:v>
                </c:pt>
                <c:pt idx="40">
                  <c:v>3.127993544394695E-2</c:v>
                </c:pt>
                <c:pt idx="41">
                  <c:v>3.7327429212603298E-2</c:v>
                </c:pt>
                <c:pt idx="42">
                  <c:v>3.3367430681770935E-2</c:v>
                </c:pt>
                <c:pt idx="43">
                  <c:v>3.9622803534509483E-2</c:v>
                </c:pt>
                <c:pt idx="44">
                  <c:v>3.055105926469515E-2</c:v>
                </c:pt>
                <c:pt idx="45">
                  <c:v>3.9750822202869081E-2</c:v>
                </c:pt>
                <c:pt idx="46">
                  <c:v>2.8522947051161641E-2</c:v>
                </c:pt>
                <c:pt idx="47">
                  <c:v>3.1497198702664778E-2</c:v>
                </c:pt>
                <c:pt idx="48">
                  <c:v>3.535027054252364E-2</c:v>
                </c:pt>
                <c:pt idx="49">
                  <c:v>3.4577175492883097E-2</c:v>
                </c:pt>
                <c:pt idx="50">
                  <c:v>3.5700282322373766E-2</c:v>
                </c:pt>
                <c:pt idx="51">
                  <c:v>3.5592865069838234E-2</c:v>
                </c:pt>
                <c:pt idx="52">
                  <c:v>3.2812167688941546E-2</c:v>
                </c:pt>
                <c:pt idx="53">
                  <c:v>3.4914941058773713E-2</c:v>
                </c:pt>
                <c:pt idx="54">
                  <c:v>3.6068134109912338E-2</c:v>
                </c:pt>
                <c:pt idx="55">
                  <c:v>3.469922729658808E-2</c:v>
                </c:pt>
                <c:pt idx="56">
                  <c:v>3.4602648639062129E-2</c:v>
                </c:pt>
                <c:pt idx="57">
                  <c:v>3.9190744041113675E-2</c:v>
                </c:pt>
                <c:pt idx="58">
                  <c:v>3.4766957876976055E-2</c:v>
                </c:pt>
                <c:pt idx="59">
                  <c:v>2.7576966251744713E-2</c:v>
                </c:pt>
                <c:pt idx="60">
                  <c:v>3.4346103187896451E-2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23-BF43-BB5A-F561902D8075}"/>
            </c:ext>
          </c:extLst>
        </c:ser>
        <c:ser>
          <c:idx val="6"/>
          <c:order val="6"/>
          <c:tx>
            <c:strRef>
              <c:f>'Exportaciones tradicionales'!$AG$8</c:f>
              <c:strCache>
                <c:ptCount val="1"/>
                <c:pt idx="0">
                  <c:v>Floricultutra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tradicionales'!$Z$9:$Z$69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'Exportaciones tradicionales'!$AG$9:$AG$69</c:f>
              <c:numCache>
                <c:formatCode>0.000%</c:formatCode>
                <c:ptCount val="61"/>
                <c:pt idx="0">
                  <c:v>4.9887235786758029E-2</c:v>
                </c:pt>
                <c:pt idx="1">
                  <c:v>5.2539949131416235E-2</c:v>
                </c:pt>
                <c:pt idx="2">
                  <c:v>6.0486642991372429E-2</c:v>
                </c:pt>
                <c:pt idx="3">
                  <c:v>4.9492186928152236E-2</c:v>
                </c:pt>
                <c:pt idx="4">
                  <c:v>7.0209053347794842E-2</c:v>
                </c:pt>
                <c:pt idx="5">
                  <c:v>3.9562734710671565E-2</c:v>
                </c:pt>
                <c:pt idx="6">
                  <c:v>3.1000286771235827E-2</c:v>
                </c:pt>
                <c:pt idx="7">
                  <c:v>3.3068276329678015E-2</c:v>
                </c:pt>
                <c:pt idx="8">
                  <c:v>2.571212974608136E-2</c:v>
                </c:pt>
                <c:pt idx="9">
                  <c:v>3.9319552425244139E-2</c:v>
                </c:pt>
                <c:pt idx="10">
                  <c:v>3.4512729925951141E-2</c:v>
                </c:pt>
                <c:pt idx="11">
                  <c:v>3.6189440015354714E-2</c:v>
                </c:pt>
                <c:pt idx="12">
                  <c:v>3.7256620356050464E-2</c:v>
                </c:pt>
                <c:pt idx="13">
                  <c:v>6.1709289132380794E-2</c:v>
                </c:pt>
                <c:pt idx="14">
                  <c:v>4.6787358462058115E-2</c:v>
                </c:pt>
                <c:pt idx="15">
                  <c:v>3.4564375824508914E-2</c:v>
                </c:pt>
                <c:pt idx="16">
                  <c:v>5.4335740239311189E-2</c:v>
                </c:pt>
                <c:pt idx="17">
                  <c:v>3.1816540576051766E-2</c:v>
                </c:pt>
                <c:pt idx="18">
                  <c:v>2.4818305228683623E-2</c:v>
                </c:pt>
                <c:pt idx="19">
                  <c:v>3.2408282948463291E-2</c:v>
                </c:pt>
                <c:pt idx="20">
                  <c:v>2.6249204738130444E-2</c:v>
                </c:pt>
                <c:pt idx="21">
                  <c:v>3.418694054640295E-2</c:v>
                </c:pt>
                <c:pt idx="22">
                  <c:v>3.2845309643185792E-2</c:v>
                </c:pt>
                <c:pt idx="23">
                  <c:v>2.8541639563187112E-2</c:v>
                </c:pt>
                <c:pt idx="24">
                  <c:v>4.261902383347406E-2</c:v>
                </c:pt>
                <c:pt idx="25">
                  <c:v>5.3185324391244362E-2</c:v>
                </c:pt>
                <c:pt idx="26">
                  <c:v>4.8283263575140102E-2</c:v>
                </c:pt>
                <c:pt idx="27">
                  <c:v>3.9247508496264107E-2</c:v>
                </c:pt>
                <c:pt idx="28">
                  <c:v>5.0040071264502488E-2</c:v>
                </c:pt>
                <c:pt idx="29">
                  <c:v>4.3603769560182047E-2</c:v>
                </c:pt>
                <c:pt idx="30">
                  <c:v>5.1993009982711239E-2</c:v>
                </c:pt>
                <c:pt idx="31">
                  <c:v>3.3528022057433021E-2</c:v>
                </c:pt>
                <c:pt idx="32">
                  <c:v>3.33411603139337E-2</c:v>
                </c:pt>
                <c:pt idx="33">
                  <c:v>3.4672638852490216E-2</c:v>
                </c:pt>
                <c:pt idx="34">
                  <c:v>4.0533097874451703E-2</c:v>
                </c:pt>
                <c:pt idx="35">
                  <c:v>3.7319265698880111E-2</c:v>
                </c:pt>
                <c:pt idx="36">
                  <c:v>4.6463788770556784E-2</c:v>
                </c:pt>
                <c:pt idx="37">
                  <c:v>6.692548689978392E-2</c:v>
                </c:pt>
                <c:pt idx="38">
                  <c:v>5.7819395393176119E-2</c:v>
                </c:pt>
                <c:pt idx="39">
                  <c:v>4.0851925743016673E-2</c:v>
                </c:pt>
                <c:pt idx="40">
                  <c:v>5.7840847386847714E-2</c:v>
                </c:pt>
                <c:pt idx="41">
                  <c:v>5.2985567542792614E-2</c:v>
                </c:pt>
                <c:pt idx="42">
                  <c:v>4.6850639093797254E-2</c:v>
                </c:pt>
                <c:pt idx="43">
                  <c:v>3.9760213716405902E-2</c:v>
                </c:pt>
                <c:pt idx="44">
                  <c:v>4.1714596675891093E-2</c:v>
                </c:pt>
                <c:pt idx="45">
                  <c:v>4.1034903254533767E-2</c:v>
                </c:pt>
                <c:pt idx="46">
                  <c:v>4.2214706774284919E-2</c:v>
                </c:pt>
                <c:pt idx="47">
                  <c:v>4.534237974465307E-2</c:v>
                </c:pt>
                <c:pt idx="48">
                  <c:v>5.1031175876402192E-2</c:v>
                </c:pt>
                <c:pt idx="49">
                  <c:v>6.2275175811183879E-2</c:v>
                </c:pt>
                <c:pt idx="50">
                  <c:v>6.2759979650056724E-2</c:v>
                </c:pt>
                <c:pt idx="51">
                  <c:v>4.8307164741855556E-2</c:v>
                </c:pt>
                <c:pt idx="52">
                  <c:v>5.5614182801231239E-2</c:v>
                </c:pt>
                <c:pt idx="53">
                  <c:v>6.8254313468014402E-2</c:v>
                </c:pt>
                <c:pt idx="54">
                  <c:v>3.6714796694252781E-2</c:v>
                </c:pt>
                <c:pt idx="55">
                  <c:v>3.9504256937092239E-2</c:v>
                </c:pt>
                <c:pt idx="56">
                  <c:v>3.4356551712642201E-2</c:v>
                </c:pt>
                <c:pt idx="57">
                  <c:v>3.9683894547890577E-2</c:v>
                </c:pt>
                <c:pt idx="58">
                  <c:v>4.7980751181970191E-2</c:v>
                </c:pt>
                <c:pt idx="59">
                  <c:v>4.0753432524039644E-2</c:v>
                </c:pt>
                <c:pt idx="60">
                  <c:v>4.3686498788008489E-2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23-BF43-BB5A-F561902D8075}"/>
            </c:ext>
          </c:extLst>
        </c:ser>
        <c:ser>
          <c:idx val="7"/>
          <c:order val="7"/>
          <c:tx>
            <c:strRef>
              <c:f>'Exportaciones tradicionales'!$AH$8</c:f>
              <c:strCache>
                <c:ptCount val="1"/>
                <c:pt idx="0">
                  <c:v>Exportaciones tradicionales (eje derecho)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tradicionales'!$Z$9:$Z$69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'Exportaciones tradicionales'!$AH$9:$AH$69</c:f>
              <c:numCache>
                <c:formatCode>0.000%</c:formatCode>
                <c:ptCount val="61"/>
                <c:pt idx="0">
                  <c:v>0.56035880472659194</c:v>
                </c:pt>
                <c:pt idx="1">
                  <c:v>0.52418272283896983</c:v>
                </c:pt>
                <c:pt idx="2">
                  <c:v>0.50123807065453518</c:v>
                </c:pt>
                <c:pt idx="3">
                  <c:v>0.49360607227184472</c:v>
                </c:pt>
                <c:pt idx="4">
                  <c:v>0.54628203143991205</c:v>
                </c:pt>
                <c:pt idx="5">
                  <c:v>0.53583828409469181</c:v>
                </c:pt>
                <c:pt idx="6">
                  <c:v>0.51055148993695565</c:v>
                </c:pt>
                <c:pt idx="7">
                  <c:v>0.53926392629272268</c:v>
                </c:pt>
                <c:pt idx="8">
                  <c:v>0.58539380628928961</c:v>
                </c:pt>
                <c:pt idx="9">
                  <c:v>0.58132254146828655</c:v>
                </c:pt>
                <c:pt idx="10">
                  <c:v>0.58672068027975488</c:v>
                </c:pt>
                <c:pt idx="11">
                  <c:v>0.6001599629801152</c:v>
                </c:pt>
                <c:pt idx="12">
                  <c:v>0.63763321570920217</c:v>
                </c:pt>
                <c:pt idx="13">
                  <c:v>0.57533870779385088</c:v>
                </c:pt>
                <c:pt idx="14">
                  <c:v>0.60915599881024507</c:v>
                </c:pt>
                <c:pt idx="15">
                  <c:v>0.67733433169110013</c:v>
                </c:pt>
                <c:pt idx="16">
                  <c:v>0.58781447936713149</c:v>
                </c:pt>
                <c:pt idx="17">
                  <c:v>0.6744067434436779</c:v>
                </c:pt>
                <c:pt idx="18">
                  <c:v>0.69486522767351344</c:v>
                </c:pt>
                <c:pt idx="19">
                  <c:v>0.59512095079606797</c:v>
                </c:pt>
                <c:pt idx="20">
                  <c:v>0.62685914232341822</c:v>
                </c:pt>
                <c:pt idx="21">
                  <c:v>0.60246910761058237</c:v>
                </c:pt>
                <c:pt idx="22">
                  <c:v>0.62900015829248435</c:v>
                </c:pt>
                <c:pt idx="23">
                  <c:v>0.61493496955496851</c:v>
                </c:pt>
                <c:pt idx="24">
                  <c:v>0.61989827963120281</c:v>
                </c:pt>
                <c:pt idx="25">
                  <c:v>0.60868470085656279</c:v>
                </c:pt>
                <c:pt idx="26">
                  <c:v>0.5606587318983699</c:v>
                </c:pt>
                <c:pt idx="27">
                  <c:v>0.55741178168247218</c:v>
                </c:pt>
                <c:pt idx="28">
                  <c:v>0.54000634254896462</c:v>
                </c:pt>
                <c:pt idx="29">
                  <c:v>0.55390310789447128</c:v>
                </c:pt>
                <c:pt idx="30">
                  <c:v>0.57059360539245785</c:v>
                </c:pt>
                <c:pt idx="31">
                  <c:v>0.55795981384451365</c:v>
                </c:pt>
                <c:pt idx="32">
                  <c:v>0.57979645268901381</c:v>
                </c:pt>
                <c:pt idx="33">
                  <c:v>0.5714182019695957</c:v>
                </c:pt>
                <c:pt idx="34">
                  <c:v>0.55326279988179783</c:v>
                </c:pt>
                <c:pt idx="35">
                  <c:v>0.58510294206643221</c:v>
                </c:pt>
                <c:pt idx="36">
                  <c:v>0.54376872712910518</c:v>
                </c:pt>
                <c:pt idx="37">
                  <c:v>0.53253621855857625</c:v>
                </c:pt>
                <c:pt idx="38">
                  <c:v>0.55111048416523212</c:v>
                </c:pt>
                <c:pt idx="39">
                  <c:v>0.52587833421224695</c:v>
                </c:pt>
                <c:pt idx="40">
                  <c:v>0.5335882795989324</c:v>
                </c:pt>
                <c:pt idx="41">
                  <c:v>0.5381029559635393</c:v>
                </c:pt>
                <c:pt idx="42">
                  <c:v>0.55109879745833434</c:v>
                </c:pt>
                <c:pt idx="43">
                  <c:v>0.52326101313998552</c:v>
                </c:pt>
                <c:pt idx="44">
                  <c:v>0.49347532707223951</c:v>
                </c:pt>
                <c:pt idx="45">
                  <c:v>0.47608831879044372</c:v>
                </c:pt>
                <c:pt idx="46">
                  <c:v>0.53159563254534203</c:v>
                </c:pt>
                <c:pt idx="47">
                  <c:v>0.51789435360575753</c:v>
                </c:pt>
                <c:pt idx="48">
                  <c:v>0.50580194105655907</c:v>
                </c:pt>
                <c:pt idx="49">
                  <c:v>0.47169677071254923</c:v>
                </c:pt>
                <c:pt idx="50">
                  <c:v>0.51501906636735795</c:v>
                </c:pt>
                <c:pt idx="51">
                  <c:v>0.44962620941388848</c:v>
                </c:pt>
                <c:pt idx="52">
                  <c:v>0.47277060091403705</c:v>
                </c:pt>
                <c:pt idx="53">
                  <c:v>0.48146788179567951</c:v>
                </c:pt>
                <c:pt idx="54">
                  <c:v>0.47281038870741621</c:v>
                </c:pt>
                <c:pt idx="55">
                  <c:v>0.459135273343799</c:v>
                </c:pt>
                <c:pt idx="56">
                  <c:v>0.45648319432672951</c:v>
                </c:pt>
                <c:pt idx="57">
                  <c:v>0.45616286470323664</c:v>
                </c:pt>
                <c:pt idx="58">
                  <c:v>0.48156311981848016</c:v>
                </c:pt>
                <c:pt idx="59">
                  <c:v>0.43586418669734533</c:v>
                </c:pt>
                <c:pt idx="60">
                  <c:v>0.46067525850661611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23-BF43-BB5A-F561902D8075}"/>
            </c:ext>
          </c:extLst>
        </c:ser>
        <c:ser>
          <c:idx val="8"/>
          <c:order val="8"/>
          <c:tx>
            <c:strRef>
              <c:f>'Exportaciones tradicionales'!$AI$8</c:f>
              <c:strCache>
                <c:ptCount val="1"/>
                <c:pt idx="0">
                  <c:v>Exportaciones no tradicionales (eje derecho)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'Exportaciones tradicionales'!$Z$9:$Z$69</c:f>
              <c:numCache>
                <c:formatCode>mmm\-yy</c:formatCode>
                <c:ptCount val="61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'Exportaciones tradicionales'!$AI$9:$AI$69</c:f>
              <c:numCache>
                <c:formatCode>0.000%</c:formatCode>
                <c:ptCount val="61"/>
                <c:pt idx="0">
                  <c:v>0.43964119527340806</c:v>
                </c:pt>
                <c:pt idx="1">
                  <c:v>0.47581727716103023</c:v>
                </c:pt>
                <c:pt idx="2">
                  <c:v>0.49876192934546482</c:v>
                </c:pt>
                <c:pt idx="3">
                  <c:v>0.50639392772815528</c:v>
                </c:pt>
                <c:pt idx="4">
                  <c:v>0.45371796856008795</c:v>
                </c:pt>
                <c:pt idx="5">
                  <c:v>0.46416171590530825</c:v>
                </c:pt>
                <c:pt idx="6">
                  <c:v>0.48944851006304435</c:v>
                </c:pt>
                <c:pt idx="7">
                  <c:v>0.46073607370727732</c:v>
                </c:pt>
                <c:pt idx="8">
                  <c:v>0.41460619371071045</c:v>
                </c:pt>
                <c:pt idx="9">
                  <c:v>0.41867745853171345</c:v>
                </c:pt>
                <c:pt idx="10">
                  <c:v>0.41327931972024512</c:v>
                </c:pt>
                <c:pt idx="11">
                  <c:v>0.39984003701988474</c:v>
                </c:pt>
                <c:pt idx="12">
                  <c:v>0.36236678429079788</c:v>
                </c:pt>
                <c:pt idx="13">
                  <c:v>0.42466129220614918</c:v>
                </c:pt>
                <c:pt idx="14">
                  <c:v>0.39084400118975493</c:v>
                </c:pt>
                <c:pt idx="15">
                  <c:v>0.32266566830889981</c:v>
                </c:pt>
                <c:pt idx="16">
                  <c:v>0.41218552063286856</c:v>
                </c:pt>
                <c:pt idx="17">
                  <c:v>0.3255932565563221</c:v>
                </c:pt>
                <c:pt idx="18">
                  <c:v>0.30513477232648661</c:v>
                </c:pt>
                <c:pt idx="19">
                  <c:v>0.40487904920393197</c:v>
                </c:pt>
                <c:pt idx="20">
                  <c:v>0.37314085767658178</c:v>
                </c:pt>
                <c:pt idx="21">
                  <c:v>0.39753089238941769</c:v>
                </c:pt>
                <c:pt idx="22">
                  <c:v>0.37099984170751565</c:v>
                </c:pt>
                <c:pt idx="23">
                  <c:v>0.38506503044503149</c:v>
                </c:pt>
                <c:pt idx="24">
                  <c:v>0.38010172036879719</c:v>
                </c:pt>
                <c:pt idx="25">
                  <c:v>0.39131529914343716</c:v>
                </c:pt>
                <c:pt idx="26">
                  <c:v>0.4393412681016301</c:v>
                </c:pt>
                <c:pt idx="27">
                  <c:v>0.44258821831752782</c:v>
                </c:pt>
                <c:pt idx="28">
                  <c:v>0.45999365745103538</c:v>
                </c:pt>
                <c:pt idx="29">
                  <c:v>0.44609689210552872</c:v>
                </c:pt>
                <c:pt idx="30">
                  <c:v>0.42940639460754215</c:v>
                </c:pt>
                <c:pt idx="31">
                  <c:v>0.44204018615548635</c:v>
                </c:pt>
                <c:pt idx="32">
                  <c:v>0.42020354731098619</c:v>
                </c:pt>
                <c:pt idx="33">
                  <c:v>0.42858179803040436</c:v>
                </c:pt>
                <c:pt idx="34">
                  <c:v>0.44673720011820217</c:v>
                </c:pt>
                <c:pt idx="35">
                  <c:v>0.41489705793356785</c:v>
                </c:pt>
                <c:pt idx="36">
                  <c:v>0.45623127287089482</c:v>
                </c:pt>
                <c:pt idx="37">
                  <c:v>0.46746378144142375</c:v>
                </c:pt>
                <c:pt idx="38">
                  <c:v>0.44888951583476788</c:v>
                </c:pt>
                <c:pt idx="39">
                  <c:v>0.47412166578775311</c:v>
                </c:pt>
                <c:pt idx="40">
                  <c:v>0.46641172040106754</c:v>
                </c:pt>
                <c:pt idx="41">
                  <c:v>0.46189704403646065</c:v>
                </c:pt>
                <c:pt idx="42">
                  <c:v>0.44890120254166566</c:v>
                </c:pt>
                <c:pt idx="43">
                  <c:v>0.47673898686001448</c:v>
                </c:pt>
                <c:pt idx="44">
                  <c:v>0.50652467292776049</c:v>
                </c:pt>
                <c:pt idx="45">
                  <c:v>0.52391168120955622</c:v>
                </c:pt>
                <c:pt idx="46">
                  <c:v>0.46840436745465802</c:v>
                </c:pt>
                <c:pt idx="47">
                  <c:v>0.48210564639424247</c:v>
                </c:pt>
                <c:pt idx="48">
                  <c:v>0.49419805894344093</c:v>
                </c:pt>
                <c:pt idx="49">
                  <c:v>0.52830322928745077</c:v>
                </c:pt>
                <c:pt idx="50">
                  <c:v>0.48498093363264205</c:v>
                </c:pt>
                <c:pt idx="51">
                  <c:v>0.55037379058611158</c:v>
                </c:pt>
                <c:pt idx="52">
                  <c:v>0.527229399085963</c:v>
                </c:pt>
                <c:pt idx="53">
                  <c:v>0.51853211820432044</c:v>
                </c:pt>
                <c:pt idx="54">
                  <c:v>0.52718961129258379</c:v>
                </c:pt>
                <c:pt idx="55">
                  <c:v>0.540864726656201</c:v>
                </c:pt>
                <c:pt idx="56">
                  <c:v>0.54351680567327054</c:v>
                </c:pt>
                <c:pt idx="57">
                  <c:v>0.54383713529676336</c:v>
                </c:pt>
                <c:pt idx="58">
                  <c:v>0.5184368801815199</c:v>
                </c:pt>
                <c:pt idx="59">
                  <c:v>0.56413581330265461</c:v>
                </c:pt>
                <c:pt idx="60">
                  <c:v>0.53932474149338383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23-BF43-BB5A-F561902D8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934768"/>
        <c:axId val="1842594992"/>
      </c:lineChart>
      <c:dateAx>
        <c:axId val="18429347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594992"/>
        <c:crosses val="autoZero"/>
        <c:auto val="1"/>
        <c:lblOffset val="100"/>
        <c:baseTimeUnit val="months"/>
      </c:dateAx>
      <c:valAx>
        <c:axId val="18425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293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894179802971256E-2"/>
          <c:y val="5.1431352581986438E-2"/>
          <c:w val="0.8726221599408045"/>
          <c:h val="0.5616594544963224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'participaciones IED'!$C$44</c:f>
              <c:strCache>
                <c:ptCount val="1"/>
                <c:pt idx="0">
                  <c:v>Sector petrolero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'participaciones IED'!$B$45:$B$51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'participaciones IED'!$C$45:$C$51</c:f>
              <c:numCache>
                <c:formatCode>General</c:formatCode>
                <c:ptCount val="7"/>
                <c:pt idx="0">
                  <c:v>0.19697064389265267</c:v>
                </c:pt>
                <c:pt idx="1">
                  <c:v>6.1315596923545254E-2</c:v>
                </c:pt>
                <c:pt idx="2">
                  <c:v>9.5762456169348475E-2</c:v>
                </c:pt>
                <c:pt idx="3">
                  <c:v>0.16678378153180839</c:v>
                </c:pt>
                <c:pt idx="4">
                  <c:v>0.18210586082399513</c:v>
                </c:pt>
                <c:pt idx="5">
                  <c:v>0.15098103385021686</c:v>
                </c:pt>
                <c:pt idx="6">
                  <c:v>0.21781063546085674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C5-DD47-93D5-176783B95436}"/>
            </c:ext>
          </c:extLst>
        </c:ser>
        <c:ser>
          <c:idx val="2"/>
          <c:order val="1"/>
          <c:tx>
            <c:strRef>
              <c:f>'participaciones IED'!$F$44</c:f>
              <c:strCache>
                <c:ptCount val="1"/>
                <c:pt idx="0">
                  <c:v>Explotación de minas y canteras (incluye carbón)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'participaciones IED'!$B$45:$B$51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'participaciones IED'!$F$45:$F$51</c:f>
              <c:numCache>
                <c:formatCode>General</c:formatCode>
                <c:ptCount val="7"/>
                <c:pt idx="0">
                  <c:v>9.7328105662191661E-2</c:v>
                </c:pt>
                <c:pt idx="1">
                  <c:v>5.8780483014166947E-2</c:v>
                </c:pt>
                <c:pt idx="2">
                  <c:v>2.4535674061290078E-2</c:v>
                </c:pt>
                <c:pt idx="3">
                  <c:v>6.9189149247978615E-2</c:v>
                </c:pt>
                <c:pt idx="4">
                  <c:v>0.20498315728565747</c:v>
                </c:pt>
                <c:pt idx="5">
                  <c:v>8.2752405479275412E-2</c:v>
                </c:pt>
                <c:pt idx="6">
                  <c:v>1.3861194431504331E-2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C5-DD47-93D5-176783B95436}"/>
            </c:ext>
          </c:extLst>
        </c:ser>
        <c:ser>
          <c:idx val="3"/>
          <c:order val="2"/>
          <c:tx>
            <c:strRef>
              <c:f>'participaciones IED'!$G$44</c:f>
              <c:strCache>
                <c:ptCount val="1"/>
                <c:pt idx="0">
                  <c:v>Industrias manufactureras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'participaciones IED'!$B$45:$B$51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'participaciones IED'!$G$45:$G$51</c:f>
              <c:numCache>
                <c:formatCode>General</c:formatCode>
                <c:ptCount val="7"/>
                <c:pt idx="0">
                  <c:v>0.10717206676826789</c:v>
                </c:pt>
                <c:pt idx="1">
                  <c:v>0.11985376734514336</c:v>
                </c:pt>
                <c:pt idx="2">
                  <c:v>0.17980759135423155</c:v>
                </c:pt>
                <c:pt idx="3">
                  <c:v>8.7766335737766557E-2</c:v>
                </c:pt>
                <c:pt idx="4">
                  <c:v>0.17667587703962273</c:v>
                </c:pt>
                <c:pt idx="5">
                  <c:v>0.1539874988782248</c:v>
                </c:pt>
                <c:pt idx="6">
                  <c:v>0.14794938652558043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C5-DD47-93D5-176783B95436}"/>
            </c:ext>
          </c:extLst>
        </c:ser>
        <c:ser>
          <c:idx val="4"/>
          <c:order val="3"/>
          <c:tx>
            <c:strRef>
              <c:f>'participaciones IED'!$L$44</c:f>
              <c:strCache>
                <c:ptCount val="1"/>
                <c:pt idx="0">
                  <c:v>Servicios financieros y empresariales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'participaciones IED'!$B$45:$B$51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'participaciones IED'!$L$45:$L$51</c:f>
              <c:numCache>
                <c:formatCode>General</c:formatCode>
                <c:ptCount val="7"/>
                <c:pt idx="0">
                  <c:v>0.22390871228221179</c:v>
                </c:pt>
                <c:pt idx="1">
                  <c:v>0.25748237047295242</c:v>
                </c:pt>
                <c:pt idx="2">
                  <c:v>0.25125891958877461</c:v>
                </c:pt>
                <c:pt idx="3">
                  <c:v>0.3525366399867757</c:v>
                </c:pt>
                <c:pt idx="4">
                  <c:v>0.16259443377361324</c:v>
                </c:pt>
                <c:pt idx="5">
                  <c:v>0.31028120534348969</c:v>
                </c:pt>
                <c:pt idx="6">
                  <c:v>0.31502728285754394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C5-DD47-93D5-176783B95436}"/>
            </c:ext>
          </c:extLst>
        </c:ser>
        <c:ser>
          <c:idx val="5"/>
          <c:order val="4"/>
          <c:tx>
            <c:strRef>
              <c:f>'participaciones IED'!$N$44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'participaciones IED'!$B$45:$B$51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'participaciones IED'!$N$45:$N$51</c:f>
              <c:numCache>
                <c:formatCode>General</c:formatCode>
                <c:ptCount val="7"/>
                <c:pt idx="0">
                  <c:v>0.22269513534774824</c:v>
                </c:pt>
                <c:pt idx="1">
                  <c:v>0.3890642828656411</c:v>
                </c:pt>
                <c:pt idx="2">
                  <c:v>0.34850805900067255</c:v>
                </c:pt>
                <c:pt idx="3">
                  <c:v>0.23399684700439405</c:v>
                </c:pt>
                <c:pt idx="4">
                  <c:v>0.18969152803634237</c:v>
                </c:pt>
                <c:pt idx="5">
                  <c:v>0.1620905843477892</c:v>
                </c:pt>
                <c:pt idx="6">
                  <c:v>0.20911161244346002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C5-DD47-93D5-176783B95436}"/>
            </c:ext>
          </c:extLst>
        </c:ser>
        <c:ser>
          <c:idx val="6"/>
          <c:order val="5"/>
          <c:tx>
            <c:strRef>
              <c:f>'participaciones IED'!$J$44</c:f>
              <c:strCache>
                <c:ptCount val="1"/>
                <c:pt idx="0">
                  <c:v>Comercio al por mayor y al por menor, restaurantes y hoteles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'participaciones IED'!$B$45:$B$51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'participaciones IED'!$J$45:$J$51</c:f>
              <c:numCache>
                <c:formatCode>General</c:formatCode>
                <c:ptCount val="7"/>
                <c:pt idx="0">
                  <c:v>0.15192533604692784</c:v>
                </c:pt>
                <c:pt idx="1">
                  <c:v>0.11350349937855117</c:v>
                </c:pt>
                <c:pt idx="2">
                  <c:v>0.10012729982568337</c:v>
                </c:pt>
                <c:pt idx="3">
                  <c:v>8.9727246491276419E-2</c:v>
                </c:pt>
                <c:pt idx="4">
                  <c:v>8.3949143040768934E-2</c:v>
                </c:pt>
                <c:pt idx="5">
                  <c:v>0.13990727210100318</c:v>
                </c:pt>
                <c:pt idx="6">
                  <c:v>9.623988828105455E-2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0C5-DD47-93D5-176783B95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4324576"/>
        <c:axId val="1044336576"/>
      </c:barChart>
      <c:catAx>
        <c:axId val="104432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336576"/>
        <c:crosses val="autoZero"/>
        <c:auto val="1"/>
        <c:lblAlgn val="ctr"/>
        <c:lblOffset val="100"/>
        <c:noMultiLvlLbl val="0"/>
      </c:catAx>
      <c:valAx>
        <c:axId val="1044336576"/>
        <c:scaling>
          <c:orientation val="minMax"/>
          <c:max val="1"/>
          <c:min val="-0.2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3245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68740374450737252"/>
          <c:w val="0.81207283464566937"/>
          <c:h val="0.279523761929115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500147</xdr:colOff>
      <xdr:row>1</xdr:row>
      <xdr:rowOff>31749</xdr:rowOff>
    </xdr:from>
    <xdr:to>
      <xdr:col>17</xdr:col>
      <xdr:colOff>656820</xdr:colOff>
      <xdr:row>24</xdr:row>
      <xdr:rowOff>60928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2E5631-5F1A-462E-AE46-8011D2BA9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478811</xdr:colOff>
      <xdr:row>2</xdr:row>
      <xdr:rowOff>153012</xdr:rowOff>
    </xdr:from>
    <xdr:to>
      <xdr:col>24</xdr:col>
      <xdr:colOff>688555</xdr:colOff>
      <xdr:row>34</xdr:row>
      <xdr:rowOff>15301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77655F-93FF-4553-95F4-E61167B22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189913</xdr:colOff>
      <xdr:row>1</xdr:row>
      <xdr:rowOff>-1</xdr:rowOff>
    </xdr:from>
    <xdr:to>
      <xdr:col>48</xdr:col>
      <xdr:colOff>428255</xdr:colOff>
      <xdr:row>26</xdr:row>
      <xdr:rowOff>14766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41BA04-2746-0B9C-97B3-FB6A7B55D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647095</xdr:colOff>
      <xdr:row>44</xdr:row>
      <xdr:rowOff>4234</xdr:rowOff>
    </xdr:from>
    <xdr:to>
      <xdr:col>61</xdr:col>
      <xdr:colOff>60476</xdr:colOff>
      <xdr:row>99</xdr:row>
      <xdr:rowOff>90714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135FC9-623E-A0A3-A364-6A2C2F601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284243</xdr:colOff>
      <xdr:row>25</xdr:row>
      <xdr:rowOff>44957</xdr:rowOff>
    </xdr:from>
    <xdr:to>
      <xdr:col>22</xdr:col>
      <xdr:colOff>325074</xdr:colOff>
      <xdr:row>40</xdr:row>
      <xdr:rowOff>54400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51ADC4F-B17B-7240-817C-2874E8344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EB3D02-ED3B-424D-8529-7E5E60BB6A33}" name="Tabla5" displayName="Tabla5" ref="F1:H22" totalsRowShown="0" headerRowDxfId="62" tableBorderDxfId="61">
  <autoFilter ref="F1:H22" xr:uid="{0BEB3D02-ED3B-424D-8529-7E5E60BB6A33}"/>
  <tableColumns count="3">
    <tableColumn id="1" xr3:uid="{2764EBAD-35ED-3C41-B0E8-351EB84EDA4C}" name="año" dataDxfId="60"/>
    <tableColumn id="2" xr3:uid="{85EF2A85-00DF-E944-A39A-31D9B47313AF}" name="Trimestre" dataDxfId="59"/>
    <tableColumn id="3" xr3:uid="{CB8461C2-7856-C745-BB65-55D722116FA1}" name="Promedio trimestral" dataDxfId="58">
      <calculatedColumnFormula>AVERAGEIFS(D:D, B:B, F2, C:C, G2)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3C5F9D-E96F-E04C-9085-E048E36E0995}" name="Tabla6" displayName="Tabla6" ref="A1:D76" totalsRowShown="0" headerRowDxfId="57" dataDxfId="55" headerRowBorderDxfId="56" tableBorderDxfId="54">
  <autoFilter ref="A1:D76" xr:uid="{DD3C5F9D-E96F-E04C-9085-E048E36E0995}"/>
  <tableColumns count="4">
    <tableColumn id="1" xr3:uid="{B8868D4A-6250-8E48-9E7D-2A290EC94A2C}" name="Fecha (dd/mm/aaaa)" dataDxfId="53"/>
    <tableColumn id="2" xr3:uid="{05324316-68A4-D34E-B158-68A9553E7222}" name="año" dataDxfId="52">
      <calculatedColumnFormula>YEAR(A2)</calculatedColumnFormula>
    </tableColumn>
    <tableColumn id="3" xr3:uid="{9F623AC2-09F7-A641-9080-51DAD709B23A}" name="Trimestre" dataDxfId="51">
      <calculatedColumnFormula>INT((MONTH(A2)-1)/3)+1</calculatedColumnFormula>
    </tableColumn>
    <tableColumn id="4" xr3:uid="{4D18634B-DED6-7541-B92B-4D0B93254F2F}" name="Promedio mensual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A2E1D2-59DE-E74A-BEB8-B3615EF814E0}" name="Tabla7" displayName="Tabla7" ref="J1:K25" totalsRowShown="0" headerRowDxfId="49" dataDxfId="48">
  <autoFilter ref="J1:K25" xr:uid="{00A2E1D2-59DE-E74A-BEB8-B3615EF814E0}"/>
  <tableColumns count="2">
    <tableColumn id="1" xr3:uid="{C067A77A-FFEB-FB4C-8A0D-8390640BCEC6}" name="Fecha (dd/mm/aaaa)" dataDxfId="47"/>
    <tableColumn id="2" xr3:uid="{D856AA36-5607-F843-85CB-C8E168615FA4}" name="Producto interno bruto Valor (Miles de millones COP)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88A848-8023-E345-B488-1DB7F700825A}" name="Tabla8" displayName="Tabla8" ref="M1:O21" totalsRowShown="0" tableBorderDxfId="45">
  <autoFilter ref="M1:O21" xr:uid="{E288A848-8023-E345-B488-1DB7F700825A}"/>
  <tableColumns count="3">
    <tableColumn id="1" xr3:uid="{177CDC5E-6A27-BA44-A740-552D6A27F829}" name="año" dataDxfId="44"/>
    <tableColumn id="2" xr3:uid="{7D8D3FD2-E336-D647-AE8D-9534EBB912BA}" name="Trimestre" dataDxfId="43"/>
    <tableColumn id="3" xr3:uid="{1A2E87A9-C471-5A42-8EBB-019026D17B50}" name="Producto interno bruto Valor (Miles de millones USD)" dataDxfId="42">
      <calculatedColumnFormula>+K6/Tabla5[[#This Row],[Promedio trimestral]]*1000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885BE-2D03-8D46-ABA6-1E0B0C2E596A}" name="Tabla1" displayName="Tabla1" ref="Z8:AI70" totalsRowShown="0" dataDxfId="41" tableBorderDxfId="40" dataCellStyle="Porcentaje">
  <autoFilter ref="Z8:AI70" xr:uid="{27E885BE-2D03-8D46-ABA6-1E0B0C2E596A}"/>
  <tableColumns count="10">
    <tableColumn id="1" xr3:uid="{EDF9F7DC-F5A5-6E40-8A46-1A7C21A85302}" name="mes">
      <calculatedColumnFormula>+A30</calculatedColumnFormula>
    </tableColumn>
    <tableColumn id="2" xr3:uid="{D8E6FE80-095D-A844-88AF-8207C03CA512}" name="Café" dataDxfId="39">
      <calculatedColumnFormula>+C30/$S30</calculatedColumnFormula>
    </tableColumn>
    <tableColumn id="3" xr3:uid="{28EAB795-BD07-9F40-8571-BA02459345E9}" name="Carbón" dataDxfId="38">
      <calculatedColumnFormula>+F30/$S30</calculatedColumnFormula>
    </tableColumn>
    <tableColumn id="4" xr3:uid="{A13B5FF6-45F3-C043-811B-8CA98D18BF48}" name="Petróleo y derivados" dataDxfId="37">
      <calculatedColumnFormula>+I30/$S30</calculatedColumnFormula>
    </tableColumn>
    <tableColumn id="5" xr3:uid="{8EED7F25-4A18-B249-8D49-1E675EDCCAD0}" name="Ferroníquel" dataDxfId="36">
      <calculatedColumnFormula>+L30/$S30</calculatedColumnFormula>
    </tableColumn>
    <tableColumn id="6" xr3:uid="{B5565A4B-DB0A-4549-ABF7-A9EBC1466E7A}" name="Piedras y metales preciosos" dataDxfId="35" dataCellStyle="Porcentaje">
      <calculatedColumnFormula>+T30/$S30</calculatedColumnFormula>
    </tableColumn>
    <tableColumn id="7" xr3:uid="{141D19A2-3781-7B41-8CCD-D97D773B8CF5}" name="Industria plástica" dataDxfId="34" dataCellStyle="Porcentaje">
      <calculatedColumnFormula>+U30/$S30</calculatedColumnFormula>
    </tableColumn>
    <tableColumn id="8" xr3:uid="{5F37018D-7FA4-3342-B819-29BE3D5DB2F5}" name="Floricultutra" dataDxfId="33" dataCellStyle="Porcentaje">
      <calculatedColumnFormula>+V30/$S30</calculatedColumnFormula>
    </tableColumn>
    <tableColumn id="9" xr3:uid="{2701F88F-F8BB-ED4B-B26B-DC9B040776E8}" name="Exportaciones tradicionales (eje derecho)" dataDxfId="32">
      <calculatedColumnFormula>+O30/$S30</calculatedColumnFormula>
    </tableColumn>
    <tableColumn id="10" xr3:uid="{4FB3B06F-9313-364A-9968-5ABE758B47C3}" name="Exportaciones no tradicionales (eje derecho)" dataDxfId="31">
      <calculatedColumnFormula>+Q30/$S30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9DED0A-D61C-1949-8F91-3F68148C6E1A}" name="Tabla2" displayName="Tabla2" ref="B33:N40" totalsRowShown="0" headerRowDxfId="30" dataDxfId="29">
  <autoFilter ref="B33:N40" xr:uid="{A19DED0A-D61C-1949-8F91-3F68148C6E1A}"/>
  <tableColumns count="13">
    <tableColumn id="1" xr3:uid="{6F9EBBAD-371C-5849-8511-4E9D677D35A8}" name="año" dataDxfId="28"/>
    <tableColumn id="2" xr3:uid="{352FD25D-1F1E-F04A-A2F8-93362D6D7F39}" name="Sector petrolero" dataDxfId="27">
      <calculatedColumnFormula>SUMIF($A$2:$A$29,$B34,C$2:C$29)</calculatedColumnFormula>
    </tableColumn>
    <tableColumn id="3" xr3:uid="{E9C69343-EAC5-0545-82CE-81972FF68BE3}" name="Subtotal Resto de Sectores" dataDxfId="26">
      <calculatedColumnFormula>SUMIF($A$2:$A$29,$B34,D$2:D$29)</calculatedColumnFormula>
    </tableColumn>
    <tableColumn id="4" xr3:uid="{133C9D01-DFCB-B74B-B957-D7F4D0340617}" name="Agricultura, caza, silvicultura y pesca" dataDxfId="25">
      <calculatedColumnFormula>SUMIF($A$2:$A$29,$B34,E$2:E$29)</calculatedColumnFormula>
    </tableColumn>
    <tableColumn id="5" xr3:uid="{94450DE4-9600-F54C-BE0C-41F39587928A}" name="Explotación de minas y canteras (incluye carbón)" dataDxfId="24">
      <calculatedColumnFormula>SUMIF($A$2:$A$29,$B34,F$2:F$29)</calculatedColumnFormula>
    </tableColumn>
    <tableColumn id="6" xr3:uid="{DB6315E8-F742-5F41-88D7-96DF7DFF72B7}" name="Industrias manufactureras" dataDxfId="23">
      <calculatedColumnFormula>SUMIF($A$2:$A$29,$B34,G$2:G$29)</calculatedColumnFormula>
    </tableColumn>
    <tableColumn id="7" xr3:uid="{676306A8-FFD3-BF44-877F-D5218DEB858C}" name="Electricidad, gas y agua" dataDxfId="22">
      <calculatedColumnFormula>SUMIF($A$2:$A$29,$B34,H$2:H$29)</calculatedColumnFormula>
    </tableColumn>
    <tableColumn id="8" xr3:uid="{2155A1DE-787A-7F40-BD58-F6E565F7AA0C}" name="Construcción" dataDxfId="21">
      <calculatedColumnFormula>SUMIF($A$2:$A$29,$B34,I$2:I$29)</calculatedColumnFormula>
    </tableColumn>
    <tableColumn id="9" xr3:uid="{A7D8511E-B995-0D4B-858B-456DFE2AB432}" name="Comercio al por mayor y al por menor, restaurantes y hoteles" dataDxfId="20">
      <calculatedColumnFormula>SUMIF($A$2:$A$29,$B34,J$2:J$29)</calculatedColumnFormula>
    </tableColumn>
    <tableColumn id="10" xr3:uid="{DCC85B0A-5D3F-7642-A0E6-6E0A7C920C55}" name="Transportes, almacenamiento y comunicaciones" dataDxfId="19">
      <calculatedColumnFormula>SUMIF($A$2:$A$29,$B34,K$2:K$29)</calculatedColumnFormula>
    </tableColumn>
    <tableColumn id="11" xr3:uid="{3D5E31CD-67A0-774A-A186-2D1B9679A261}" name="Servicios financieros y empresariales" dataDxfId="18">
      <calculatedColumnFormula>SUMIF($A$2:$A$29,$B34,L$2:L$29)</calculatedColumnFormula>
    </tableColumn>
    <tableColumn id="12" xr3:uid="{9939E9FF-A3D1-8646-AA1D-9C4DDD050CED}" name="Servicios comunales sociales y personales" dataDxfId="17">
      <calculatedColumnFormula>SUMIF($A$2:$A$29,$B34,M$2:M$29)</calculatedColumnFormula>
    </tableColumn>
    <tableColumn id="13" xr3:uid="{7477F816-C067-F347-9EE6-2F850F4C6713}" name="Total actividades económicas" dataDxfId="16">
      <calculatedColumnFormula>SUMIF($A$2:$A$29,$B34,N$2:N$29)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F5CD16-DD37-C74B-82C4-C6FBDD3D596A}" name="Tabla24" displayName="Tabla24" ref="B44:O51" totalsRowShown="0" headerRowDxfId="15" dataDxfId="14">
  <autoFilter ref="B44:O51" xr:uid="{D4F5CD16-DD37-C74B-82C4-C6FBDD3D596A}"/>
  <tableColumns count="14">
    <tableColumn id="1" xr3:uid="{E0B1C5EA-9A19-7E42-A2F2-8422C4A3E6A1}" name="año" dataDxfId="13"/>
    <tableColumn id="2" xr3:uid="{587441BC-29F4-4A49-807C-064055519A4A}" name="Sector petrolero" dataDxfId="12">
      <calculatedColumnFormula>+C35/N35</calculatedColumnFormula>
    </tableColumn>
    <tableColumn id="3" xr3:uid="{363D599A-0B74-0E44-805D-877C1FD1417B}" name="Subtotal Resto de Sectores" dataDxfId="11">
      <calculatedColumnFormula>+D35/$N35</calculatedColumnFormula>
    </tableColumn>
    <tableColumn id="4" xr3:uid="{68CEFC77-3AB8-6B45-A803-00408FAE5702}" name="Agricultura, caza, silvicultura y pesca" dataDxfId="10">
      <calculatedColumnFormula>+E35/$N35</calculatedColumnFormula>
    </tableColumn>
    <tableColumn id="5" xr3:uid="{3FDAAEB2-2058-8544-BC96-457B18E30DC6}" name="Explotación de minas y canteras (incluye carbón)" dataDxfId="9">
      <calculatedColumnFormula>+F35/$N35</calculatedColumnFormula>
    </tableColumn>
    <tableColumn id="6" xr3:uid="{0517AB0B-8C38-5A41-BFA6-CA2C35E46D7F}" name="Industrias manufactureras" dataDxfId="8">
      <calculatedColumnFormula>+G35/$N35</calculatedColumnFormula>
    </tableColumn>
    <tableColumn id="7" xr3:uid="{DC615DBA-0AF2-2147-B869-D97C2B278B70}" name="Electricidad, gas y agua" dataDxfId="7">
      <calculatedColumnFormula>+H35/$N35</calculatedColumnFormula>
    </tableColumn>
    <tableColumn id="8" xr3:uid="{8E7267E9-574C-D740-87F3-3152D515C49D}" name="Construcción" dataDxfId="6">
      <calculatedColumnFormula>+I35/$N35</calculatedColumnFormula>
    </tableColumn>
    <tableColumn id="9" xr3:uid="{E11A01E4-6342-CB4C-9CD7-18F65F269B31}" name="Comercio al por mayor y al por menor, restaurantes y hoteles" dataDxfId="5">
      <calculatedColumnFormula>+J35/$N35</calculatedColumnFormula>
    </tableColumn>
    <tableColumn id="10" xr3:uid="{17A1E32D-652D-804D-ABBB-EDCA9366242F}" name="Transportes, almacenamiento y comunicaciones" dataDxfId="4">
      <calculatedColumnFormula>+K35/$N35</calculatedColumnFormula>
    </tableColumn>
    <tableColumn id="11" xr3:uid="{3F71AD83-AC04-784F-8328-33B0393FF9B4}" name="Servicios financieros y empresariales" dataDxfId="3">
      <calculatedColumnFormula>+L35/$N35</calculatedColumnFormula>
    </tableColumn>
    <tableColumn id="12" xr3:uid="{3AADEB1D-B60D-3A4A-ABF2-2E2E658E6132}" name="Servicios comunales sociales y personales" dataDxfId="2">
      <calculatedColumnFormula>+M35/$N35</calculatedColumnFormula>
    </tableColumn>
    <tableColumn id="14" xr3:uid="{B3EE6F4C-20CF-B547-B66B-8906E92B6067}" name="Otros" dataDxfId="1">
      <calculatedColumnFormula>+Tabla24[[#This Row],[Agricultura, caza, silvicultura y pesca]]+Tabla24[[#This Row],[Electricidad, gas y agua]]+Tabla24[[#This Row],[Construcción]]+Tabla24[[#This Row],[Transportes, almacenamiento y comunicaciones]]+Tabla24[[#This Row],[Servicios comunales sociales y personales]]</calculatedColumnFormula>
    </tableColumn>
    <tableColumn id="15" xr3:uid="{6388BE55-EAFA-FE48-950A-F0483D992AAB}" name="Total" dataDxfId="0">
      <calculatedColumnFormula>+Tabla24[[#This Row],[Otros]]+Tabla24[[#This Row],[Servicios financieros y empresariales]]+Tabla24[[#This Row],[Comercio al por mayor y al por menor, restaurantes y hoteles]]+Tabla24[[#This Row],[Industrias manufactureras]]++Tabla24[[#This Row],[Explotación de minas y canteras (incluye carbón)]]+Tabla24[[#This Row],[Sector petrolero]]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C19833-AE5E-DB4F-B72C-7B4F890A029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e8e8dd4-2f73-4e53-9fa5-ef0328b7284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9CD1-BEBC-49C8-A03B-1AF91071FAE3}">
  <dimension ref="A1:L49"/>
  <sheetViews>
    <sheetView topLeftCell="F1" zoomScale="142" zoomScaleNormal="161" workbookViewId="0">
      <selection activeCell="F42" sqref="F42"/>
    </sheetView>
  </sheetViews>
  <sheetFormatPr baseColWidth="10" defaultRowHeight="15"/>
  <cols>
    <col min="3" max="3" width="16.5" bestFit="1" customWidth="1"/>
    <col min="4" max="4" width="18.33203125" bestFit="1" customWidth="1"/>
    <col min="5" max="5" width="30.5" bestFit="1" customWidth="1"/>
    <col min="6" max="6" width="40" bestFit="1" customWidth="1"/>
    <col min="7" max="7" width="13.83203125" bestFit="1" customWidth="1"/>
    <col min="9" max="9" width="19.6640625" bestFit="1" customWidth="1"/>
    <col min="14" max="14" width="46.83203125" bestFit="1" customWidth="1"/>
    <col min="15" max="15" width="18.33203125" bestFit="1" customWidth="1"/>
    <col min="16" max="16" width="19.83203125" bestFit="1" customWidth="1"/>
  </cols>
  <sheetData>
    <row r="1" spans="1:9">
      <c r="A1" s="86" t="s">
        <v>0</v>
      </c>
      <c r="C1" s="125" t="s">
        <v>431</v>
      </c>
      <c r="D1" s="2" t="s">
        <v>432</v>
      </c>
      <c r="E1" s="2" t="s">
        <v>433</v>
      </c>
      <c r="F1" s="2" t="s">
        <v>434</v>
      </c>
      <c r="G1" s="2" t="s">
        <v>360</v>
      </c>
      <c r="H1" s="2" t="s">
        <v>435</v>
      </c>
      <c r="I1" s="2" t="s">
        <v>436</v>
      </c>
    </row>
    <row r="2" spans="1:9">
      <c r="A2" s="138">
        <v>2021</v>
      </c>
      <c r="B2" t="s">
        <v>1</v>
      </c>
      <c r="C2" s="58">
        <v>-2587.520595</v>
      </c>
      <c r="D2" s="58">
        <v>-1100.5483449999999</v>
      </c>
      <c r="E2" s="58">
        <v>-1867.196958</v>
      </c>
      <c r="F2" s="58">
        <v>2450.1725879999999</v>
      </c>
      <c r="G2" s="105">
        <f>+C2+D2+E2+F2</f>
        <v>-3105.0933099999997</v>
      </c>
      <c r="H2" s="123">
        <v>77009.381297782165</v>
      </c>
      <c r="I2" s="131">
        <f>+G2/H2</f>
        <v>-4.0320974635455552E-2</v>
      </c>
    </row>
    <row r="3" spans="1:9">
      <c r="A3" s="138"/>
      <c r="B3" t="s">
        <v>2</v>
      </c>
      <c r="C3" s="58">
        <v>-3548.1394759999998</v>
      </c>
      <c r="D3" s="58">
        <v>-1473.5711200000001</v>
      </c>
      <c r="E3" s="58">
        <v>-1652.067106</v>
      </c>
      <c r="F3" s="58">
        <v>2626.5442598999998</v>
      </c>
      <c r="G3">
        <v>-4047.2334420000002</v>
      </c>
      <c r="H3" s="124">
        <v>73783.912111543061</v>
      </c>
      <c r="I3" s="131">
        <f t="shared" ref="I3:I21" si="0">+G3/H3</f>
        <v>-5.4852519013651409E-2</v>
      </c>
    </row>
    <row r="4" spans="1:9">
      <c r="A4" s="138"/>
      <c r="B4" t="s">
        <v>3</v>
      </c>
      <c r="C4" s="58">
        <v>-3692.5201109999998</v>
      </c>
      <c r="D4" s="58">
        <v>-1566.1433119999999</v>
      </c>
      <c r="E4" s="58">
        <v>-2339.0876250000001</v>
      </c>
      <c r="F4" s="58">
        <v>2762.9165349999998</v>
      </c>
      <c r="G4">
        <v>-4834.8345140000001</v>
      </c>
      <c r="H4" s="123">
        <v>80312.920414816894</v>
      </c>
      <c r="I4" s="131">
        <f t="shared" si="0"/>
        <v>-6.0199958973326334E-2</v>
      </c>
    </row>
    <row r="5" spans="1:9">
      <c r="A5" s="138"/>
      <c r="B5" t="s">
        <v>4</v>
      </c>
      <c r="C5" s="58">
        <v>-4155.4611080000004</v>
      </c>
      <c r="D5" s="58">
        <v>-1876.7750920000001</v>
      </c>
      <c r="E5" s="58">
        <v>-2864.9071920000001</v>
      </c>
      <c r="F5" s="58">
        <v>2934.9017116999999</v>
      </c>
      <c r="G5">
        <v>-5962.2416800000001</v>
      </c>
      <c r="H5" s="124">
        <v>86926.558115942811</v>
      </c>
      <c r="I5" s="131">
        <f t="shared" si="0"/>
        <v>-6.858941397458243E-2</v>
      </c>
    </row>
    <row r="6" spans="1:9">
      <c r="A6" s="138">
        <v>2022</v>
      </c>
      <c r="B6" t="s">
        <v>1</v>
      </c>
      <c r="C6" s="58">
        <v>-3733.9745189999999</v>
      </c>
      <c r="D6" s="58">
        <v>-1223.5550430000001</v>
      </c>
      <c r="E6" s="58">
        <v>-3616.8406690000002</v>
      </c>
      <c r="F6" s="58">
        <v>3176.4941878999998</v>
      </c>
      <c r="G6">
        <v>-5397.8760430000002</v>
      </c>
      <c r="H6" s="123">
        <v>86147.800068675759</v>
      </c>
      <c r="I6" s="131">
        <f t="shared" si="0"/>
        <v>-6.2658315577378568E-2</v>
      </c>
    </row>
    <row r="7" spans="1:9">
      <c r="A7" s="138"/>
      <c r="B7" t="s">
        <v>2</v>
      </c>
      <c r="C7" s="58">
        <v>-1974.6221410000001</v>
      </c>
      <c r="D7" s="58">
        <v>-1071.565873</v>
      </c>
      <c r="E7" s="58">
        <v>-4530.5394310000001</v>
      </c>
      <c r="F7" s="58">
        <v>2828.6900346000002</v>
      </c>
      <c r="G7">
        <v>-4748.0374089999996</v>
      </c>
      <c r="H7" s="124">
        <v>90433.954858169207</v>
      </c>
      <c r="I7" s="131">
        <f t="shared" si="0"/>
        <v>-5.2502817292979342E-2</v>
      </c>
    </row>
    <row r="8" spans="1:9">
      <c r="A8" s="138"/>
      <c r="B8" t="s">
        <v>3</v>
      </c>
      <c r="C8" s="58">
        <v>-3684.4672150000001</v>
      </c>
      <c r="D8" s="58">
        <v>-731.68314559999999</v>
      </c>
      <c r="E8" s="58">
        <v>-4794.7434119999998</v>
      </c>
      <c r="F8" s="58">
        <v>3103.6650636999998</v>
      </c>
      <c r="G8">
        <v>-6107.228709</v>
      </c>
      <c r="H8" s="123">
        <v>87864.978409863732</v>
      </c>
      <c r="I8" s="131">
        <f t="shared" si="0"/>
        <v>-6.9506973307517497E-2</v>
      </c>
    </row>
    <row r="9" spans="1:9">
      <c r="A9" s="138"/>
      <c r="B9" t="s">
        <v>4</v>
      </c>
      <c r="C9" s="58">
        <v>-2785.185105</v>
      </c>
      <c r="D9" s="58">
        <v>-888.15881769999999</v>
      </c>
      <c r="E9" s="58">
        <v>-4144.2064620000001</v>
      </c>
      <c r="F9" s="58">
        <v>3192.6166724999998</v>
      </c>
      <c r="G9">
        <v>-4624.9337130000004</v>
      </c>
      <c r="H9" s="124">
        <v>82012.922371444496</v>
      </c>
      <c r="I9" s="131">
        <f t="shared" si="0"/>
        <v>-5.6392743719742434E-2</v>
      </c>
    </row>
    <row r="10" spans="1:9">
      <c r="A10" s="138">
        <v>2023</v>
      </c>
      <c r="B10" t="s">
        <v>1</v>
      </c>
      <c r="C10" s="58">
        <v>-1917.4467360000001</v>
      </c>
      <c r="D10" s="58">
        <v>-259.5230947</v>
      </c>
      <c r="E10" s="58">
        <v>-3727.0918120000001</v>
      </c>
      <c r="F10" s="58">
        <v>3094.4083856000002</v>
      </c>
      <c r="G10">
        <v>-2809.6532579999998</v>
      </c>
      <c r="H10" s="123">
        <v>81206.632093291119</v>
      </c>
      <c r="I10" s="131">
        <f t="shared" si="0"/>
        <v>-3.4598815214651898E-2</v>
      </c>
    </row>
    <row r="11" spans="1:9">
      <c r="A11" s="138"/>
      <c r="B11" t="s">
        <v>2</v>
      </c>
      <c r="C11" s="58">
        <v>-1699.2559249999999</v>
      </c>
      <c r="D11" s="58">
        <v>-357.3271838</v>
      </c>
      <c r="E11" s="58">
        <v>-3056.0840710000002</v>
      </c>
      <c r="F11" s="58">
        <v>3029.1708956000002</v>
      </c>
      <c r="G11">
        <v>-2083.4962850000002</v>
      </c>
      <c r="H11" s="124">
        <v>86433.422858079735</v>
      </c>
      <c r="I11" s="131">
        <f t="shared" si="0"/>
        <v>-2.4105215506980658E-2</v>
      </c>
    </row>
    <row r="12" spans="1:9">
      <c r="A12" s="138"/>
      <c r="B12" t="s">
        <v>3</v>
      </c>
      <c r="C12" s="58">
        <v>-1352.9820709999999</v>
      </c>
      <c r="D12" s="58">
        <v>-51.011978579999997</v>
      </c>
      <c r="E12" s="58">
        <v>-3507.7165030000001</v>
      </c>
      <c r="F12" s="58">
        <v>3364.7879063</v>
      </c>
      <c r="G12">
        <v>-1546.9226470000001</v>
      </c>
      <c r="H12" s="123">
        <v>99315.849048674761</v>
      </c>
      <c r="I12" s="131">
        <f t="shared" si="0"/>
        <v>-1.557578837433945E-2</v>
      </c>
    </row>
    <row r="13" spans="1:9">
      <c r="A13" s="138"/>
      <c r="B13" t="s">
        <v>4</v>
      </c>
      <c r="C13" s="58">
        <v>-1837.8732230000001</v>
      </c>
      <c r="D13" s="58">
        <v>-327.78344070000003</v>
      </c>
      <c r="E13" s="58">
        <v>-3147.8981239999998</v>
      </c>
      <c r="F13" s="58">
        <v>3433.6791029999999</v>
      </c>
      <c r="G13">
        <v>-1879.8756840000001</v>
      </c>
      <c r="H13" s="124">
        <v>102227.48903017085</v>
      </c>
      <c r="I13" s="131">
        <f t="shared" si="0"/>
        <v>-1.838914074711533E-2</v>
      </c>
    </row>
    <row r="14" spans="1:9">
      <c r="A14" s="138">
        <v>2024</v>
      </c>
      <c r="B14" t="s">
        <v>1</v>
      </c>
      <c r="C14" s="58">
        <v>-2105.2188679999999</v>
      </c>
      <c r="D14" s="58">
        <v>323.88717442000001</v>
      </c>
      <c r="E14" s="58">
        <v>-3151.9959229999999</v>
      </c>
      <c r="F14" s="58">
        <v>3331.0706616000002</v>
      </c>
      <c r="G14">
        <v>-1602.2569550000001</v>
      </c>
      <c r="H14" s="123">
        <v>102695.2418255104</v>
      </c>
      <c r="I14" s="131">
        <f t="shared" si="0"/>
        <v>-1.5602056400260458E-2</v>
      </c>
    </row>
    <row r="15" spans="1:9">
      <c r="A15" s="138"/>
      <c r="B15" t="s">
        <v>2</v>
      </c>
      <c r="C15" s="58">
        <v>-1967.1971699999999</v>
      </c>
      <c r="D15" s="58">
        <v>-392.33652549999999</v>
      </c>
      <c r="E15" s="58">
        <v>-2964.9696439999998</v>
      </c>
      <c r="F15" s="58">
        <v>3896.7697896999998</v>
      </c>
      <c r="G15">
        <v>-1427.733549</v>
      </c>
      <c r="H15" s="124">
        <v>104491.62930262015</v>
      </c>
      <c r="I15" s="131">
        <f t="shared" si="0"/>
        <v>-1.3663616488026178E-2</v>
      </c>
    </row>
    <row r="16" spans="1:9">
      <c r="A16" s="138"/>
      <c r="B16" t="s">
        <v>3</v>
      </c>
      <c r="C16" s="58">
        <v>-2318.0735410000002</v>
      </c>
      <c r="D16" s="58">
        <v>-62.100234839999999</v>
      </c>
      <c r="E16" s="58">
        <v>-3342.6929150000001</v>
      </c>
      <c r="F16" s="58">
        <v>4073.2696314999998</v>
      </c>
      <c r="G16">
        <v>-1649.5970600000001</v>
      </c>
      <c r="H16" s="123">
        <v>106620.36083863949</v>
      </c>
      <c r="I16" s="131">
        <f t="shared" si="0"/>
        <v>-1.5471688962828776E-2</v>
      </c>
    </row>
    <row r="17" spans="1:12">
      <c r="A17" s="138"/>
      <c r="B17" t="s">
        <v>4</v>
      </c>
      <c r="C17" s="58">
        <v>-2765.2802750000001</v>
      </c>
      <c r="D17" s="58">
        <v>-396.17023349999999</v>
      </c>
      <c r="E17" s="58">
        <v>-3377.3624690000001</v>
      </c>
      <c r="F17" s="58">
        <v>4206.0449349</v>
      </c>
      <c r="G17">
        <v>-2332.7680420000002</v>
      </c>
      <c r="H17" s="124">
        <v>106481.5086214168</v>
      </c>
      <c r="I17" s="131">
        <f t="shared" si="0"/>
        <v>-2.1907729071475673E-2</v>
      </c>
    </row>
    <row r="18" spans="1:12">
      <c r="A18" s="138">
        <v>2025</v>
      </c>
      <c r="B18" t="s">
        <v>1</v>
      </c>
      <c r="C18" s="58">
        <v>-3064.9152220000001</v>
      </c>
      <c r="D18" s="58">
        <v>515.60939867000002</v>
      </c>
      <c r="E18" s="58">
        <v>-2992.860228</v>
      </c>
      <c r="F18" s="58">
        <v>3846.2213740000002</v>
      </c>
      <c r="G18">
        <v>-1695.944677</v>
      </c>
      <c r="H18" s="123">
        <v>106100.90123366607</v>
      </c>
      <c r="I18" s="131">
        <f t="shared" si="0"/>
        <v>-1.5984262690333047E-2</v>
      </c>
    </row>
    <row r="19" spans="1:12">
      <c r="A19" s="138"/>
      <c r="B19" t="s">
        <v>2</v>
      </c>
      <c r="C19" s="58">
        <v>-3631.821328</v>
      </c>
      <c r="D19" s="58">
        <v>-196.4203689</v>
      </c>
      <c r="E19" s="58">
        <v>-2780.297329</v>
      </c>
      <c r="F19" s="58">
        <v>4150.9926160000005</v>
      </c>
      <c r="G19">
        <v>-2457.546409</v>
      </c>
      <c r="H19" s="124">
        <v>105316.2591565019</v>
      </c>
      <c r="I19" s="131">
        <f t="shared" si="0"/>
        <v>-2.3334919305745952E-2</v>
      </c>
    </row>
    <row r="20" spans="1:12">
      <c r="A20" s="138"/>
      <c r="B20" t="s">
        <v>3</v>
      </c>
      <c r="C20" s="58">
        <v>-4007.6605669999999</v>
      </c>
      <c r="D20" s="58">
        <v>-29.361022899999998</v>
      </c>
      <c r="E20" s="58">
        <v>-2993.1170579999998</v>
      </c>
      <c r="F20" s="58">
        <v>4212.9061881999996</v>
      </c>
      <c r="G20">
        <v>-2817.2324600000002</v>
      </c>
      <c r="H20" s="123">
        <v>119185.30282730544</v>
      </c>
      <c r="I20" s="131">
        <f t="shared" si="0"/>
        <v>-2.3637414959477455E-2</v>
      </c>
    </row>
    <row r="21" spans="1:12">
      <c r="A21" s="138"/>
      <c r="B21" t="s">
        <v>4</v>
      </c>
      <c r="C21" s="58">
        <v>-4128.0566980000003</v>
      </c>
      <c r="D21" s="58">
        <v>-328.84666099999998</v>
      </c>
      <c r="E21" s="58">
        <v>-3679.6806489999999</v>
      </c>
      <c r="F21" s="58">
        <v>4224.4137560999998</v>
      </c>
      <c r="G21">
        <v>-3912.1702519999999</v>
      </c>
      <c r="H21" s="124">
        <v>128262.96841818299</v>
      </c>
      <c r="I21" s="131">
        <f t="shared" si="0"/>
        <v>-3.0501167252304114E-2</v>
      </c>
    </row>
    <row r="22" spans="1:12">
      <c r="A22" s="127"/>
      <c r="C22" s="19"/>
      <c r="F22" s="19"/>
      <c r="G22" s="19"/>
      <c r="H22" s="126"/>
    </row>
    <row r="23" spans="1:12">
      <c r="A23" t="s">
        <v>98</v>
      </c>
      <c r="C23" s="16">
        <f>+AVERAGE(C2:C21)</f>
        <v>-2847.8835946999998</v>
      </c>
      <c r="D23" s="16">
        <f t="shared" ref="D23:F23" si="1">+AVERAGE(D2:D21)</f>
        <v>-574.6692459814999</v>
      </c>
      <c r="E23" s="16">
        <f t="shared" si="1"/>
        <v>-3226.567779</v>
      </c>
      <c r="F23" s="16">
        <f t="shared" si="1"/>
        <v>3396.9868147900002</v>
      </c>
      <c r="G23" s="16"/>
    </row>
    <row r="24" spans="1:12">
      <c r="A24" t="s">
        <v>100</v>
      </c>
      <c r="C24" s="16">
        <f>+MEDIAN(C2:C21)</f>
        <v>-2775.2326899999998</v>
      </c>
      <c r="D24" s="16">
        <f t="shared" ref="D24:F24" si="2">+MEDIAN(D2:D21)</f>
        <v>-374.83185464999997</v>
      </c>
      <c r="E24" s="16">
        <f t="shared" si="2"/>
        <v>-3149.9470234999999</v>
      </c>
      <c r="F24" s="16">
        <f t="shared" si="2"/>
        <v>3261.84366705</v>
      </c>
      <c r="G24" s="16"/>
      <c r="I24" s="85">
        <f>+G20</f>
        <v>-2817.2324600000002</v>
      </c>
    </row>
    <row r="25" spans="1:12">
      <c r="I25" s="85">
        <f>+G16</f>
        <v>-1649.5970600000001</v>
      </c>
    </row>
    <row r="26" spans="1:12">
      <c r="A26" t="s">
        <v>99</v>
      </c>
      <c r="I26" s="131">
        <f>+(I24/I25)-1</f>
        <v>0.7078306747224683</v>
      </c>
    </row>
    <row r="27" spans="1:12">
      <c r="A27" s="86" t="s">
        <v>0</v>
      </c>
      <c r="I27" s="105">
        <f>+I24-I25</f>
        <v>-1167.6354000000001</v>
      </c>
    </row>
    <row r="28" spans="1:12">
      <c r="A28" s="86">
        <v>2022</v>
      </c>
      <c r="B28" t="s">
        <v>1</v>
      </c>
      <c r="C28">
        <f>+C6/C2-1</f>
        <v>0.44307045370589604</v>
      </c>
      <c r="D28">
        <f t="shared" ref="D28:F28" si="3">+D6/D2-1</f>
        <v>0.11176855479256576</v>
      </c>
      <c r="E28">
        <f t="shared" si="3"/>
        <v>0.93704293138635264</v>
      </c>
      <c r="F28">
        <f t="shared" si="3"/>
        <v>0.2964369136514069</v>
      </c>
      <c r="H28" s="84"/>
      <c r="I28" s="84"/>
      <c r="J28" s="84"/>
      <c r="K28" s="84"/>
      <c r="L28" s="84"/>
    </row>
    <row r="29" spans="1:12">
      <c r="A29" s="86"/>
      <c r="B29" t="s">
        <v>2</v>
      </c>
      <c r="C29">
        <f t="shared" ref="C29:F43" si="4">+C7/C3-1</f>
        <v>-0.44347674200618148</v>
      </c>
      <c r="D29">
        <f t="shared" si="4"/>
        <v>-0.2728102102055312</v>
      </c>
      <c r="E29">
        <f t="shared" si="4"/>
        <v>1.7423458856761478</v>
      </c>
      <c r="F29">
        <f t="shared" si="4"/>
        <v>7.696263786078239E-2</v>
      </c>
    </row>
    <row r="30" spans="1:12">
      <c r="A30" s="86"/>
      <c r="B30" t="s">
        <v>3</v>
      </c>
      <c r="C30">
        <f t="shared" si="4"/>
        <v>-2.1808672012402219E-3</v>
      </c>
      <c r="D30">
        <f t="shared" si="4"/>
        <v>-0.53281213794820326</v>
      </c>
      <c r="E30">
        <f t="shared" si="4"/>
        <v>1.0498348846593548</v>
      </c>
      <c r="F30">
        <f t="shared" si="4"/>
        <v>0.12332928786790154</v>
      </c>
    </row>
    <row r="31" spans="1:12">
      <c r="A31" s="86"/>
      <c r="B31" t="s">
        <v>4</v>
      </c>
      <c r="C31">
        <f t="shared" si="4"/>
        <v>-0.32975305685378109</v>
      </c>
      <c r="D31">
        <f t="shared" si="4"/>
        <v>-0.52676331783925878</v>
      </c>
      <c r="E31">
        <f t="shared" si="4"/>
        <v>0.44654126094287805</v>
      </c>
      <c r="F31">
        <f t="shared" si="4"/>
        <v>8.7810423010971084E-2</v>
      </c>
    </row>
    <row r="32" spans="1:12">
      <c r="A32" s="86">
        <v>2023</v>
      </c>
      <c r="B32" t="s">
        <v>1</v>
      </c>
      <c r="C32">
        <f t="shared" si="4"/>
        <v>-0.48648638970532831</v>
      </c>
      <c r="D32">
        <f t="shared" si="4"/>
        <v>-0.78789422169052348</v>
      </c>
      <c r="E32">
        <f t="shared" si="4"/>
        <v>3.0482720443000044E-2</v>
      </c>
      <c r="F32">
        <f t="shared" si="4"/>
        <v>-2.5841634658953061E-2</v>
      </c>
    </row>
    <row r="33" spans="1:6">
      <c r="A33" s="86"/>
      <c r="B33" t="s">
        <v>2</v>
      </c>
      <c r="C33">
        <f t="shared" si="4"/>
        <v>-0.13945261236691464</v>
      </c>
      <c r="D33">
        <f t="shared" si="4"/>
        <v>-0.66653736106804895</v>
      </c>
      <c r="E33">
        <f t="shared" si="4"/>
        <v>-0.32544808018027815</v>
      </c>
      <c r="F33">
        <f t="shared" si="4"/>
        <v>7.0874100218742964E-2</v>
      </c>
    </row>
    <row r="34" spans="1:6">
      <c r="A34" s="86"/>
      <c r="B34" t="s">
        <v>3</v>
      </c>
      <c r="C34">
        <f t="shared" si="4"/>
        <v>-0.63278759395881878</v>
      </c>
      <c r="D34">
        <f t="shared" si="4"/>
        <v>-0.93028132616315928</v>
      </c>
      <c r="E34">
        <f t="shared" si="4"/>
        <v>-0.26842456382105973</v>
      </c>
      <c r="F34">
        <f t="shared" si="4"/>
        <v>8.4133705551560301E-2</v>
      </c>
    </row>
    <row r="35" spans="1:6">
      <c r="A35" s="86"/>
      <c r="B35" t="s">
        <v>4</v>
      </c>
      <c r="C35">
        <f t="shared" si="4"/>
        <v>-0.34012528657408569</v>
      </c>
      <c r="D35">
        <f t="shared" si="4"/>
        <v>-0.63094050954891512</v>
      </c>
      <c r="E35">
        <f t="shared" si="4"/>
        <v>-0.24040991855390825</v>
      </c>
      <c r="F35">
        <f t="shared" si="4"/>
        <v>7.5506224275661227E-2</v>
      </c>
    </row>
    <row r="36" spans="1:6">
      <c r="A36" s="86">
        <v>2024</v>
      </c>
      <c r="B36" t="s">
        <v>1</v>
      </c>
      <c r="C36">
        <f t="shared" si="4"/>
        <v>9.7928212802256276E-2</v>
      </c>
      <c r="D36">
        <f t="shared" si="4"/>
        <v>-2.2480090636804508</v>
      </c>
      <c r="E36">
        <f t="shared" si="4"/>
        <v>-0.15430150852425528</v>
      </c>
      <c r="F36">
        <f t="shared" si="4"/>
        <v>7.6480621336640908E-2</v>
      </c>
    </row>
    <row r="37" spans="1:6">
      <c r="A37" s="86"/>
      <c r="B37" t="s">
        <v>2</v>
      </c>
      <c r="C37">
        <f t="shared" si="4"/>
        <v>0.15768151286569743</v>
      </c>
      <c r="D37">
        <f t="shared" si="4"/>
        <v>9.7975590123574596E-2</v>
      </c>
      <c r="E37">
        <f t="shared" si="4"/>
        <v>-2.9814110110585545E-2</v>
      </c>
      <c r="F37">
        <f t="shared" si="4"/>
        <v>0.28641464083793489</v>
      </c>
    </row>
    <row r="38" spans="1:6">
      <c r="A38" s="86"/>
      <c r="B38" t="s">
        <v>3</v>
      </c>
      <c r="C38">
        <f t="shared" si="4"/>
        <v>0.71330691713208982</v>
      </c>
      <c r="D38">
        <f t="shared" si="4"/>
        <v>0.21736573582635588</v>
      </c>
      <c r="E38">
        <f t="shared" si="4"/>
        <v>-4.7045873821006445E-2</v>
      </c>
      <c r="F38">
        <f t="shared" si="4"/>
        <v>0.21055761757627778</v>
      </c>
    </row>
    <row r="39" spans="1:6">
      <c r="A39" s="86"/>
      <c r="B39" t="s">
        <v>4</v>
      </c>
      <c r="C39">
        <f t="shared" si="4"/>
        <v>0.50460882741747204</v>
      </c>
      <c r="D39">
        <f t="shared" si="4"/>
        <v>0.20863406843846688</v>
      </c>
      <c r="E39">
        <f t="shared" si="4"/>
        <v>7.28944635312474E-2</v>
      </c>
      <c r="F39">
        <f t="shared" si="4"/>
        <v>0.22493826846695875</v>
      </c>
    </row>
    <row r="40" spans="1:6">
      <c r="A40" s="138">
        <v>2025</v>
      </c>
      <c r="B40" t="s">
        <v>1</v>
      </c>
      <c r="C40">
        <f t="shared" si="4"/>
        <v>0.45586535850865273</v>
      </c>
      <c r="D40">
        <f t="shared" si="4"/>
        <v>0.59194139006376534</v>
      </c>
      <c r="E40">
        <f t="shared" si="4"/>
        <v>-5.048727818421106E-2</v>
      </c>
      <c r="F40">
        <f t="shared" si="4"/>
        <v>0.15465019050438267</v>
      </c>
    </row>
    <row r="41" spans="1:6">
      <c r="A41" s="138"/>
      <c r="B41" t="s">
        <v>2</v>
      </c>
      <c r="C41">
        <f t="shared" si="4"/>
        <v>0.84619080557136028</v>
      </c>
      <c r="D41">
        <f t="shared" si="4"/>
        <v>-0.49935742370741876</v>
      </c>
      <c r="E41">
        <f t="shared" si="4"/>
        <v>-6.2284723681305887E-2</v>
      </c>
      <c r="F41">
        <f t="shared" si="4"/>
        <v>6.523937517991607E-2</v>
      </c>
    </row>
    <row r="42" spans="1:6">
      <c r="A42" s="138"/>
      <c r="B42" t="s">
        <v>3</v>
      </c>
      <c r="C42">
        <f>+C20/C16-1</f>
        <v>0.72887550637031295</v>
      </c>
      <c r="D42">
        <f t="shared" ref="D42:F42" si="5">+D20/D16-1</f>
        <v>-0.52719948683530615</v>
      </c>
      <c r="E42">
        <f t="shared" si="5"/>
        <v>-0.10457911207796378</v>
      </c>
      <c r="F42">
        <f t="shared" si="5"/>
        <v>3.4281196515973722E-2</v>
      </c>
    </row>
    <row r="43" spans="1:6">
      <c r="A43" s="138"/>
      <c r="B43" t="s">
        <v>4</v>
      </c>
      <c r="C43">
        <f t="shared" si="4"/>
        <v>0.49281674458839442</v>
      </c>
      <c r="D43">
        <f t="shared" si="4"/>
        <v>-0.16993596895259933</v>
      </c>
      <c r="E43">
        <f t="shared" si="4"/>
        <v>8.951309869014823E-2</v>
      </c>
      <c r="F43">
        <f t="shared" si="4"/>
        <v>4.3672432140662298E-3</v>
      </c>
    </row>
    <row r="49" spans="2:5">
      <c r="B49" s="17"/>
      <c r="C49" s="17"/>
      <c r="D49" s="17"/>
      <c r="E49" s="17"/>
    </row>
  </sheetData>
  <mergeCells count="6">
    <mergeCell ref="A18:A21"/>
    <mergeCell ref="A40:A43"/>
    <mergeCell ref="A2:A5"/>
    <mergeCell ref="A6:A9"/>
    <mergeCell ref="A10:A13"/>
    <mergeCell ref="A14:A17"/>
  </mergeCells>
  <conditionalFormatting sqref="C2:F17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F1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0:F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3:G2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3:G2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8:G4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94D4-D434-3F41-AFAD-08150B8D826C}">
  <dimension ref="A1:O76"/>
  <sheetViews>
    <sheetView topLeftCell="J1" zoomScale="125" workbookViewId="0">
      <selection activeCell="O2" sqref="O2:O21"/>
    </sheetView>
  </sheetViews>
  <sheetFormatPr baseColWidth="10" defaultRowHeight="15"/>
  <cols>
    <col min="1" max="1" width="15.83203125" customWidth="1"/>
    <col min="2" max="3" width="12.1640625" customWidth="1"/>
    <col min="4" max="4" width="24.1640625" bestFit="1" customWidth="1"/>
    <col min="6" max="6" width="9.6640625" bestFit="1" customWidth="1"/>
    <col min="7" max="7" width="15.5" bestFit="1" customWidth="1"/>
    <col min="8" max="8" width="25.33203125" bestFit="1" customWidth="1"/>
    <col min="10" max="10" width="34.1640625" customWidth="1"/>
    <col min="11" max="11" width="54.6640625" bestFit="1" customWidth="1"/>
    <col min="14" max="14" width="13.1640625" customWidth="1"/>
    <col min="15" max="15" width="44.6640625" customWidth="1"/>
  </cols>
  <sheetData>
    <row r="1" spans="1:15" ht="21" customHeight="1">
      <c r="A1" s="112" t="s">
        <v>426</v>
      </c>
      <c r="B1" s="112" t="s">
        <v>406</v>
      </c>
      <c r="C1" s="112" t="s">
        <v>401</v>
      </c>
      <c r="D1" s="113" t="s">
        <v>427</v>
      </c>
      <c r="E1" s="114"/>
      <c r="F1" s="115" t="s">
        <v>406</v>
      </c>
      <c r="G1" s="115" t="s">
        <v>401</v>
      </c>
      <c r="H1" s="115" t="s">
        <v>428</v>
      </c>
      <c r="J1" s="116" t="s">
        <v>426</v>
      </c>
      <c r="K1" s="117" t="s">
        <v>429</v>
      </c>
      <c r="M1" s="120" t="s">
        <v>406</v>
      </c>
      <c r="N1" s="120" t="s">
        <v>401</v>
      </c>
      <c r="O1" t="s">
        <v>430</v>
      </c>
    </row>
    <row r="2" spans="1:15" ht="21" customHeight="1">
      <c r="A2" s="106">
        <v>43861</v>
      </c>
      <c r="B2" s="107">
        <f>YEAR(A2)</f>
        <v>2020</v>
      </c>
      <c r="C2" s="107">
        <f>INT((MONTH(A2)-1)/3)+1</f>
        <v>1</v>
      </c>
      <c r="D2" s="108">
        <v>3317.37</v>
      </c>
      <c r="F2" s="107">
        <v>2021</v>
      </c>
      <c r="G2" s="107">
        <v>1</v>
      </c>
      <c r="H2" s="107">
        <f t="shared" ref="H2:H22" si="0">AVERAGEIFS(D:D, B:B, F2, C:C, G2)</f>
        <v>3554.6533333333332</v>
      </c>
      <c r="J2" s="118">
        <v>43921</v>
      </c>
      <c r="K2" s="119">
        <v>266805.94848277001</v>
      </c>
      <c r="M2" s="121">
        <v>2021</v>
      </c>
      <c r="N2" s="121">
        <v>1</v>
      </c>
      <c r="O2">
        <f>+K6/Tabla5[[#This Row],[Promedio trimestral]]*1000</f>
        <v>77009.381297782165</v>
      </c>
    </row>
    <row r="3" spans="1:15" ht="16">
      <c r="A3" s="106">
        <v>43890</v>
      </c>
      <c r="B3" s="107">
        <f t="shared" ref="B3:B66" si="1">YEAR(A3)</f>
        <v>2020</v>
      </c>
      <c r="C3" s="107">
        <f t="shared" ref="C3:C66" si="2">INT((MONTH(A3)-1)/3)+1</f>
        <v>1</v>
      </c>
      <c r="D3" s="108">
        <v>3408.24</v>
      </c>
      <c r="F3" s="107">
        <v>2021</v>
      </c>
      <c r="G3" s="107">
        <v>2</v>
      </c>
      <c r="H3" s="107">
        <f t="shared" si="0"/>
        <v>3695.603333333333</v>
      </c>
      <c r="J3" s="118">
        <v>44012</v>
      </c>
      <c r="K3" s="119">
        <v>219874.32916429901</v>
      </c>
      <c r="M3" s="122">
        <v>2021</v>
      </c>
      <c r="N3" s="122">
        <v>2</v>
      </c>
      <c r="O3">
        <f>+K7/Tabla5[[#This Row],[Promedio trimestral]]*1000</f>
        <v>73783.912111543061</v>
      </c>
    </row>
    <row r="4" spans="1:15" ht="16">
      <c r="A4" s="106">
        <v>43921</v>
      </c>
      <c r="B4" s="107">
        <f t="shared" si="1"/>
        <v>2020</v>
      </c>
      <c r="C4" s="107">
        <f t="shared" si="2"/>
        <v>1</v>
      </c>
      <c r="D4" s="108">
        <v>3870.01</v>
      </c>
      <c r="F4" s="107">
        <v>2021</v>
      </c>
      <c r="G4" s="107">
        <v>3</v>
      </c>
      <c r="H4" s="107">
        <f t="shared" si="0"/>
        <v>3846.7333333333336</v>
      </c>
      <c r="J4" s="118">
        <v>44104</v>
      </c>
      <c r="K4" s="119">
        <v>245852.68959190199</v>
      </c>
      <c r="M4" s="121">
        <v>2021</v>
      </c>
      <c r="N4" s="121">
        <v>3</v>
      </c>
      <c r="O4">
        <f>+K8/Tabla5[[#This Row],[Promedio trimestral]]*1000</f>
        <v>80312.920414816894</v>
      </c>
    </row>
    <row r="5" spans="1:15" ht="16">
      <c r="A5" s="106">
        <v>43951</v>
      </c>
      <c r="B5" s="107">
        <f t="shared" si="1"/>
        <v>2020</v>
      </c>
      <c r="C5" s="107">
        <f t="shared" si="2"/>
        <v>2</v>
      </c>
      <c r="D5" s="108">
        <v>3986.56</v>
      </c>
      <c r="F5" s="107">
        <v>2021</v>
      </c>
      <c r="G5" s="107">
        <v>4</v>
      </c>
      <c r="H5" s="107">
        <f t="shared" si="0"/>
        <v>3879.9866666666671</v>
      </c>
      <c r="J5" s="118">
        <v>44196</v>
      </c>
      <c r="K5" s="119">
        <v>265938.03276102798</v>
      </c>
      <c r="M5" s="122">
        <v>2021</v>
      </c>
      <c r="N5" s="122">
        <v>4</v>
      </c>
      <c r="O5">
        <f>+K9/Tabla5[[#This Row],[Promedio trimestral]]*1000</f>
        <v>86926.558115942811</v>
      </c>
    </row>
    <row r="6" spans="1:15" ht="16">
      <c r="A6" s="106">
        <v>43982</v>
      </c>
      <c r="B6" s="107">
        <f t="shared" si="1"/>
        <v>2020</v>
      </c>
      <c r="C6" s="107">
        <f t="shared" si="2"/>
        <v>2</v>
      </c>
      <c r="D6" s="108">
        <v>3863.34</v>
      </c>
      <c r="F6" s="107">
        <v>2022</v>
      </c>
      <c r="G6" s="107">
        <v>1</v>
      </c>
      <c r="H6" s="107">
        <f t="shared" si="0"/>
        <v>3914.8666666666668</v>
      </c>
      <c r="J6" s="118">
        <v>44286</v>
      </c>
      <c r="K6">
        <v>273741.65392809903</v>
      </c>
      <c r="M6" s="121">
        <v>2022</v>
      </c>
      <c r="N6" s="121">
        <v>1</v>
      </c>
      <c r="O6">
        <f>+K10/Tabla5[[#This Row],[Promedio trimestral]]*1000</f>
        <v>86147.800068675759</v>
      </c>
    </row>
    <row r="7" spans="1:15" ht="16">
      <c r="A7" s="106">
        <v>44012</v>
      </c>
      <c r="B7" s="107">
        <f t="shared" si="1"/>
        <v>2020</v>
      </c>
      <c r="C7" s="107">
        <f t="shared" si="2"/>
        <v>2</v>
      </c>
      <c r="D7" s="108">
        <v>3693</v>
      </c>
      <c r="F7" s="107">
        <v>2022</v>
      </c>
      <c r="G7" s="107">
        <v>2</v>
      </c>
      <c r="H7" s="107">
        <f t="shared" si="0"/>
        <v>3915.4966666666664</v>
      </c>
      <c r="J7" s="118">
        <v>44377</v>
      </c>
      <c r="K7">
        <v>272676.07154579222</v>
      </c>
      <c r="M7" s="122">
        <v>2022</v>
      </c>
      <c r="N7" s="122">
        <v>2</v>
      </c>
      <c r="O7">
        <f>+K11/Tabla5[[#This Row],[Promedio trimestral]]*1000</f>
        <v>90433.954858169207</v>
      </c>
    </row>
    <row r="8" spans="1:15" ht="16">
      <c r="A8" s="106">
        <v>44043</v>
      </c>
      <c r="B8" s="107">
        <f t="shared" si="1"/>
        <v>2020</v>
      </c>
      <c r="C8" s="107">
        <f t="shared" si="2"/>
        <v>3</v>
      </c>
      <c r="D8" s="108">
        <v>3660.6</v>
      </c>
      <c r="F8" s="107">
        <v>2022</v>
      </c>
      <c r="G8" s="107">
        <v>3</v>
      </c>
      <c r="H8" s="107">
        <f t="shared" si="0"/>
        <v>4386.03</v>
      </c>
      <c r="J8" s="118">
        <v>44469</v>
      </c>
      <c r="K8">
        <v>308942.38805702335</v>
      </c>
      <c r="M8" s="121">
        <v>2022</v>
      </c>
      <c r="N8" s="121">
        <v>3</v>
      </c>
      <c r="O8">
        <f>+K12/Tabla5[[#This Row],[Promedio trimestral]]*1000</f>
        <v>87864.978409863732</v>
      </c>
    </row>
    <row r="9" spans="1:15" ht="16">
      <c r="A9" s="106">
        <v>44074</v>
      </c>
      <c r="B9" s="107">
        <f t="shared" si="1"/>
        <v>2020</v>
      </c>
      <c r="C9" s="107">
        <f t="shared" si="2"/>
        <v>3</v>
      </c>
      <c r="D9" s="108">
        <v>3788.1</v>
      </c>
      <c r="F9" s="107">
        <v>2022</v>
      </c>
      <c r="G9" s="107">
        <v>4</v>
      </c>
      <c r="H9" s="107">
        <f t="shared" si="0"/>
        <v>4808.3833333333341</v>
      </c>
      <c r="J9" s="118">
        <v>44561</v>
      </c>
      <c r="K9">
        <v>337273.88646908326</v>
      </c>
      <c r="M9" s="122">
        <v>2022</v>
      </c>
      <c r="N9" s="122">
        <v>4</v>
      </c>
      <c r="O9">
        <f>+K13/Tabla5[[#This Row],[Promedio trimestral]]*1000</f>
        <v>82012.922371444496</v>
      </c>
    </row>
    <row r="10" spans="1:15" ht="16">
      <c r="A10" s="106">
        <v>44104</v>
      </c>
      <c r="B10" s="107">
        <f t="shared" si="1"/>
        <v>2020</v>
      </c>
      <c r="C10" s="107">
        <f t="shared" si="2"/>
        <v>3</v>
      </c>
      <c r="D10" s="108">
        <v>3749.86</v>
      </c>
      <c r="F10" s="107">
        <v>2023</v>
      </c>
      <c r="G10" s="107">
        <v>1</v>
      </c>
      <c r="H10" s="107">
        <f t="shared" si="0"/>
        <v>4758.63</v>
      </c>
      <c r="J10" s="118">
        <v>44651</v>
      </c>
      <c r="K10">
        <v>337257.15089552314</v>
      </c>
      <c r="M10" s="121">
        <v>2023</v>
      </c>
      <c r="N10" s="121">
        <v>1</v>
      </c>
      <c r="O10">
        <f>+K14/Tabla5[[#This Row],[Promedio trimestral]]*1000</f>
        <v>81206.632093291119</v>
      </c>
    </row>
    <row r="11" spans="1:15" ht="16">
      <c r="A11" s="106">
        <v>44135</v>
      </c>
      <c r="B11" s="107">
        <f t="shared" si="1"/>
        <v>2020</v>
      </c>
      <c r="C11" s="107">
        <f t="shared" si="2"/>
        <v>4</v>
      </c>
      <c r="D11" s="108">
        <v>3833.06</v>
      </c>
      <c r="F11" s="107">
        <v>2023</v>
      </c>
      <c r="G11" s="107">
        <v>2</v>
      </c>
      <c r="H11" s="107">
        <f t="shared" si="0"/>
        <v>4426.3666666666659</v>
      </c>
      <c r="J11" s="118">
        <v>44742</v>
      </c>
      <c r="K11">
        <v>354093.84880064527</v>
      </c>
      <c r="M11" s="122">
        <v>2023</v>
      </c>
      <c r="N11" s="122">
        <v>2</v>
      </c>
      <c r="O11">
        <f>+K15/Tabla5[[#This Row],[Promedio trimestral]]*1000</f>
        <v>86433.422858079735</v>
      </c>
    </row>
    <row r="12" spans="1:15" ht="16">
      <c r="A12" s="106">
        <v>44165</v>
      </c>
      <c r="B12" s="107">
        <f t="shared" si="1"/>
        <v>2020</v>
      </c>
      <c r="C12" s="107">
        <f t="shared" si="2"/>
        <v>4</v>
      </c>
      <c r="D12" s="108">
        <v>3680.67</v>
      </c>
      <c r="F12" s="107">
        <v>2023</v>
      </c>
      <c r="G12" s="107">
        <v>3</v>
      </c>
      <c r="H12" s="107">
        <f t="shared" si="0"/>
        <v>4047.6366666666668</v>
      </c>
      <c r="J12" s="118">
        <v>44834</v>
      </c>
      <c r="K12">
        <v>385378.43125501461</v>
      </c>
      <c r="M12" s="121">
        <v>2023</v>
      </c>
      <c r="N12" s="121">
        <v>3</v>
      </c>
      <c r="O12">
        <f>+K16/Tabla5[[#This Row],[Promedio trimestral]]*1000</f>
        <v>99315.849048674761</v>
      </c>
    </row>
    <row r="13" spans="1:15" ht="16">
      <c r="A13" s="106">
        <v>44196</v>
      </c>
      <c r="B13" s="107">
        <f t="shared" si="1"/>
        <v>2020</v>
      </c>
      <c r="C13" s="107">
        <f t="shared" si="2"/>
        <v>4</v>
      </c>
      <c r="D13" s="108">
        <v>3468.5</v>
      </c>
      <c r="F13" s="107">
        <v>2023</v>
      </c>
      <c r="G13" s="107">
        <v>4</v>
      </c>
      <c r="H13" s="107">
        <f t="shared" si="0"/>
        <v>4071.1866666666665</v>
      </c>
      <c r="J13" s="118">
        <v>44926</v>
      </c>
      <c r="K13">
        <v>394349.5690488143</v>
      </c>
      <c r="M13" s="122">
        <v>2023</v>
      </c>
      <c r="N13" s="122">
        <v>4</v>
      </c>
      <c r="O13">
        <f>+K17/Tabla5[[#This Row],[Promedio trimestral]]*1000</f>
        <v>102227.48903017085</v>
      </c>
    </row>
    <row r="14" spans="1:15" ht="16">
      <c r="A14" s="106">
        <v>44227</v>
      </c>
      <c r="B14" s="107">
        <f t="shared" si="1"/>
        <v>2021</v>
      </c>
      <c r="C14" s="107">
        <f t="shared" si="2"/>
        <v>1</v>
      </c>
      <c r="D14" s="108">
        <v>3494.53</v>
      </c>
      <c r="F14" s="107">
        <v>2024</v>
      </c>
      <c r="G14" s="107">
        <v>1</v>
      </c>
      <c r="H14" s="107">
        <f t="shared" si="0"/>
        <v>3920.24</v>
      </c>
      <c r="J14" s="118">
        <v>45016</v>
      </c>
      <c r="K14">
        <v>386432.31567809795</v>
      </c>
      <c r="M14" s="121">
        <v>2024</v>
      </c>
      <c r="N14" s="121">
        <v>1</v>
      </c>
      <c r="O14">
        <f>+K18/Tabla5[[#This Row],[Promedio trimestral]]*1000</f>
        <v>102695.2418255104</v>
      </c>
    </row>
    <row r="15" spans="1:15" ht="16">
      <c r="A15" s="106">
        <v>44255</v>
      </c>
      <c r="B15" s="107">
        <f t="shared" si="1"/>
        <v>2021</v>
      </c>
      <c r="C15" s="107">
        <f t="shared" si="2"/>
        <v>1</v>
      </c>
      <c r="D15" s="108">
        <v>3552.43</v>
      </c>
      <c r="F15" s="107">
        <v>2024</v>
      </c>
      <c r="G15" s="107">
        <v>2</v>
      </c>
      <c r="H15" s="107">
        <f t="shared" si="0"/>
        <v>3928.59</v>
      </c>
      <c r="J15" s="118">
        <v>45107</v>
      </c>
      <c r="K15">
        <v>382586.02182490879</v>
      </c>
      <c r="M15" s="122">
        <v>2024</v>
      </c>
      <c r="N15" s="122">
        <v>2</v>
      </c>
      <c r="O15">
        <f>+K19/Tabla5[[#This Row],[Promedio trimestral]]*1000</f>
        <v>104491.62930262015</v>
      </c>
    </row>
    <row r="16" spans="1:15" ht="16">
      <c r="A16" s="106">
        <v>44286</v>
      </c>
      <c r="B16" s="107">
        <f t="shared" si="1"/>
        <v>2021</v>
      </c>
      <c r="C16" s="107">
        <f t="shared" si="2"/>
        <v>1</v>
      </c>
      <c r="D16" s="108">
        <v>3617</v>
      </c>
      <c r="F16" s="107">
        <v>2024</v>
      </c>
      <c r="G16" s="107">
        <v>3</v>
      </c>
      <c r="H16" s="107">
        <f t="shared" si="0"/>
        <v>4097.2133333333331</v>
      </c>
      <c r="J16" s="118">
        <v>45199</v>
      </c>
      <c r="K16">
        <v>401994.47219054779</v>
      </c>
      <c r="M16" s="121">
        <v>2024</v>
      </c>
      <c r="N16" s="121">
        <v>3</v>
      </c>
      <c r="O16">
        <f>+K20/Tabla5[[#This Row],[Promedio trimestral]]*1000</f>
        <v>106620.36083863949</v>
      </c>
    </row>
    <row r="17" spans="1:15" ht="16">
      <c r="A17" s="106">
        <v>44316</v>
      </c>
      <c r="B17" s="107">
        <f t="shared" si="1"/>
        <v>2021</v>
      </c>
      <c r="C17" s="107">
        <f t="shared" si="2"/>
        <v>2</v>
      </c>
      <c r="D17" s="108">
        <v>3651.85</v>
      </c>
      <c r="F17" s="107">
        <v>2024</v>
      </c>
      <c r="G17" s="107">
        <v>4</v>
      </c>
      <c r="H17" s="107">
        <f t="shared" si="0"/>
        <v>4351.6933333333336</v>
      </c>
      <c r="J17" s="118">
        <v>45291</v>
      </c>
      <c r="K17">
        <v>416187.19030644454</v>
      </c>
      <c r="M17" s="122">
        <v>2024</v>
      </c>
      <c r="N17" s="122">
        <v>4</v>
      </c>
      <c r="O17">
        <f>+K21/Tabla5[[#This Row],[Promedio trimestral]]*1000</f>
        <v>106481.5086214168</v>
      </c>
    </row>
    <row r="18" spans="1:15" ht="16">
      <c r="A18" s="106">
        <v>44347</v>
      </c>
      <c r="B18" s="107">
        <f t="shared" si="1"/>
        <v>2021</v>
      </c>
      <c r="C18" s="107">
        <f t="shared" si="2"/>
        <v>2</v>
      </c>
      <c r="D18" s="108">
        <v>3741.96</v>
      </c>
      <c r="F18" s="107">
        <v>2025</v>
      </c>
      <c r="G18" s="107">
        <v>1</v>
      </c>
      <c r="H18" s="107">
        <f t="shared" si="0"/>
        <v>4188.58</v>
      </c>
      <c r="J18" s="118">
        <v>45382</v>
      </c>
      <c r="K18">
        <v>402589.99481403886</v>
      </c>
      <c r="M18" s="121">
        <v>2025</v>
      </c>
      <c r="N18" s="121">
        <v>1</v>
      </c>
      <c r="O18">
        <f>+K22/Tabla5[[#This Row],[Promedio trimestral]]*1000</f>
        <v>106100.90123366607</v>
      </c>
    </row>
    <row r="19" spans="1:15" ht="16">
      <c r="A19" s="106">
        <v>44377</v>
      </c>
      <c r="B19" s="107">
        <f t="shared" si="1"/>
        <v>2021</v>
      </c>
      <c r="C19" s="107">
        <f t="shared" si="2"/>
        <v>2</v>
      </c>
      <c r="D19" s="108">
        <v>3693</v>
      </c>
      <c r="F19" s="107">
        <v>2025</v>
      </c>
      <c r="G19" s="107">
        <v>2</v>
      </c>
      <c r="H19" s="107">
        <f t="shared" si="0"/>
        <v>4197.3533333333335</v>
      </c>
      <c r="J19" s="118">
        <v>45473</v>
      </c>
      <c r="K19">
        <v>410504.76996198046</v>
      </c>
      <c r="M19" s="122">
        <v>2025</v>
      </c>
      <c r="N19" s="122">
        <v>2</v>
      </c>
      <c r="O19">
        <f>+K23/Tabla5[[#This Row],[Promedio trimestral]]*1000</f>
        <v>105316.2591565019</v>
      </c>
    </row>
    <row r="20" spans="1:15" ht="16">
      <c r="A20" s="106">
        <v>44408</v>
      </c>
      <c r="B20" s="107">
        <f t="shared" si="1"/>
        <v>2021</v>
      </c>
      <c r="C20" s="107">
        <f t="shared" si="2"/>
        <v>3</v>
      </c>
      <c r="D20" s="108">
        <v>3832.24</v>
      </c>
      <c r="F20" s="107">
        <v>2025</v>
      </c>
      <c r="G20" s="107">
        <v>3</v>
      </c>
      <c r="H20" s="107">
        <f t="shared" si="0"/>
        <v>4007.7066666666665</v>
      </c>
      <c r="J20" s="118">
        <v>45565</v>
      </c>
      <c r="K20">
        <v>436846.36403288489</v>
      </c>
      <c r="M20" s="121">
        <v>2025</v>
      </c>
      <c r="N20" s="121">
        <v>3</v>
      </c>
      <c r="O20">
        <f>+K24/Tabla5[[#This Row],[Promedio trimestral]]*1000</f>
        <v>119185.30282730544</v>
      </c>
    </row>
    <row r="21" spans="1:15" ht="16">
      <c r="A21" s="106">
        <v>44439</v>
      </c>
      <c r="B21" s="107">
        <f t="shared" si="1"/>
        <v>2021</v>
      </c>
      <c r="C21" s="107">
        <f t="shared" si="2"/>
        <v>3</v>
      </c>
      <c r="D21" s="108">
        <v>3887.68</v>
      </c>
      <c r="F21" s="107">
        <v>2025</v>
      </c>
      <c r="G21" s="107">
        <v>4</v>
      </c>
      <c r="H21" s="107">
        <f t="shared" si="0"/>
        <v>3818.9033333333336</v>
      </c>
      <c r="J21" s="118">
        <v>45657</v>
      </c>
      <c r="K21">
        <v>463374.87119109533</v>
      </c>
      <c r="M21" s="122">
        <v>2025</v>
      </c>
      <c r="N21" s="122">
        <v>4</v>
      </c>
      <c r="O21">
        <f>+K25/Tabla5[[#This Row],[Promedio trimestral]]*1000</f>
        <v>128262.96841818299</v>
      </c>
    </row>
    <row r="22" spans="1:15" ht="16">
      <c r="A22" s="106">
        <v>44469</v>
      </c>
      <c r="B22" s="107">
        <f t="shared" si="1"/>
        <v>2021</v>
      </c>
      <c r="C22" s="107">
        <f t="shared" si="2"/>
        <v>3</v>
      </c>
      <c r="D22" s="108">
        <v>3820.28</v>
      </c>
      <c r="F22" s="107">
        <v>2026</v>
      </c>
      <c r="G22" s="107">
        <v>1</v>
      </c>
      <c r="H22" s="107">
        <f t="shared" si="0"/>
        <v>3695.9233333333336</v>
      </c>
      <c r="J22" s="118">
        <v>45747</v>
      </c>
      <c r="K22">
        <v>444412.11288930901</v>
      </c>
    </row>
    <row r="23" spans="1:15" ht="16">
      <c r="A23" s="106">
        <v>44500</v>
      </c>
      <c r="B23" s="107">
        <f t="shared" si="1"/>
        <v>2021</v>
      </c>
      <c r="C23" s="107">
        <f t="shared" si="2"/>
        <v>4</v>
      </c>
      <c r="D23" s="108">
        <v>3771.68</v>
      </c>
      <c r="J23" s="118">
        <v>45838</v>
      </c>
      <c r="K23">
        <v>442049.55142474046</v>
      </c>
    </row>
    <row r="24" spans="1:15" ht="16">
      <c r="A24" s="106">
        <v>44530</v>
      </c>
      <c r="B24" s="107">
        <f t="shared" si="1"/>
        <v>2021</v>
      </c>
      <c r="C24" s="107">
        <f t="shared" si="2"/>
        <v>4</v>
      </c>
      <c r="D24" s="108">
        <v>3900.51</v>
      </c>
      <c r="J24" s="118">
        <v>45930</v>
      </c>
      <c r="K24">
        <v>477659.73270967748</v>
      </c>
    </row>
    <row r="25" spans="1:15" ht="16">
      <c r="A25" s="106">
        <v>44561</v>
      </c>
      <c r="B25" s="107">
        <f t="shared" si="1"/>
        <v>2021</v>
      </c>
      <c r="C25" s="107">
        <f t="shared" si="2"/>
        <v>4</v>
      </c>
      <c r="D25" s="108">
        <v>3967.77</v>
      </c>
      <c r="J25" s="118">
        <v>46022</v>
      </c>
      <c r="K25">
        <v>489823.87763542711</v>
      </c>
    </row>
    <row r="26" spans="1:15" ht="16">
      <c r="A26" s="106">
        <v>44592</v>
      </c>
      <c r="B26" s="107">
        <f t="shared" si="1"/>
        <v>2022</v>
      </c>
      <c r="C26" s="107">
        <f t="shared" si="2"/>
        <v>1</v>
      </c>
      <c r="D26" s="108">
        <v>4000.72</v>
      </c>
    </row>
    <row r="27" spans="1:15" ht="16">
      <c r="A27" s="106">
        <v>44620</v>
      </c>
      <c r="B27" s="107">
        <f t="shared" si="1"/>
        <v>2022</v>
      </c>
      <c r="C27" s="107">
        <f t="shared" si="2"/>
        <v>1</v>
      </c>
      <c r="D27" s="108">
        <v>3938.36</v>
      </c>
    </row>
    <row r="28" spans="1:15" ht="16">
      <c r="A28" s="106">
        <v>44651</v>
      </c>
      <c r="B28" s="107">
        <f t="shared" si="1"/>
        <v>2022</v>
      </c>
      <c r="C28" s="107">
        <f t="shared" si="2"/>
        <v>1</v>
      </c>
      <c r="D28" s="108">
        <v>3805.52</v>
      </c>
    </row>
    <row r="29" spans="1:15" ht="16">
      <c r="A29" s="106">
        <v>44681</v>
      </c>
      <c r="B29" s="107">
        <f t="shared" si="1"/>
        <v>2022</v>
      </c>
      <c r="C29" s="107">
        <f t="shared" si="2"/>
        <v>2</v>
      </c>
      <c r="D29" s="108">
        <v>3796.39</v>
      </c>
      <c r="K29" s="132">
        <v>279338.99776627403</v>
      </c>
      <c r="M29">
        <v>279338.99776627403</v>
      </c>
      <c r="N29">
        <v>273741.65392809903</v>
      </c>
      <c r="O29" s="134">
        <v>273741.65392809903</v>
      </c>
    </row>
    <row r="30" spans="1:15" ht="16">
      <c r="A30" s="106">
        <v>44712</v>
      </c>
      <c r="B30" s="107">
        <f t="shared" si="1"/>
        <v>2022</v>
      </c>
      <c r="C30" s="107">
        <f t="shared" si="2"/>
        <v>2</v>
      </c>
      <c r="D30" s="108">
        <v>4027.6</v>
      </c>
      <c r="K30" s="132">
        <v>281883.696491696</v>
      </c>
      <c r="M30">
        <v>281883.696491696</v>
      </c>
      <c r="N30">
        <v>272676.07154579222</v>
      </c>
      <c r="O30" s="134">
        <v>272676.07154579222</v>
      </c>
    </row>
    <row r="31" spans="1:15" ht="16">
      <c r="A31" s="106">
        <v>44742</v>
      </c>
      <c r="B31" s="107">
        <f t="shared" si="1"/>
        <v>2022</v>
      </c>
      <c r="C31" s="107">
        <f t="shared" si="2"/>
        <v>2</v>
      </c>
      <c r="D31" s="108">
        <v>3922.5</v>
      </c>
      <c r="K31" s="132">
        <v>305608.79325632699</v>
      </c>
      <c r="M31">
        <v>305608.79325632699</v>
      </c>
      <c r="N31">
        <v>308942.38805702335</v>
      </c>
      <c r="O31" s="134">
        <v>308942.38805702335</v>
      </c>
    </row>
    <row r="32" spans="1:15" ht="16">
      <c r="A32" s="106">
        <v>44773</v>
      </c>
      <c r="B32" s="107">
        <f t="shared" si="1"/>
        <v>2022</v>
      </c>
      <c r="C32" s="107">
        <f t="shared" si="2"/>
        <v>3</v>
      </c>
      <c r="D32" s="108">
        <v>4394.01</v>
      </c>
      <c r="K32" s="132">
        <v>325802.51248569897</v>
      </c>
      <c r="M32">
        <v>325802.51248569897</v>
      </c>
      <c r="N32">
        <v>337273.88646908326</v>
      </c>
      <c r="O32" s="134">
        <v>337273.88646908326</v>
      </c>
    </row>
    <row r="33" spans="1:15" ht="16">
      <c r="A33" s="106">
        <v>44804</v>
      </c>
      <c r="B33" s="107">
        <f t="shared" si="1"/>
        <v>2022</v>
      </c>
      <c r="C33" s="107">
        <f t="shared" si="2"/>
        <v>3</v>
      </c>
      <c r="D33" s="108">
        <v>4326.7700000000004</v>
      </c>
      <c r="K33" s="132">
        <v>343812.22067135997</v>
      </c>
      <c r="M33">
        <v>343812.22067135997</v>
      </c>
      <c r="N33">
        <v>337257.15089552314</v>
      </c>
      <c r="O33" s="134">
        <v>337257.15089552314</v>
      </c>
    </row>
    <row r="34" spans="1:15" ht="16">
      <c r="A34" s="106">
        <v>44834</v>
      </c>
      <c r="B34" s="107">
        <f t="shared" si="1"/>
        <v>2022</v>
      </c>
      <c r="C34" s="107">
        <f t="shared" si="2"/>
        <v>3</v>
      </c>
      <c r="D34" s="108">
        <v>4437.3100000000004</v>
      </c>
      <c r="K34" s="132">
        <v>365869.85797135503</v>
      </c>
      <c r="M34">
        <v>365869.85797135503</v>
      </c>
      <c r="N34">
        <v>354093.84880064527</v>
      </c>
      <c r="O34" s="134">
        <v>354093.84880064527</v>
      </c>
    </row>
    <row r="35" spans="1:15" ht="16">
      <c r="A35" s="106">
        <v>44865</v>
      </c>
      <c r="B35" s="107">
        <f t="shared" si="1"/>
        <v>2022</v>
      </c>
      <c r="C35" s="107">
        <f t="shared" si="2"/>
        <v>4</v>
      </c>
      <c r="D35" s="108">
        <v>4714.96</v>
      </c>
      <c r="K35" s="132">
        <v>380784.65316089499</v>
      </c>
      <c r="M35">
        <v>380784.65316089499</v>
      </c>
      <c r="N35">
        <v>385378.43125501461</v>
      </c>
      <c r="O35" s="134">
        <v>385378.43125501461</v>
      </c>
    </row>
    <row r="36" spans="1:15" ht="16">
      <c r="A36" s="106">
        <v>44895</v>
      </c>
      <c r="B36" s="107">
        <f t="shared" si="1"/>
        <v>2022</v>
      </c>
      <c r="C36" s="107">
        <f t="shared" si="2"/>
        <v>4</v>
      </c>
      <c r="D36" s="108">
        <v>4922.3</v>
      </c>
      <c r="K36" s="132">
        <v>380612.26819638797</v>
      </c>
      <c r="M36">
        <v>380612.26819638797</v>
      </c>
      <c r="N36">
        <v>394349.5690488143</v>
      </c>
      <c r="O36" s="134">
        <v>394349.5690488143</v>
      </c>
    </row>
    <row r="37" spans="1:15" ht="16">
      <c r="A37" s="106">
        <v>44926</v>
      </c>
      <c r="B37" s="107">
        <f t="shared" si="1"/>
        <v>2022</v>
      </c>
      <c r="C37" s="107">
        <f t="shared" si="2"/>
        <v>4</v>
      </c>
      <c r="D37" s="108">
        <v>4787.8900000000003</v>
      </c>
      <c r="K37" s="132">
        <v>393577.24582226499</v>
      </c>
      <c r="M37">
        <v>393577.24582226499</v>
      </c>
      <c r="N37">
        <v>386432.31567809795</v>
      </c>
      <c r="O37" s="134">
        <v>386432.31567809795</v>
      </c>
    </row>
    <row r="38" spans="1:15" ht="16">
      <c r="A38" s="106">
        <v>44957</v>
      </c>
      <c r="B38" s="107">
        <f t="shared" si="1"/>
        <v>2023</v>
      </c>
      <c r="C38" s="107">
        <f t="shared" si="2"/>
        <v>1</v>
      </c>
      <c r="D38" s="108">
        <v>4712.18</v>
      </c>
      <c r="K38" s="132">
        <v>395046.80375063798</v>
      </c>
      <c r="M38">
        <v>395046.80375063798</v>
      </c>
      <c r="N38">
        <v>382586.02182490879</v>
      </c>
      <c r="O38" s="134">
        <v>382586.02182490879</v>
      </c>
    </row>
    <row r="39" spans="1:15" ht="16">
      <c r="A39" s="106">
        <v>44985</v>
      </c>
      <c r="B39" s="107">
        <f t="shared" si="1"/>
        <v>2023</v>
      </c>
      <c r="C39" s="107">
        <f t="shared" si="2"/>
        <v>1</v>
      </c>
      <c r="D39" s="108">
        <v>4802.75</v>
      </c>
      <c r="K39" s="132">
        <v>396686.47659186198</v>
      </c>
      <c r="M39">
        <v>396686.47659186198</v>
      </c>
      <c r="N39">
        <v>401994.47219054779</v>
      </c>
      <c r="O39" s="134">
        <v>401994.47219054779</v>
      </c>
    </row>
    <row r="40" spans="1:15" ht="16">
      <c r="A40" s="106">
        <v>45016</v>
      </c>
      <c r="B40" s="107">
        <f t="shared" si="1"/>
        <v>2023</v>
      </c>
      <c r="C40" s="107">
        <f t="shared" si="2"/>
        <v>1</v>
      </c>
      <c r="D40" s="108">
        <v>4760.96</v>
      </c>
      <c r="K40" s="132">
        <v>401889.473835235</v>
      </c>
      <c r="M40">
        <v>401889.473835235</v>
      </c>
      <c r="N40">
        <v>416187.19030644454</v>
      </c>
      <c r="O40" s="134">
        <v>416187.19030644454</v>
      </c>
    </row>
    <row r="41" spans="1:15" ht="16">
      <c r="A41" s="106">
        <v>45046</v>
      </c>
      <c r="B41" s="107">
        <f t="shared" si="1"/>
        <v>2023</v>
      </c>
      <c r="C41" s="107">
        <f t="shared" si="2"/>
        <v>2</v>
      </c>
      <c r="D41" s="108">
        <v>4526.03</v>
      </c>
      <c r="K41" s="132">
        <v>410100.73347405897</v>
      </c>
      <c r="M41">
        <v>410100.73347405897</v>
      </c>
      <c r="N41">
        <v>402589.99481403886</v>
      </c>
      <c r="O41" s="134">
        <v>402589.99481403886</v>
      </c>
    </row>
    <row r="42" spans="1:15" ht="16">
      <c r="A42" s="106">
        <v>45077</v>
      </c>
      <c r="B42" s="107">
        <f t="shared" si="1"/>
        <v>2023</v>
      </c>
      <c r="C42" s="107">
        <f t="shared" si="2"/>
        <v>2</v>
      </c>
      <c r="D42" s="108">
        <v>4539.54</v>
      </c>
      <c r="K42" s="132">
        <v>424437.80539373501</v>
      </c>
      <c r="M42">
        <v>424437.80539373501</v>
      </c>
      <c r="N42">
        <v>410504.76996198046</v>
      </c>
      <c r="O42" s="134">
        <v>410504.76996198046</v>
      </c>
    </row>
    <row r="43" spans="1:15" ht="16">
      <c r="A43" s="106">
        <v>45107</v>
      </c>
      <c r="B43" s="107">
        <f t="shared" si="1"/>
        <v>2023</v>
      </c>
      <c r="C43" s="107">
        <f t="shared" si="2"/>
        <v>2</v>
      </c>
      <c r="D43" s="108">
        <v>4213.53</v>
      </c>
      <c r="K43" s="132">
        <v>431012.09069482097</v>
      </c>
      <c r="M43">
        <v>431012.09069482097</v>
      </c>
      <c r="N43">
        <v>436846.36403288489</v>
      </c>
      <c r="O43" s="134">
        <v>436846.36403288489</v>
      </c>
    </row>
    <row r="44" spans="1:15" ht="16">
      <c r="A44" s="106">
        <v>45138</v>
      </c>
      <c r="B44" s="107">
        <f t="shared" si="1"/>
        <v>2023</v>
      </c>
      <c r="C44" s="107">
        <f t="shared" si="2"/>
        <v>3</v>
      </c>
      <c r="D44" s="108">
        <v>4067.63</v>
      </c>
      <c r="K44" s="132">
        <v>447765.37043738499</v>
      </c>
      <c r="M44">
        <v>447765.37043738499</v>
      </c>
      <c r="N44">
        <v>463374.87119109533</v>
      </c>
      <c r="O44" s="134">
        <v>463374.87119109533</v>
      </c>
    </row>
    <row r="45" spans="1:15" ht="16">
      <c r="A45" s="106">
        <v>45169</v>
      </c>
      <c r="B45" s="107">
        <f t="shared" si="1"/>
        <v>2023</v>
      </c>
      <c r="C45" s="107">
        <f t="shared" si="2"/>
        <v>3</v>
      </c>
      <c r="D45" s="108">
        <v>4066.87</v>
      </c>
      <c r="K45" s="132">
        <v>452861.80195421301</v>
      </c>
      <c r="M45">
        <v>452861.80195421301</v>
      </c>
      <c r="N45">
        <v>444412.11288930901</v>
      </c>
      <c r="O45" s="134">
        <v>444412.11288930901</v>
      </c>
    </row>
    <row r="46" spans="1:15" ht="16">
      <c r="A46" s="106">
        <v>45199</v>
      </c>
      <c r="B46" s="107">
        <f t="shared" si="1"/>
        <v>2023</v>
      </c>
      <c r="C46" s="107">
        <f t="shared" si="2"/>
        <v>3</v>
      </c>
      <c r="D46" s="108">
        <v>4008.41</v>
      </c>
      <c r="K46" s="132">
        <v>456935.83561972098</v>
      </c>
      <c r="M46">
        <v>456935.83561972098</v>
      </c>
      <c r="N46">
        <v>442049.55142474046</v>
      </c>
      <c r="O46" s="134">
        <v>442049.55142474046</v>
      </c>
    </row>
    <row r="47" spans="1:15" ht="16">
      <c r="A47" s="106">
        <v>45230</v>
      </c>
      <c r="B47" s="107">
        <f t="shared" si="1"/>
        <v>2023</v>
      </c>
      <c r="C47" s="107">
        <f t="shared" si="2"/>
        <v>4</v>
      </c>
      <c r="D47" s="108">
        <v>4219.16</v>
      </c>
      <c r="K47" s="132">
        <v>471118.77767973498</v>
      </c>
      <c r="M47">
        <v>471118.77767973498</v>
      </c>
      <c r="N47">
        <v>477659.73270967748</v>
      </c>
      <c r="O47" s="134">
        <v>477659.73270967748</v>
      </c>
    </row>
    <row r="48" spans="1:15" ht="16">
      <c r="A48" s="106">
        <v>45260</v>
      </c>
      <c r="B48" s="107">
        <f t="shared" si="1"/>
        <v>2023</v>
      </c>
      <c r="C48" s="107">
        <f t="shared" si="2"/>
        <v>4</v>
      </c>
      <c r="D48" s="108">
        <v>4040.26</v>
      </c>
      <c r="K48" s="133">
        <v>473028.85940548498</v>
      </c>
      <c r="M48">
        <v>473028.85940548498</v>
      </c>
      <c r="N48">
        <v>489823.87763542711</v>
      </c>
      <c r="O48" s="135">
        <v>489823.87763542711</v>
      </c>
    </row>
    <row r="49" spans="1:4" ht="16">
      <c r="A49" s="106">
        <v>45291</v>
      </c>
      <c r="B49" s="107">
        <f t="shared" si="1"/>
        <v>2023</v>
      </c>
      <c r="C49" s="107">
        <f t="shared" si="2"/>
        <v>4</v>
      </c>
      <c r="D49" s="108">
        <v>3954.14</v>
      </c>
    </row>
    <row r="50" spans="1:4" ht="16">
      <c r="A50" s="106">
        <v>45322</v>
      </c>
      <c r="B50" s="107">
        <f t="shared" si="1"/>
        <v>2024</v>
      </c>
      <c r="C50" s="107">
        <f t="shared" si="2"/>
        <v>1</v>
      </c>
      <c r="D50" s="108">
        <v>3920.2</v>
      </c>
    </row>
    <row r="51" spans="1:4" ht="16">
      <c r="A51" s="106">
        <v>45351</v>
      </c>
      <c r="B51" s="107">
        <f t="shared" si="1"/>
        <v>2024</v>
      </c>
      <c r="C51" s="107">
        <f t="shared" si="2"/>
        <v>1</v>
      </c>
      <c r="D51" s="108">
        <v>3931.85</v>
      </c>
    </row>
    <row r="52" spans="1:4" ht="16">
      <c r="A52" s="106">
        <v>45382</v>
      </c>
      <c r="B52" s="107">
        <f t="shared" si="1"/>
        <v>2024</v>
      </c>
      <c r="C52" s="107">
        <f t="shared" si="2"/>
        <v>1</v>
      </c>
      <c r="D52" s="108">
        <v>3908.67</v>
      </c>
    </row>
    <row r="53" spans="1:4" ht="16">
      <c r="A53" s="106">
        <v>45412</v>
      </c>
      <c r="B53" s="107">
        <f t="shared" si="1"/>
        <v>2024</v>
      </c>
      <c r="C53" s="107">
        <f t="shared" si="2"/>
        <v>2</v>
      </c>
      <c r="D53" s="108">
        <v>3866.12</v>
      </c>
    </row>
    <row r="54" spans="1:4" ht="16">
      <c r="A54" s="106">
        <v>45443</v>
      </c>
      <c r="B54" s="107">
        <f t="shared" si="1"/>
        <v>2024</v>
      </c>
      <c r="C54" s="107">
        <f t="shared" si="2"/>
        <v>2</v>
      </c>
      <c r="D54" s="108">
        <v>3865.09</v>
      </c>
    </row>
    <row r="55" spans="1:4" ht="16">
      <c r="A55" s="106">
        <v>45473</v>
      </c>
      <c r="B55" s="107">
        <f t="shared" si="1"/>
        <v>2024</v>
      </c>
      <c r="C55" s="107">
        <f t="shared" si="2"/>
        <v>2</v>
      </c>
      <c r="D55" s="108">
        <v>4054.56</v>
      </c>
    </row>
    <row r="56" spans="1:4" ht="16">
      <c r="A56" s="106">
        <v>45504</v>
      </c>
      <c r="B56" s="107">
        <f t="shared" si="1"/>
        <v>2024</v>
      </c>
      <c r="C56" s="107">
        <f t="shared" si="2"/>
        <v>3</v>
      </c>
      <c r="D56" s="108">
        <v>4036.8</v>
      </c>
    </row>
    <row r="57" spans="1:4" ht="16">
      <c r="A57" s="106">
        <v>45535</v>
      </c>
      <c r="B57" s="107">
        <f t="shared" si="1"/>
        <v>2024</v>
      </c>
      <c r="C57" s="107">
        <f t="shared" si="2"/>
        <v>3</v>
      </c>
      <c r="D57" s="108">
        <v>4062.98</v>
      </c>
    </row>
    <row r="58" spans="1:4" ht="16">
      <c r="A58" s="106">
        <v>45565</v>
      </c>
      <c r="B58" s="107">
        <f t="shared" si="1"/>
        <v>2024</v>
      </c>
      <c r="C58" s="107">
        <f t="shared" si="2"/>
        <v>3</v>
      </c>
      <c r="D58" s="108">
        <v>4191.8599999999997</v>
      </c>
    </row>
    <row r="59" spans="1:4" ht="16">
      <c r="A59" s="106">
        <v>45596</v>
      </c>
      <c r="B59" s="107">
        <f t="shared" si="1"/>
        <v>2024</v>
      </c>
      <c r="C59" s="107">
        <f t="shared" si="2"/>
        <v>4</v>
      </c>
      <c r="D59" s="108">
        <v>4257.76</v>
      </c>
    </row>
    <row r="60" spans="1:4" ht="16">
      <c r="A60" s="106">
        <v>45626</v>
      </c>
      <c r="B60" s="107">
        <f t="shared" si="1"/>
        <v>2024</v>
      </c>
      <c r="C60" s="107">
        <f t="shared" si="2"/>
        <v>4</v>
      </c>
      <c r="D60" s="108">
        <v>4411.12</v>
      </c>
    </row>
    <row r="61" spans="1:4" ht="16">
      <c r="A61" s="106">
        <v>45657</v>
      </c>
      <c r="B61" s="107">
        <f t="shared" si="1"/>
        <v>2024</v>
      </c>
      <c r="C61" s="107">
        <f t="shared" si="2"/>
        <v>4</v>
      </c>
      <c r="D61" s="108">
        <v>4386.2</v>
      </c>
    </row>
    <row r="62" spans="1:4" ht="16">
      <c r="A62" s="106">
        <v>45688</v>
      </c>
      <c r="B62" s="107">
        <f t="shared" si="1"/>
        <v>2025</v>
      </c>
      <c r="C62" s="107">
        <f t="shared" si="2"/>
        <v>1</v>
      </c>
      <c r="D62" s="108">
        <v>4300.3100000000004</v>
      </c>
    </row>
    <row r="63" spans="1:4" ht="16">
      <c r="A63" s="106">
        <v>45716</v>
      </c>
      <c r="B63" s="107">
        <f t="shared" si="1"/>
        <v>2025</v>
      </c>
      <c r="C63" s="107">
        <f t="shared" si="2"/>
        <v>1</v>
      </c>
      <c r="D63" s="108">
        <v>4131.95</v>
      </c>
    </row>
    <row r="64" spans="1:4" ht="16">
      <c r="A64" s="106">
        <v>45747</v>
      </c>
      <c r="B64" s="107">
        <f t="shared" si="1"/>
        <v>2025</v>
      </c>
      <c r="C64" s="107">
        <f t="shared" si="2"/>
        <v>1</v>
      </c>
      <c r="D64" s="108">
        <v>4133.4799999999996</v>
      </c>
    </row>
    <row r="65" spans="1:4" ht="16">
      <c r="A65" s="106">
        <v>45777</v>
      </c>
      <c r="B65" s="107">
        <f t="shared" si="1"/>
        <v>2025</v>
      </c>
      <c r="C65" s="107">
        <f t="shared" si="2"/>
        <v>2</v>
      </c>
      <c r="D65" s="108">
        <v>4273.88</v>
      </c>
    </row>
    <row r="66" spans="1:4" ht="16">
      <c r="A66" s="106">
        <v>45808</v>
      </c>
      <c r="B66" s="107">
        <f t="shared" si="1"/>
        <v>2025</v>
      </c>
      <c r="C66" s="107">
        <f t="shared" si="2"/>
        <v>2</v>
      </c>
      <c r="D66" s="108">
        <v>4202.3</v>
      </c>
    </row>
    <row r="67" spans="1:4" ht="16">
      <c r="A67" s="106">
        <v>45838</v>
      </c>
      <c r="B67" s="107">
        <f t="shared" ref="B67:B76" si="3">YEAR(A67)</f>
        <v>2025</v>
      </c>
      <c r="C67" s="107">
        <f t="shared" ref="C67:C76" si="4">INT((MONTH(A67)-1)/3)+1</f>
        <v>2</v>
      </c>
      <c r="D67" s="108">
        <v>4115.88</v>
      </c>
    </row>
    <row r="68" spans="1:4" ht="16">
      <c r="A68" s="106">
        <v>45869</v>
      </c>
      <c r="B68" s="107">
        <f t="shared" si="3"/>
        <v>2025</v>
      </c>
      <c r="C68" s="107">
        <f t="shared" si="4"/>
        <v>3</v>
      </c>
      <c r="D68" s="108">
        <v>4047.29</v>
      </c>
    </row>
    <row r="69" spans="1:4" ht="16">
      <c r="A69" s="106">
        <v>45900</v>
      </c>
      <c r="B69" s="107">
        <f t="shared" si="3"/>
        <v>2025</v>
      </c>
      <c r="C69" s="107">
        <f t="shared" si="4"/>
        <v>3</v>
      </c>
      <c r="D69" s="108">
        <v>4051.59</v>
      </c>
    </row>
    <row r="70" spans="1:4" ht="16">
      <c r="A70" s="106">
        <v>45930</v>
      </c>
      <c r="B70" s="107">
        <f t="shared" si="3"/>
        <v>2025</v>
      </c>
      <c r="C70" s="107">
        <f t="shared" si="4"/>
        <v>3</v>
      </c>
      <c r="D70" s="108">
        <v>3924.24</v>
      </c>
    </row>
    <row r="71" spans="1:4" ht="16">
      <c r="A71" s="106">
        <v>45961</v>
      </c>
      <c r="B71" s="107">
        <f t="shared" si="3"/>
        <v>2025</v>
      </c>
      <c r="C71" s="107">
        <f t="shared" si="4"/>
        <v>4</v>
      </c>
      <c r="D71" s="108">
        <v>3881.44</v>
      </c>
    </row>
    <row r="72" spans="1:4" ht="16">
      <c r="A72" s="106">
        <v>45991</v>
      </c>
      <c r="B72" s="107">
        <f t="shared" si="3"/>
        <v>2025</v>
      </c>
      <c r="C72" s="107">
        <f t="shared" si="4"/>
        <v>4</v>
      </c>
      <c r="D72" s="108">
        <v>3780.34</v>
      </c>
    </row>
    <row r="73" spans="1:4" ht="16">
      <c r="A73" s="106">
        <v>46022</v>
      </c>
      <c r="B73" s="107">
        <f t="shared" si="3"/>
        <v>2025</v>
      </c>
      <c r="C73" s="107">
        <f t="shared" si="4"/>
        <v>4</v>
      </c>
      <c r="D73" s="108">
        <v>3794.93</v>
      </c>
    </row>
    <row r="74" spans="1:4" ht="16">
      <c r="A74" s="106">
        <v>46053</v>
      </c>
      <c r="B74" s="107">
        <f t="shared" si="3"/>
        <v>2026</v>
      </c>
      <c r="C74" s="107">
        <f t="shared" si="4"/>
        <v>1</v>
      </c>
      <c r="D74" s="108">
        <v>3697.84</v>
      </c>
    </row>
    <row r="75" spans="1:4" ht="16">
      <c r="A75" s="106">
        <v>46081</v>
      </c>
      <c r="B75" s="107">
        <f t="shared" si="3"/>
        <v>2026</v>
      </c>
      <c r="C75" s="107">
        <f t="shared" si="4"/>
        <v>1</v>
      </c>
      <c r="D75" s="108">
        <v>3672.62</v>
      </c>
    </row>
    <row r="76" spans="1:4" ht="16">
      <c r="A76" s="109">
        <v>46112</v>
      </c>
      <c r="B76" s="110">
        <f t="shared" si="3"/>
        <v>2026</v>
      </c>
      <c r="C76" s="110">
        <f t="shared" si="4"/>
        <v>1</v>
      </c>
      <c r="D76" s="111">
        <v>3717.31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E67A-CB11-4F7E-8840-4A28E9E7135B}">
  <dimension ref="A1:K50"/>
  <sheetViews>
    <sheetView topLeftCell="I1" zoomScale="83" zoomScaleNormal="67" workbookViewId="0">
      <selection activeCell="K19" sqref="K19"/>
    </sheetView>
  </sheetViews>
  <sheetFormatPr baseColWidth="10" defaultRowHeight="15"/>
  <cols>
    <col min="3" max="3" width="16.6640625" bestFit="1" customWidth="1"/>
    <col min="4" max="5" width="17.33203125" bestFit="1" customWidth="1"/>
    <col min="6" max="6" width="16.6640625" bestFit="1" customWidth="1"/>
    <col min="7" max="7" width="20.1640625" bestFit="1" customWidth="1"/>
    <col min="8" max="8" width="20.1640625" customWidth="1"/>
    <col min="10" max="10" width="19.6640625" bestFit="1" customWidth="1"/>
  </cols>
  <sheetData>
    <row r="1" spans="1:10" ht="16">
      <c r="A1" s="1" t="s">
        <v>0</v>
      </c>
      <c r="C1" s="2" t="s">
        <v>101</v>
      </c>
      <c r="D1" s="2" t="s">
        <v>103</v>
      </c>
      <c r="E1" s="2" t="s">
        <v>102</v>
      </c>
      <c r="F1" s="4" t="s">
        <v>104</v>
      </c>
      <c r="G1" s="2" t="s">
        <v>105</v>
      </c>
      <c r="H1" s="2" t="s">
        <v>449</v>
      </c>
      <c r="I1" s="2" t="s">
        <v>435</v>
      </c>
      <c r="J1" s="2" t="s">
        <v>396</v>
      </c>
    </row>
    <row r="2" spans="1:10">
      <c r="A2" s="139">
        <v>2021</v>
      </c>
      <c r="B2" t="s">
        <v>1</v>
      </c>
      <c r="C2" s="58">
        <v>-1438.1447740000001</v>
      </c>
      <c r="D2" s="58">
        <v>1318.8280556</v>
      </c>
      <c r="E2" s="58">
        <v>-320.86280019999998</v>
      </c>
      <c r="F2" s="58">
        <v>-2538.9623329999999</v>
      </c>
      <c r="G2" s="58">
        <v>190.12768700000001</v>
      </c>
      <c r="H2" s="58">
        <v>-2789.0141640000002</v>
      </c>
      <c r="I2">
        <v>77009.381297782165</v>
      </c>
      <c r="J2" s="87">
        <f>+H2/I2</f>
        <v>-3.6216550724065127E-2</v>
      </c>
    </row>
    <row r="3" spans="1:10">
      <c r="A3" s="139"/>
      <c r="B3" t="s">
        <v>2</v>
      </c>
      <c r="C3" s="58">
        <v>-1012.617587</v>
      </c>
      <c r="D3" s="58">
        <v>-6089.3846750000002</v>
      </c>
      <c r="E3" s="58">
        <v>181.65367391999999</v>
      </c>
      <c r="F3" s="58">
        <v>2985.7916681000002</v>
      </c>
      <c r="G3" s="58">
        <v>173.98878264999999</v>
      </c>
      <c r="H3" s="58">
        <v>-3760.5681380000001</v>
      </c>
      <c r="I3">
        <v>73783.912111543061</v>
      </c>
      <c r="J3" s="87">
        <f t="shared" ref="J3:J21" si="0">+H3/I3</f>
        <v>-5.0967318354100677E-2</v>
      </c>
    </row>
    <row r="4" spans="1:10">
      <c r="A4" s="139"/>
      <c r="B4" t="s">
        <v>3</v>
      </c>
      <c r="C4" s="58">
        <v>-2527.8875939999998</v>
      </c>
      <c r="D4" s="58">
        <v>850.56586331999995</v>
      </c>
      <c r="E4" s="58">
        <v>356.06058618999998</v>
      </c>
      <c r="F4" s="58">
        <v>-3336.998298</v>
      </c>
      <c r="G4" s="58">
        <v>154.45625244999999</v>
      </c>
      <c r="H4" s="58">
        <v>-4503.8031899999996</v>
      </c>
      <c r="I4">
        <v>80312.920414816894</v>
      </c>
      <c r="J4" s="87">
        <f t="shared" si="0"/>
        <v>-5.6078189745035034E-2</v>
      </c>
    </row>
    <row r="5" spans="1:10">
      <c r="A5" s="139"/>
      <c r="B5" t="s">
        <v>4</v>
      </c>
      <c r="C5" s="58">
        <v>-1401.8715480000001</v>
      </c>
      <c r="D5" s="58">
        <v>-675.38217320000001</v>
      </c>
      <c r="E5" s="58">
        <v>148.30763382000001</v>
      </c>
      <c r="F5" s="58">
        <v>-3845.76811</v>
      </c>
      <c r="G5" s="58">
        <v>134.97245000000001</v>
      </c>
      <c r="H5" s="58">
        <v>-5639.7417480000004</v>
      </c>
      <c r="I5">
        <v>86926.558115942811</v>
      </c>
      <c r="J5" s="87">
        <f t="shared" si="0"/>
        <v>-6.4879386349079901E-2</v>
      </c>
    </row>
    <row r="6" spans="1:10">
      <c r="A6" s="139">
        <v>2022</v>
      </c>
      <c r="B6" t="s">
        <v>1</v>
      </c>
      <c r="C6" s="58">
        <v>-3650.5735209999998</v>
      </c>
      <c r="D6" s="58">
        <v>1865.9167996000001</v>
      </c>
      <c r="E6" s="58">
        <v>-377.13607869999998</v>
      </c>
      <c r="F6" s="58">
        <v>-3001.8772269999999</v>
      </c>
      <c r="G6" s="58">
        <v>126.94617491</v>
      </c>
      <c r="H6" s="58">
        <v>-5036.7238520000001</v>
      </c>
      <c r="I6">
        <v>86147.800068675759</v>
      </c>
      <c r="J6" s="87">
        <f t="shared" si="0"/>
        <v>-5.8466076301249691E-2</v>
      </c>
    </row>
    <row r="7" spans="1:10">
      <c r="A7" s="139"/>
      <c r="B7" t="s">
        <v>2</v>
      </c>
      <c r="C7" s="58">
        <v>-3660.5871059999999</v>
      </c>
      <c r="D7" s="58">
        <v>-759.03031510000005</v>
      </c>
      <c r="E7" s="58">
        <v>36.169823274000002</v>
      </c>
      <c r="F7" s="58">
        <v>-642.40141700000004</v>
      </c>
      <c r="G7" s="58">
        <v>74.07856108</v>
      </c>
      <c r="H7" s="58">
        <v>-4951.7704540000004</v>
      </c>
      <c r="I7">
        <v>90433.954858169207</v>
      </c>
      <c r="J7" s="87">
        <f t="shared" si="0"/>
        <v>-5.4755655237748238E-2</v>
      </c>
    </row>
    <row r="8" spans="1:10">
      <c r="A8" s="139"/>
      <c r="B8" t="s">
        <v>3</v>
      </c>
      <c r="C8" s="58">
        <v>-2958.9113550000002</v>
      </c>
      <c r="D8" s="58">
        <v>-233.03538560000001</v>
      </c>
      <c r="E8" s="58">
        <v>487.33717306</v>
      </c>
      <c r="F8" s="58">
        <v>-3190.5331310000001</v>
      </c>
      <c r="G8" s="58">
        <v>159.38365880999999</v>
      </c>
      <c r="H8" s="58">
        <v>-5735.7590399999999</v>
      </c>
      <c r="I8">
        <v>87864.978409863732</v>
      </c>
      <c r="J8" s="87">
        <f t="shared" si="0"/>
        <v>-6.5279240304873309E-2</v>
      </c>
    </row>
    <row r="9" spans="1:10">
      <c r="A9" s="139"/>
      <c r="B9" t="s">
        <v>4</v>
      </c>
      <c r="C9" s="58">
        <v>-3528.6486420000001</v>
      </c>
      <c r="D9" s="58">
        <v>-446.84972670000002</v>
      </c>
      <c r="E9" s="58">
        <v>676.96965304000003</v>
      </c>
      <c r="F9" s="58">
        <v>-1653.3628659999999</v>
      </c>
      <c r="G9" s="58">
        <v>210.48249969</v>
      </c>
      <c r="H9" s="58">
        <v>-4741.4090820000001</v>
      </c>
      <c r="I9">
        <v>82012.922371444496</v>
      </c>
      <c r="J9" s="87">
        <f t="shared" si="0"/>
        <v>-5.7812951238655999E-2</v>
      </c>
    </row>
    <row r="10" spans="1:10">
      <c r="A10" s="139">
        <v>2023</v>
      </c>
      <c r="B10" t="s">
        <v>1</v>
      </c>
      <c r="C10" s="58">
        <v>-3600.4136250000001</v>
      </c>
      <c r="D10" s="58">
        <v>1111.2809603000001</v>
      </c>
      <c r="E10" s="58">
        <v>-248.37005310000001</v>
      </c>
      <c r="F10" s="58">
        <v>-218.92539249999999</v>
      </c>
      <c r="G10" s="58">
        <v>365.72011872000002</v>
      </c>
      <c r="H10" s="58">
        <v>-2590.7079920000001</v>
      </c>
      <c r="I10">
        <v>81206.632093291119</v>
      </c>
      <c r="J10" s="87">
        <f t="shared" si="0"/>
        <v>-3.1902665154537685E-2</v>
      </c>
    </row>
    <row r="11" spans="1:10">
      <c r="A11" s="139"/>
      <c r="B11" t="s">
        <v>2</v>
      </c>
      <c r="C11" s="58">
        <v>-5441.7419250000003</v>
      </c>
      <c r="D11" s="58">
        <v>1519.8078743000001</v>
      </c>
      <c r="E11" s="58">
        <v>-756.28899639999997</v>
      </c>
      <c r="F11" s="58">
        <v>1579.9864915999999</v>
      </c>
      <c r="G11" s="58">
        <v>399.08935855999999</v>
      </c>
      <c r="H11" s="58">
        <v>-2699.1471969999998</v>
      </c>
      <c r="I11">
        <v>86433.422858079735</v>
      </c>
      <c r="J11" s="87">
        <f t="shared" si="0"/>
        <v>-3.1228049378906268E-2</v>
      </c>
    </row>
    <row r="12" spans="1:10">
      <c r="A12" s="139"/>
      <c r="B12" t="s">
        <v>3</v>
      </c>
      <c r="C12" s="58">
        <v>-3334.7105759999999</v>
      </c>
      <c r="D12" s="58">
        <v>4527.3294861000004</v>
      </c>
      <c r="E12" s="58">
        <v>-690.52362960000005</v>
      </c>
      <c r="F12" s="58">
        <v>-2335.7994560000002</v>
      </c>
      <c r="G12" s="58">
        <v>457.47194811000003</v>
      </c>
      <c r="H12" s="58">
        <v>-1376.2322280000001</v>
      </c>
      <c r="I12">
        <v>99315.849048674761</v>
      </c>
      <c r="J12" s="87">
        <f t="shared" si="0"/>
        <v>-1.3857125938937578E-2</v>
      </c>
    </row>
    <row r="13" spans="1:10">
      <c r="A13" s="139"/>
      <c r="B13" t="s">
        <v>4</v>
      </c>
      <c r="C13" s="58">
        <v>-3148.039894</v>
      </c>
      <c r="D13" s="58">
        <v>1504.3073412000001</v>
      </c>
      <c r="E13" s="58">
        <v>-879.40544580000005</v>
      </c>
      <c r="F13" s="58">
        <v>844.61254584000005</v>
      </c>
      <c r="G13" s="58">
        <v>496.10652671999998</v>
      </c>
      <c r="H13" s="58">
        <v>-1182.4189260000001</v>
      </c>
      <c r="I13">
        <v>102227.48903017085</v>
      </c>
      <c r="J13" s="87">
        <f t="shared" si="0"/>
        <v>-1.1566545722853738E-2</v>
      </c>
    </row>
    <row r="14" spans="1:10">
      <c r="A14" s="139">
        <v>2024</v>
      </c>
      <c r="B14" t="s">
        <v>1</v>
      </c>
      <c r="C14" s="58">
        <v>-2407.8678650000002</v>
      </c>
      <c r="D14" s="58">
        <v>1415.8371325000001</v>
      </c>
      <c r="E14" s="58">
        <v>-575.17204990000005</v>
      </c>
      <c r="F14" s="58">
        <v>-869.83180259999995</v>
      </c>
      <c r="G14" s="58">
        <v>951.37462548999997</v>
      </c>
      <c r="H14" s="58">
        <v>-1485.6599590000001</v>
      </c>
      <c r="I14">
        <v>102695.2418255104</v>
      </c>
      <c r="J14" s="87">
        <f t="shared" si="0"/>
        <v>-1.446668738094299E-2</v>
      </c>
    </row>
    <row r="15" spans="1:10">
      <c r="A15" s="139"/>
      <c r="B15" t="s">
        <v>2</v>
      </c>
      <c r="C15" s="58">
        <v>-1646.3809650000001</v>
      </c>
      <c r="D15" s="58">
        <v>-451.2502465</v>
      </c>
      <c r="E15" s="58">
        <v>80.169823273999995</v>
      </c>
      <c r="F15" s="58">
        <v>23.453202714</v>
      </c>
      <c r="G15" s="58">
        <v>914.45394584999997</v>
      </c>
      <c r="H15" s="58">
        <v>-1079.5542399999999</v>
      </c>
      <c r="I15">
        <v>104491.62930262015</v>
      </c>
      <c r="J15" s="87">
        <f t="shared" si="0"/>
        <v>-1.0331490160551357E-2</v>
      </c>
    </row>
    <row r="16" spans="1:10">
      <c r="A16" s="139"/>
      <c r="B16" t="s">
        <v>3</v>
      </c>
      <c r="C16" s="58">
        <v>-2455.6266839999998</v>
      </c>
      <c r="D16" s="58">
        <v>3489.4302171999998</v>
      </c>
      <c r="E16" s="58">
        <v>281.66982326999999</v>
      </c>
      <c r="F16" s="58">
        <v>-3385.3810990000002</v>
      </c>
      <c r="G16" s="58">
        <v>1045.5225390000001</v>
      </c>
      <c r="H16" s="58">
        <v>-1024.3852039999999</v>
      </c>
      <c r="I16">
        <v>106620.36083863949</v>
      </c>
      <c r="J16" s="87">
        <f t="shared" si="0"/>
        <v>-9.6077821904046682E-3</v>
      </c>
    </row>
    <row r="17" spans="1:11">
      <c r="A17" s="139"/>
      <c r="B17" t="s">
        <v>4</v>
      </c>
      <c r="C17" s="58">
        <v>-2662.207457</v>
      </c>
      <c r="D17" s="58">
        <v>-2182.4410849999999</v>
      </c>
      <c r="E17" s="58">
        <v>156.66982326999999</v>
      </c>
      <c r="F17" s="58">
        <v>2018.3096446</v>
      </c>
      <c r="G17" s="58">
        <v>681.96285583999997</v>
      </c>
      <c r="H17" s="58">
        <v>-1987.706218</v>
      </c>
      <c r="I17">
        <v>106481.5086214168</v>
      </c>
      <c r="J17" s="87">
        <f t="shared" si="0"/>
        <v>-1.8667149289432677E-2</v>
      </c>
    </row>
    <row r="18" spans="1:11">
      <c r="A18" s="139">
        <v>2025</v>
      </c>
      <c r="B18" t="s">
        <v>1</v>
      </c>
      <c r="C18" s="58">
        <v>-2127.9737500000001</v>
      </c>
      <c r="D18" s="58">
        <v>2941.0469398999999</v>
      </c>
      <c r="E18" s="58">
        <v>-422.282895</v>
      </c>
      <c r="F18" s="58">
        <v>-2429.2437020000002</v>
      </c>
      <c r="G18" s="58">
        <v>563.57734721999998</v>
      </c>
      <c r="H18" s="58">
        <v>-1474.8760589999999</v>
      </c>
      <c r="I18">
        <v>106100.90123366607</v>
      </c>
      <c r="J18" s="87">
        <f t="shared" si="0"/>
        <v>-1.3900693037016526E-2</v>
      </c>
    </row>
    <row r="19" spans="1:11">
      <c r="A19" s="139"/>
      <c r="B19" t="s">
        <v>2</v>
      </c>
      <c r="C19" s="58">
        <v>-1561.2484030000001</v>
      </c>
      <c r="D19" s="58">
        <v>-3760.1064540000002</v>
      </c>
      <c r="E19" s="58">
        <v>-448.318195</v>
      </c>
      <c r="F19" s="58">
        <v>3394.6394282000001</v>
      </c>
      <c r="G19" s="58">
        <v>524.58469700000001</v>
      </c>
      <c r="H19" s="58">
        <v>-1850.448926</v>
      </c>
      <c r="I19">
        <v>105316.2591565019</v>
      </c>
      <c r="J19" s="87">
        <f t="shared" si="0"/>
        <v>-1.7570401197503596E-2</v>
      </c>
    </row>
    <row r="20" spans="1:11">
      <c r="A20" s="139"/>
      <c r="B20" t="s">
        <v>3</v>
      </c>
      <c r="C20" s="58">
        <v>-1858.9645599999999</v>
      </c>
      <c r="D20" s="58">
        <v>-4963.3955640000004</v>
      </c>
      <c r="E20" s="58">
        <v>-398.30489499999999</v>
      </c>
      <c r="F20" s="58">
        <v>4435.3333892000001</v>
      </c>
      <c r="G20" s="58">
        <v>534.16449928999998</v>
      </c>
      <c r="H20" s="58">
        <v>-2251.1671299999998</v>
      </c>
      <c r="I20">
        <v>119185.30282730544</v>
      </c>
      <c r="J20" s="87">
        <f t="shared" si="0"/>
        <v>-1.8887959140917298E-2</v>
      </c>
    </row>
    <row r="21" spans="1:11">
      <c r="A21" s="139"/>
      <c r="B21" t="s">
        <v>4</v>
      </c>
      <c r="C21" s="58">
        <v>-1761.7595699999999</v>
      </c>
      <c r="D21" s="58">
        <v>-1697.9149159999999</v>
      </c>
      <c r="E21" s="58">
        <v>-438.526095</v>
      </c>
      <c r="F21" s="58">
        <v>-115.6393827</v>
      </c>
      <c r="G21" s="58">
        <v>542.91344924999999</v>
      </c>
      <c r="H21" s="58">
        <v>-3470.9265140000002</v>
      </c>
      <c r="I21">
        <v>128262.96841818299</v>
      </c>
      <c r="J21" s="87">
        <f t="shared" si="0"/>
        <v>-2.7061018131777075E-2</v>
      </c>
      <c r="K21" s="3"/>
    </row>
    <row r="22" spans="1:11">
      <c r="K22" s="3"/>
    </row>
    <row r="23" spans="1:11">
      <c r="K23" s="3"/>
    </row>
    <row r="24" spans="1:11">
      <c r="A24" t="s">
        <v>98</v>
      </c>
      <c r="C24" s="136">
        <f t="shared" ref="C24:F24" si="1">AVERAGE(C2:C21)</f>
        <v>-2609.3088700499998</v>
      </c>
      <c r="D24" s="136">
        <f t="shared" si="1"/>
        <v>-35.721993554000086</v>
      </c>
      <c r="E24" s="136">
        <f t="shared" si="1"/>
        <v>-157.50915602909998</v>
      </c>
      <c r="F24" s="136">
        <f t="shared" si="1"/>
        <v>-614.12989232730013</v>
      </c>
      <c r="G24" s="136">
        <f>AVERAGE(G2:G21)</f>
        <v>435.06889888200004</v>
      </c>
      <c r="H24" s="136">
        <f>AVERAGE(H2:H21)</f>
        <v>-2981.6010130499999</v>
      </c>
      <c r="K24" s="3"/>
    </row>
    <row r="25" spans="1:11">
      <c r="A25" t="s">
        <v>100</v>
      </c>
      <c r="C25" s="137">
        <f t="shared" ref="C25:F25" si="2">MEDIAN(C2:C21)</f>
        <v>-2491.7571389999998</v>
      </c>
      <c r="D25" s="137">
        <f t="shared" si="2"/>
        <v>308.76523885999995</v>
      </c>
      <c r="E25" s="137">
        <f t="shared" si="2"/>
        <v>-284.61642664999999</v>
      </c>
      <c r="F25" s="137">
        <f t="shared" si="2"/>
        <v>-756.11660979999999</v>
      </c>
      <c r="G25" s="137">
        <f>MEDIAN(G2:G21)</f>
        <v>428.28065333500001</v>
      </c>
      <c r="H25" s="137">
        <f>MEDIAN(H2:H21)</f>
        <v>-2644.9275944999999</v>
      </c>
      <c r="K25" s="3"/>
    </row>
    <row r="26" spans="1:11">
      <c r="K26" s="3"/>
    </row>
    <row r="27" spans="1:11">
      <c r="A27" t="s">
        <v>99</v>
      </c>
      <c r="K27" s="3"/>
    </row>
    <row r="28" spans="1:11">
      <c r="A28" s="1" t="s">
        <v>0</v>
      </c>
      <c r="K28" s="3"/>
    </row>
    <row r="29" spans="1:11">
      <c r="A29" s="1">
        <v>2022</v>
      </c>
      <c r="B29" t="s">
        <v>1</v>
      </c>
      <c r="C29">
        <f t="shared" ref="C29:F42" si="3">(C6/C2)-1</f>
        <v>1.5383908400587769</v>
      </c>
      <c r="D29">
        <f t="shared" si="3"/>
        <v>0.41482947051130359</v>
      </c>
      <c r="E29">
        <f t="shared" si="3"/>
        <v>0.17538112384771232</v>
      </c>
      <c r="F29">
        <f t="shared" si="3"/>
        <v>0.18232444332997511</v>
      </c>
      <c r="K29" s="3"/>
    </row>
    <row r="30" spans="1:11">
      <c r="A30" s="1"/>
      <c r="B30" t="s">
        <v>2</v>
      </c>
      <c r="C30">
        <f t="shared" si="3"/>
        <v>2.6149748463730762</v>
      </c>
      <c r="D30">
        <f t="shared" si="3"/>
        <v>-0.87535188600973057</v>
      </c>
      <c r="E30">
        <f t="shared" si="3"/>
        <v>-0.80088581478440601</v>
      </c>
      <c r="F30">
        <f t="shared" si="3"/>
        <v>-1.2151527930978487</v>
      </c>
      <c r="K30" s="3"/>
    </row>
    <row r="31" spans="1:11">
      <c r="A31" s="1"/>
      <c r="B31" t="s">
        <v>3</v>
      </c>
      <c r="C31">
        <f t="shared" si="3"/>
        <v>0.17050748697174889</v>
      </c>
      <c r="D31">
        <f t="shared" si="3"/>
        <v>-1.2739768848592121</v>
      </c>
      <c r="E31">
        <f t="shared" si="3"/>
        <v>0.36869171135933754</v>
      </c>
      <c r="F31">
        <f t="shared" si="3"/>
        <v>-4.3891292089595191E-2</v>
      </c>
      <c r="K31" s="3"/>
    </row>
    <row r="32" spans="1:11">
      <c r="A32" s="1"/>
      <c r="B32" t="s">
        <v>4</v>
      </c>
      <c r="C32">
        <f t="shared" si="3"/>
        <v>1.5170984082202086</v>
      </c>
      <c r="D32">
        <f t="shared" si="3"/>
        <v>-0.33837500539464938</v>
      </c>
      <c r="E32">
        <f t="shared" si="3"/>
        <v>3.5646312034189256</v>
      </c>
      <c r="F32">
        <f t="shared" si="3"/>
        <v>-0.57008253781583318</v>
      </c>
      <c r="K32" s="3"/>
    </row>
    <row r="33" spans="1:11">
      <c r="A33" s="1">
        <v>2023</v>
      </c>
      <c r="B33" t="s">
        <v>1</v>
      </c>
      <c r="C33">
        <f t="shared" si="3"/>
        <v>-1.3740278263525973E-2</v>
      </c>
      <c r="D33">
        <f t="shared" si="3"/>
        <v>-0.40443166568936662</v>
      </c>
      <c r="E33">
        <f t="shared" si="3"/>
        <v>-0.34143120447097119</v>
      </c>
      <c r="F33">
        <f t="shared" si="3"/>
        <v>-0.92707050423951265</v>
      </c>
      <c r="K33" s="3"/>
    </row>
    <row r="34" spans="1:11">
      <c r="A34" s="1"/>
      <c r="B34" t="s">
        <v>2</v>
      </c>
      <c r="C34">
        <f t="shared" si="3"/>
        <v>0.48657626971382339</v>
      </c>
      <c r="D34">
        <f t="shared" si="3"/>
        <v>-3.0023019424458295</v>
      </c>
      <c r="E34">
        <f t="shared" si="3"/>
        <v>-21.909391529807227</v>
      </c>
      <c r="F34">
        <f t="shared" si="3"/>
        <v>-3.4595003214321984</v>
      </c>
      <c r="K34" s="3"/>
    </row>
    <row r="35" spans="1:11">
      <c r="A35" s="1"/>
      <c r="B35" t="s">
        <v>3</v>
      </c>
      <c r="C35">
        <f t="shared" si="3"/>
        <v>0.12700590721143779</v>
      </c>
      <c r="D35">
        <f t="shared" si="3"/>
        <v>-20.427648185031689</v>
      </c>
      <c r="E35">
        <f t="shared" si="3"/>
        <v>-2.4169319883073728</v>
      </c>
      <c r="F35">
        <f t="shared" si="3"/>
        <v>-0.26789681846434954</v>
      </c>
      <c r="K35" s="3"/>
    </row>
    <row r="36" spans="1:11">
      <c r="A36" s="1"/>
      <c r="B36" t="s">
        <v>4</v>
      </c>
      <c r="C36">
        <f t="shared" si="3"/>
        <v>-0.10786246708436098</v>
      </c>
      <c r="D36">
        <f t="shared" si="3"/>
        <v>-4.3664725551235302</v>
      </c>
      <c r="E36">
        <f t="shared" si="3"/>
        <v>-2.2990323005631668</v>
      </c>
      <c r="F36">
        <f t="shared" si="3"/>
        <v>-1.5108452374301722</v>
      </c>
      <c r="K36" s="3"/>
    </row>
    <row r="37" spans="1:11">
      <c r="A37" s="1">
        <v>2024</v>
      </c>
      <c r="B37" t="s">
        <v>1</v>
      </c>
      <c r="C37">
        <f t="shared" si="3"/>
        <v>-0.33122465477837981</v>
      </c>
      <c r="D37">
        <f t="shared" si="3"/>
        <v>0.27405866120281797</v>
      </c>
      <c r="E37">
        <f t="shared" si="3"/>
        <v>1.3157866365975344</v>
      </c>
      <c r="F37">
        <f t="shared" si="3"/>
        <v>2.9731882750878249</v>
      </c>
      <c r="K37" s="3"/>
    </row>
    <row r="38" spans="1:11">
      <c r="A38" s="1"/>
      <c r="B38" t="s">
        <v>2</v>
      </c>
      <c r="C38">
        <f t="shared" si="3"/>
        <v>-0.69745331776276764</v>
      </c>
      <c r="D38">
        <f t="shared" si="3"/>
        <v>-1.2969126914859808</v>
      </c>
      <c r="E38">
        <f t="shared" si="3"/>
        <v>-1.1060042175089353</v>
      </c>
      <c r="F38">
        <f t="shared" si="3"/>
        <v>-0.98515607390399285</v>
      </c>
      <c r="K38" s="3"/>
    </row>
    <row r="39" spans="1:11">
      <c r="A39" s="1"/>
      <c r="B39" t="s">
        <v>3</v>
      </c>
      <c r="C39">
        <f t="shared" si="3"/>
        <v>-0.2636162485364667</v>
      </c>
      <c r="D39">
        <f t="shared" si="3"/>
        <v>-0.2292519844395251</v>
      </c>
      <c r="E39">
        <f t="shared" si="3"/>
        <v>-1.4079075808501484</v>
      </c>
      <c r="F39">
        <f t="shared" si="3"/>
        <v>0.4493457862163317</v>
      </c>
      <c r="K39" s="3"/>
    </row>
    <row r="40" spans="1:11">
      <c r="A40" s="1"/>
      <c r="B40" t="s">
        <v>4</v>
      </c>
      <c r="C40">
        <f t="shared" si="3"/>
        <v>-0.15432855153010328</v>
      </c>
      <c r="D40">
        <f t="shared" si="3"/>
        <v>-2.4507946782065466</v>
      </c>
      <c r="E40">
        <f t="shared" si="3"/>
        <v>-1.1781542563993068</v>
      </c>
      <c r="F40">
        <f t="shared" si="3"/>
        <v>1.3896278294004176</v>
      </c>
      <c r="K40" s="3"/>
    </row>
    <row r="41" spans="1:11">
      <c r="A41" s="1">
        <v>2025</v>
      </c>
      <c r="B41" t="s">
        <v>1</v>
      </c>
      <c r="C41">
        <f t="shared" si="3"/>
        <v>-0.11624147614927371</v>
      </c>
      <c r="D41">
        <f t="shared" si="3"/>
        <v>1.0772494748085015</v>
      </c>
      <c r="E41">
        <f t="shared" si="3"/>
        <v>-0.26581464611603001</v>
      </c>
      <c r="F41">
        <f t="shared" si="3"/>
        <v>1.7927740682035167</v>
      </c>
    </row>
    <row r="42" spans="1:11">
      <c r="A42" s="1"/>
      <c r="B42" t="s">
        <v>2</v>
      </c>
      <c r="C42">
        <f>(C19/C15)-1</f>
        <v>-5.1708908089811434E-2</v>
      </c>
      <c r="D42">
        <f t="shared" si="3"/>
        <v>7.3326413296485597</v>
      </c>
      <c r="E42">
        <f t="shared" si="3"/>
        <v>-6.5921065644333883</v>
      </c>
      <c r="F42">
        <f t="shared" si="3"/>
        <v>143.7409750214467</v>
      </c>
    </row>
    <row r="50" spans="2:5">
      <c r="B50" s="17"/>
      <c r="C50" s="17"/>
      <c r="D50" s="17"/>
      <c r="E50" s="17"/>
    </row>
  </sheetData>
  <mergeCells count="5">
    <mergeCell ref="A18:A21"/>
    <mergeCell ref="A2:A5"/>
    <mergeCell ref="A6:A9"/>
    <mergeCell ref="A10:A13"/>
    <mergeCell ref="A14:A17"/>
  </mergeCells>
  <conditionalFormatting sqref="C2:F1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F1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9:F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H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H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0E6A-28A0-BC4A-910F-C1FDD37437FC}">
  <dimension ref="A1:CX195"/>
  <sheetViews>
    <sheetView topLeftCell="M166" zoomScale="86" zoomScaleNormal="100" workbookViewId="0">
      <selection activeCell="AD195" sqref="AD195"/>
    </sheetView>
  </sheetViews>
  <sheetFormatPr baseColWidth="10" defaultRowHeight="15"/>
  <sheetData>
    <row r="1" spans="1:102" ht="15" customHeight="1"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5">
        <v>27</v>
      </c>
      <c r="AE1" s="5">
        <v>28</v>
      </c>
      <c r="AF1" s="5">
        <v>29</v>
      </c>
      <c r="AG1" s="5">
        <v>30</v>
      </c>
      <c r="AH1" s="5">
        <v>31</v>
      </c>
      <c r="AI1" s="5">
        <v>32</v>
      </c>
      <c r="AJ1" s="5">
        <v>33</v>
      </c>
      <c r="AK1" s="5">
        <v>34</v>
      </c>
      <c r="AL1" s="5">
        <v>35</v>
      </c>
      <c r="AM1" s="5">
        <v>36</v>
      </c>
      <c r="AN1" s="5">
        <v>37</v>
      </c>
      <c r="AO1" s="5">
        <v>38</v>
      </c>
      <c r="AP1" s="5">
        <v>39</v>
      </c>
      <c r="AQ1" s="5">
        <v>40</v>
      </c>
      <c r="AR1" s="5">
        <v>41</v>
      </c>
      <c r="AS1" s="5">
        <v>42</v>
      </c>
      <c r="AT1" s="5">
        <v>43</v>
      </c>
      <c r="AU1" s="5">
        <v>44</v>
      </c>
      <c r="AV1" s="5">
        <v>45</v>
      </c>
      <c r="AW1" s="5">
        <v>46</v>
      </c>
      <c r="AX1" s="5">
        <v>47</v>
      </c>
      <c r="AY1" s="5">
        <v>48</v>
      </c>
      <c r="AZ1" s="5">
        <v>49</v>
      </c>
      <c r="BA1" s="5">
        <v>50</v>
      </c>
      <c r="BB1" s="5">
        <v>51</v>
      </c>
      <c r="BC1" s="5">
        <v>52</v>
      </c>
      <c r="BD1" s="5">
        <v>53</v>
      </c>
      <c r="BE1" s="5">
        <v>54</v>
      </c>
      <c r="BF1" s="5">
        <v>55</v>
      </c>
      <c r="BG1" s="5">
        <v>56</v>
      </c>
      <c r="BH1" s="5">
        <v>57</v>
      </c>
      <c r="BI1" s="5">
        <v>58</v>
      </c>
      <c r="BJ1" s="5">
        <v>59</v>
      </c>
      <c r="BK1" s="5">
        <v>60</v>
      </c>
      <c r="BL1" s="5">
        <v>61</v>
      </c>
      <c r="BM1" s="5">
        <v>62</v>
      </c>
      <c r="BN1" s="5">
        <v>63</v>
      </c>
      <c r="BO1" s="5">
        <v>64</v>
      </c>
      <c r="BP1" s="5">
        <v>65</v>
      </c>
      <c r="BQ1" s="5">
        <v>66</v>
      </c>
      <c r="BR1" s="5">
        <v>67</v>
      </c>
      <c r="BS1" s="5">
        <v>68</v>
      </c>
      <c r="BT1" s="5">
        <v>69</v>
      </c>
      <c r="BU1" s="5">
        <v>70</v>
      </c>
      <c r="BV1" s="5" t="s">
        <v>450</v>
      </c>
      <c r="BW1" s="5">
        <v>72</v>
      </c>
      <c r="BX1" s="5">
        <v>73</v>
      </c>
      <c r="BY1" s="5">
        <v>74</v>
      </c>
      <c r="BZ1" s="5">
        <v>75</v>
      </c>
      <c r="CA1" s="5">
        <v>76</v>
      </c>
      <c r="CB1" s="5">
        <v>78</v>
      </c>
      <c r="CC1" s="5">
        <v>79</v>
      </c>
      <c r="CD1" s="5">
        <v>80</v>
      </c>
      <c r="CE1" s="5">
        <v>81</v>
      </c>
      <c r="CF1" s="5">
        <v>82</v>
      </c>
      <c r="CG1" s="5">
        <v>83</v>
      </c>
      <c r="CH1" s="5">
        <v>84</v>
      </c>
      <c r="CI1" s="5">
        <v>85</v>
      </c>
      <c r="CJ1" s="5">
        <v>86</v>
      </c>
      <c r="CK1" s="5">
        <v>87</v>
      </c>
      <c r="CL1" s="5">
        <v>88</v>
      </c>
      <c r="CM1" s="5">
        <v>89</v>
      </c>
      <c r="CN1" s="5">
        <v>90</v>
      </c>
      <c r="CO1" s="5">
        <v>91</v>
      </c>
      <c r="CP1" s="5">
        <v>92</v>
      </c>
      <c r="CQ1" s="5">
        <v>93</v>
      </c>
      <c r="CR1" s="5">
        <v>94</v>
      </c>
      <c r="CS1" s="5">
        <v>95</v>
      </c>
      <c r="CT1" s="5">
        <v>96</v>
      </c>
      <c r="CU1" s="5">
        <v>97</v>
      </c>
      <c r="CV1" s="5">
        <v>98</v>
      </c>
      <c r="CW1" s="157" t="s">
        <v>6</v>
      </c>
    </row>
    <row r="2" spans="1:102" ht="78"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  <c r="AH2" s="6" t="s">
        <v>37</v>
      </c>
      <c r="AI2" s="6" t="s">
        <v>38</v>
      </c>
      <c r="AJ2" s="6" t="s">
        <v>39</v>
      </c>
      <c r="AK2" s="6" t="s">
        <v>40</v>
      </c>
      <c r="AL2" s="6" t="s">
        <v>41</v>
      </c>
      <c r="AM2" s="6" t="s">
        <v>106</v>
      </c>
      <c r="AN2" s="6" t="s">
        <v>107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108</v>
      </c>
      <c r="AW2" s="6" t="s">
        <v>49</v>
      </c>
      <c r="AX2" s="6" t="s">
        <v>50</v>
      </c>
      <c r="AY2" s="6" t="s">
        <v>51</v>
      </c>
      <c r="AZ2" s="6" t="s">
        <v>52</v>
      </c>
      <c r="BA2" s="6" t="s">
        <v>109</v>
      </c>
      <c r="BB2" s="6" t="s">
        <v>110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  <c r="BP2" s="6" t="s">
        <v>66</v>
      </c>
      <c r="BQ2" s="6" t="s">
        <v>67</v>
      </c>
      <c r="BR2" s="6" t="s">
        <v>68</v>
      </c>
      <c r="BS2" s="6" t="s">
        <v>69</v>
      </c>
      <c r="BT2" s="6" t="s">
        <v>70</v>
      </c>
      <c r="BU2" s="6" t="s">
        <v>71</v>
      </c>
      <c r="BV2" s="6" t="s">
        <v>72</v>
      </c>
      <c r="BW2" s="6" t="s">
        <v>73</v>
      </c>
      <c r="BX2" s="6" t="s">
        <v>74</v>
      </c>
      <c r="BY2" s="6" t="s">
        <v>75</v>
      </c>
      <c r="BZ2" s="6" t="s">
        <v>76</v>
      </c>
      <c r="CA2" s="6" t="s">
        <v>77</v>
      </c>
      <c r="CB2" s="6" t="s">
        <v>78</v>
      </c>
      <c r="CC2" s="6" t="s">
        <v>79</v>
      </c>
      <c r="CD2" s="6" t="s">
        <v>111</v>
      </c>
      <c r="CE2" s="6" t="s">
        <v>80</v>
      </c>
      <c r="CF2" s="6" t="s">
        <v>81</v>
      </c>
      <c r="CG2" s="6" t="s">
        <v>82</v>
      </c>
      <c r="CH2" s="6" t="s">
        <v>83</v>
      </c>
      <c r="CI2" s="6" t="s">
        <v>84</v>
      </c>
      <c r="CJ2" s="6" t="s">
        <v>85</v>
      </c>
      <c r="CK2" s="6" t="s">
        <v>86</v>
      </c>
      <c r="CL2" s="6" t="s">
        <v>87</v>
      </c>
      <c r="CM2" s="6" t="s">
        <v>88</v>
      </c>
      <c r="CN2" s="6" t="s">
        <v>89</v>
      </c>
      <c r="CO2" s="6" t="s">
        <v>90</v>
      </c>
      <c r="CP2" s="6" t="s">
        <v>91</v>
      </c>
      <c r="CQ2" s="6" t="s">
        <v>92</v>
      </c>
      <c r="CR2" s="6" t="s">
        <v>93</v>
      </c>
      <c r="CS2" s="6" t="s">
        <v>94</v>
      </c>
      <c r="CT2" s="6" t="s">
        <v>95</v>
      </c>
      <c r="CU2" s="6" t="s">
        <v>96</v>
      </c>
      <c r="CV2" s="6" t="s">
        <v>97</v>
      </c>
      <c r="CW2" s="158"/>
    </row>
    <row r="3" spans="1:102">
      <c r="A3" s="7">
        <v>2020</v>
      </c>
      <c r="B3" s="7">
        <f t="shared" ref="B3:B34" ca="1" si="0">ROUNDUP(MONTH($B3)/3, 0)</f>
        <v>1</v>
      </c>
      <c r="C3" s="8">
        <v>43831</v>
      </c>
      <c r="D3" s="10">
        <v>6122.9002599999994</v>
      </c>
      <c r="E3" s="10">
        <v>7236.1479500000014</v>
      </c>
      <c r="F3" s="10">
        <v>11585.546319999999</v>
      </c>
      <c r="G3" s="10">
        <v>680.37511999999992</v>
      </c>
      <c r="H3" s="10">
        <v>2954.1104300000002</v>
      </c>
      <c r="I3" s="10">
        <v>98100.147139999957</v>
      </c>
      <c r="J3" s="10">
        <v>2331.0486100000003</v>
      </c>
      <c r="K3" s="10">
        <v>143866.2817900001</v>
      </c>
      <c r="L3" s="10">
        <v>249836.31456999975</v>
      </c>
      <c r="M3" s="10">
        <v>964.12477000000001</v>
      </c>
      <c r="N3" s="10">
        <v>2633.4210400000006</v>
      </c>
      <c r="O3" s="10">
        <v>3537.84683</v>
      </c>
      <c r="P3" s="10">
        <v>1298.82807</v>
      </c>
      <c r="Q3" s="10">
        <v>18.535599999999999</v>
      </c>
      <c r="R3" s="10">
        <v>38748.949949999987</v>
      </c>
      <c r="S3" s="10">
        <v>2188.4464299999995</v>
      </c>
      <c r="T3" s="10">
        <v>40663.190399999992</v>
      </c>
      <c r="U3" s="10">
        <v>8592.5171499999942</v>
      </c>
      <c r="V3" s="10">
        <v>10371.429649999996</v>
      </c>
      <c r="W3" s="10">
        <v>7294.9357200000004</v>
      </c>
      <c r="X3" s="10">
        <v>26189.791199999978</v>
      </c>
      <c r="Y3" s="10">
        <v>3066.0825099999997</v>
      </c>
      <c r="Z3" s="10">
        <v>2913.4526599999995</v>
      </c>
      <c r="AA3" s="10">
        <v>939.43287999999995</v>
      </c>
      <c r="AB3" s="10">
        <v>1114.80143</v>
      </c>
      <c r="AC3" s="10">
        <v>13152.438320000001</v>
      </c>
      <c r="AD3" s="10">
        <v>2043776.7536500006</v>
      </c>
      <c r="AE3" s="10">
        <v>8156.1252300000006</v>
      </c>
      <c r="AF3" s="10">
        <v>6790.1304700000001</v>
      </c>
      <c r="AG3" s="10">
        <v>29049.36213000003</v>
      </c>
      <c r="AH3" s="10">
        <v>2803.1585499999992</v>
      </c>
      <c r="AI3" s="10">
        <v>7080.6297599999971</v>
      </c>
      <c r="AJ3" s="10">
        <v>34016.232679999994</v>
      </c>
      <c r="AK3" s="10">
        <v>11667.095489999998</v>
      </c>
      <c r="AL3" s="10">
        <v>4931.6327199999996</v>
      </c>
      <c r="AM3" s="10">
        <v>46.902500000000003</v>
      </c>
      <c r="AN3" s="10">
        <v>6.6674600000000002</v>
      </c>
      <c r="AO3" s="10">
        <v>32286.052989999978</v>
      </c>
      <c r="AP3" s="10">
        <v>100590.09481999998</v>
      </c>
      <c r="AQ3" s="10">
        <v>8135.9010899999985</v>
      </c>
      <c r="AR3" s="10">
        <v>1970.61041</v>
      </c>
      <c r="AS3" s="10">
        <v>3227.3267499999993</v>
      </c>
      <c r="AT3" s="10">
        <v>401.41897999999992</v>
      </c>
      <c r="AU3" s="10">
        <v>3888.5929600000013</v>
      </c>
      <c r="AV3" s="10">
        <v>12.315389999999999</v>
      </c>
      <c r="AW3" s="10">
        <v>31.44041</v>
      </c>
      <c r="AX3" s="10">
        <v>11.48123</v>
      </c>
      <c r="AY3" s="10">
        <v>17665.05794999998</v>
      </c>
      <c r="AZ3" s="10">
        <v>2995.6465399999979</v>
      </c>
      <c r="BA3" s="10">
        <v>0</v>
      </c>
      <c r="BB3" s="10">
        <v>0</v>
      </c>
      <c r="BC3" s="10">
        <v>1383.4870799999994</v>
      </c>
      <c r="BD3" s="10">
        <v>64.645110000000003</v>
      </c>
      <c r="BE3" s="10">
        <v>3481.7337300000008</v>
      </c>
      <c r="BF3" s="10">
        <v>636.40960000000007</v>
      </c>
      <c r="BG3" s="10">
        <v>468.10362999999995</v>
      </c>
      <c r="BH3" s="10">
        <v>29.351860000000002</v>
      </c>
      <c r="BI3" s="10">
        <v>818.93092999999976</v>
      </c>
      <c r="BJ3" s="10">
        <v>2272.6412399999999</v>
      </c>
      <c r="BK3" s="10">
        <v>3957.5739999999996</v>
      </c>
      <c r="BL3" s="10">
        <v>12350.538359999997</v>
      </c>
      <c r="BM3" s="10">
        <v>14497.091860000017</v>
      </c>
      <c r="BN3" s="10">
        <v>4885.2416000000003</v>
      </c>
      <c r="BO3" s="10">
        <v>1618.6840199999997</v>
      </c>
      <c r="BP3" s="10">
        <v>217.94904</v>
      </c>
      <c r="BQ3" s="10">
        <v>14.968819999999999</v>
      </c>
      <c r="BR3" s="10">
        <v>8.6040000000000005E-2</v>
      </c>
      <c r="BS3" s="10">
        <v>3592.5515399999999</v>
      </c>
      <c r="BT3" s="10">
        <v>6114.61211</v>
      </c>
      <c r="BU3" s="10">
        <v>14219.860859999999</v>
      </c>
      <c r="BV3" s="10">
        <v>116520.23584000007</v>
      </c>
      <c r="BW3" s="10">
        <v>43551.952310000008</v>
      </c>
      <c r="BX3" s="10">
        <v>20879.460540000004</v>
      </c>
      <c r="BY3" s="10">
        <v>15277.688460000007</v>
      </c>
      <c r="BZ3" s="10">
        <v>16.751059999999999</v>
      </c>
      <c r="CA3" s="10">
        <v>20060.530709999999</v>
      </c>
      <c r="CB3" s="10">
        <v>677.09234000000004</v>
      </c>
      <c r="CC3" s="10">
        <v>24.700530000000001</v>
      </c>
      <c r="CD3" s="10">
        <v>8.6662199999999991</v>
      </c>
      <c r="CE3" s="10">
        <v>117.58025000000001</v>
      </c>
      <c r="CF3" s="10">
        <v>3260.5309000000016</v>
      </c>
      <c r="CG3" s="10">
        <v>1947.4417500000004</v>
      </c>
      <c r="CH3" s="10">
        <v>28480.794850000024</v>
      </c>
      <c r="CI3" s="10">
        <v>34736.171420000006</v>
      </c>
      <c r="CJ3" s="10">
        <v>26.724</v>
      </c>
      <c r="CK3" s="10">
        <v>28659.644070000031</v>
      </c>
      <c r="CL3" s="10">
        <v>1386.4291300000002</v>
      </c>
      <c r="CM3" s="10">
        <v>29.292000000000002</v>
      </c>
      <c r="CN3" s="10">
        <v>6846.3876099999925</v>
      </c>
      <c r="CO3" s="10">
        <v>78.976240000000004</v>
      </c>
      <c r="CP3" s="10">
        <v>0.15017</v>
      </c>
      <c r="CQ3" s="10">
        <v>52.351649999999999</v>
      </c>
      <c r="CR3" s="10">
        <v>8875.4383900000012</v>
      </c>
      <c r="CS3" s="10">
        <v>1672.9644800000003</v>
      </c>
      <c r="CT3" s="10">
        <v>8823.2392499999987</v>
      </c>
      <c r="CU3" s="10">
        <v>266.02391999999998</v>
      </c>
      <c r="CV3" s="10">
        <v>622.23345999999992</v>
      </c>
      <c r="CW3" s="11">
        <v>3419465.6399399997</v>
      </c>
      <c r="CX3" s="11">
        <v>3419465.6399399997</v>
      </c>
    </row>
    <row r="4" spans="1:102">
      <c r="A4" s="7">
        <v>2020</v>
      </c>
      <c r="B4" s="7">
        <f t="shared" ca="1" si="0"/>
        <v>1</v>
      </c>
      <c r="C4" s="9">
        <v>43862</v>
      </c>
      <c r="D4" s="12">
        <v>7431.8957499999988</v>
      </c>
      <c r="E4" s="12">
        <v>9251.6270800000038</v>
      </c>
      <c r="F4" s="12">
        <v>9498.169899999999</v>
      </c>
      <c r="G4" s="12">
        <v>796.68879000000015</v>
      </c>
      <c r="H4" s="12">
        <v>2423.1888199999999</v>
      </c>
      <c r="I4" s="12">
        <v>180000.25318000006</v>
      </c>
      <c r="J4" s="12">
        <v>1953.9864699999998</v>
      </c>
      <c r="K4" s="12">
        <v>101524.51643000011</v>
      </c>
      <c r="L4" s="12">
        <v>215605.59024000002</v>
      </c>
      <c r="M4" s="12">
        <v>15.68003</v>
      </c>
      <c r="N4" s="12">
        <v>6125.2961500000001</v>
      </c>
      <c r="O4" s="12">
        <v>2455.8284299999996</v>
      </c>
      <c r="P4" s="12">
        <v>31.671129999999998</v>
      </c>
      <c r="Q4" s="12">
        <v>32.583480000000002</v>
      </c>
      <c r="R4" s="12">
        <v>42627.233380000027</v>
      </c>
      <c r="S4" s="12">
        <v>1135.93524</v>
      </c>
      <c r="T4" s="12">
        <v>35424.31413000005</v>
      </c>
      <c r="U4" s="12">
        <v>8577.5092799999966</v>
      </c>
      <c r="V4" s="12">
        <v>11517.870679999998</v>
      </c>
      <c r="W4" s="12">
        <v>9077.7885799999985</v>
      </c>
      <c r="X4" s="12">
        <v>25901.521220000024</v>
      </c>
      <c r="Y4" s="12">
        <v>1550.9687099999999</v>
      </c>
      <c r="Z4" s="12">
        <v>2649.9762499999993</v>
      </c>
      <c r="AA4" s="12">
        <v>1858.3648699999999</v>
      </c>
      <c r="AB4" s="12">
        <v>1431.9641200000001</v>
      </c>
      <c r="AC4" s="12">
        <v>1682.49496</v>
      </c>
      <c r="AD4" s="12">
        <v>1483145.5908699995</v>
      </c>
      <c r="AE4" s="12">
        <v>7681.4076000000023</v>
      </c>
      <c r="AF4" s="12">
        <v>6486.9170900000017</v>
      </c>
      <c r="AG4" s="12">
        <v>23261.158349999991</v>
      </c>
      <c r="AH4" s="12">
        <v>2773.3533200000006</v>
      </c>
      <c r="AI4" s="12">
        <v>6845.4544000000005</v>
      </c>
      <c r="AJ4" s="12">
        <v>38373.277390000003</v>
      </c>
      <c r="AK4" s="12">
        <v>12773.048400000011</v>
      </c>
      <c r="AL4" s="12">
        <v>3401.088069999998</v>
      </c>
      <c r="AM4" s="12">
        <v>0</v>
      </c>
      <c r="AN4" s="12">
        <v>31.158429999999999</v>
      </c>
      <c r="AO4" s="12">
        <v>33745.061039999971</v>
      </c>
      <c r="AP4" s="12">
        <v>116884.1929599999</v>
      </c>
      <c r="AQ4" s="12">
        <v>7590.4102899999989</v>
      </c>
      <c r="AR4" s="12">
        <v>3810.38004</v>
      </c>
      <c r="AS4" s="12">
        <v>4333.2467000000015</v>
      </c>
      <c r="AT4" s="12">
        <v>542.10329000000002</v>
      </c>
      <c r="AU4" s="12">
        <v>4564.3174299999991</v>
      </c>
      <c r="AV4" s="12">
        <v>1.9762</v>
      </c>
      <c r="AW4" s="12">
        <v>50.059190000000001</v>
      </c>
      <c r="AX4" s="12">
        <v>153.56825000000001</v>
      </c>
      <c r="AY4" s="12">
        <v>19458.612919999981</v>
      </c>
      <c r="AZ4" s="12">
        <v>3605.4032599999991</v>
      </c>
      <c r="BA4" s="12">
        <v>0</v>
      </c>
      <c r="BB4" s="12">
        <v>0</v>
      </c>
      <c r="BC4" s="12">
        <v>1132.0142000000001</v>
      </c>
      <c r="BD4" s="12">
        <v>123.12639</v>
      </c>
      <c r="BE4" s="12">
        <v>4088.8183899999976</v>
      </c>
      <c r="BF4" s="12">
        <v>785.10320999999976</v>
      </c>
      <c r="BG4" s="12">
        <v>500.05634000000009</v>
      </c>
      <c r="BH4" s="12">
        <v>36.198729999999998</v>
      </c>
      <c r="BI4" s="12">
        <v>1255.6573599999999</v>
      </c>
      <c r="BJ4" s="12">
        <v>2925.2557100000004</v>
      </c>
      <c r="BK4" s="12">
        <v>4090.1691699999978</v>
      </c>
      <c r="BL4" s="12">
        <v>13397.587570000002</v>
      </c>
      <c r="BM4" s="12">
        <v>21135.420439999976</v>
      </c>
      <c r="BN4" s="12">
        <v>8245.1036900000017</v>
      </c>
      <c r="BO4" s="12">
        <v>2158.0514600000001</v>
      </c>
      <c r="BP4" s="12">
        <v>460.47719999999993</v>
      </c>
      <c r="BQ4" s="12">
        <v>167.35914</v>
      </c>
      <c r="BR4" s="12">
        <v>10.039</v>
      </c>
      <c r="BS4" s="12">
        <v>3476.263579999998</v>
      </c>
      <c r="BT4" s="12">
        <v>5146.6371900000013</v>
      </c>
      <c r="BU4" s="12">
        <v>9790.6223399999999</v>
      </c>
      <c r="BV4" s="12">
        <v>191257.56427999999</v>
      </c>
      <c r="BW4" s="12">
        <v>4711.4293599999983</v>
      </c>
      <c r="BX4" s="12">
        <v>12461.115470000008</v>
      </c>
      <c r="BY4" s="12">
        <v>14635.268910000004</v>
      </c>
      <c r="BZ4" s="12">
        <v>63.962769999999999</v>
      </c>
      <c r="CA4" s="12">
        <v>24250.606830000001</v>
      </c>
      <c r="CB4" s="12">
        <v>742.31429999999989</v>
      </c>
      <c r="CC4" s="12">
        <v>56.493170000000006</v>
      </c>
      <c r="CD4" s="12">
        <v>12.562530000000002</v>
      </c>
      <c r="CE4" s="12">
        <v>124.89491999999998</v>
      </c>
      <c r="CF4" s="12">
        <v>3852.4969200000023</v>
      </c>
      <c r="CG4" s="12">
        <v>1876.0374400000003</v>
      </c>
      <c r="CH4" s="12">
        <v>34905.922190000041</v>
      </c>
      <c r="CI4" s="12">
        <v>43112.746619999976</v>
      </c>
      <c r="CJ4" s="12">
        <v>27.760999999999999</v>
      </c>
      <c r="CK4" s="12">
        <v>37511.541450000019</v>
      </c>
      <c r="CL4" s="12">
        <v>1238.4833700000001</v>
      </c>
      <c r="CM4" s="12">
        <v>122.72347000000001</v>
      </c>
      <c r="CN4" s="12">
        <v>8400.3096700000006</v>
      </c>
      <c r="CO4" s="12">
        <v>52.764729999999993</v>
      </c>
      <c r="CP4" s="12">
        <v>129.83285000000001</v>
      </c>
      <c r="CQ4" s="12">
        <v>685.89422000000002</v>
      </c>
      <c r="CR4" s="12">
        <v>11079.722809999996</v>
      </c>
      <c r="CS4" s="12">
        <v>1331.0455099999995</v>
      </c>
      <c r="CT4" s="12">
        <v>10428.053850000008</v>
      </c>
      <c r="CU4" s="12">
        <v>979.71900000000005</v>
      </c>
      <c r="CV4" s="12">
        <v>555.87672999999995</v>
      </c>
      <c r="CW4" s="13">
        <v>2943625.8082700009</v>
      </c>
      <c r="CX4" s="13">
        <v>2943625.8082700009</v>
      </c>
    </row>
    <row r="5" spans="1:102">
      <c r="A5" s="7">
        <v>2020</v>
      </c>
      <c r="B5" s="7">
        <f t="shared" ca="1" si="0"/>
        <v>1</v>
      </c>
      <c r="C5" s="8">
        <v>43891</v>
      </c>
      <c r="D5" s="10">
        <v>18809.798119999999</v>
      </c>
      <c r="E5" s="10">
        <v>9672.728149999999</v>
      </c>
      <c r="F5" s="10">
        <v>5698.46828</v>
      </c>
      <c r="G5" s="10">
        <v>842.78520999999989</v>
      </c>
      <c r="H5" s="10">
        <v>3408.1068300000002</v>
      </c>
      <c r="I5" s="10">
        <v>154802.74786</v>
      </c>
      <c r="J5" s="10">
        <v>2702.9509900000003</v>
      </c>
      <c r="K5" s="10">
        <v>99170.292789999774</v>
      </c>
      <c r="L5" s="10">
        <v>170321.52681999997</v>
      </c>
      <c r="M5" s="10">
        <v>791.77326000000005</v>
      </c>
      <c r="N5" s="10">
        <v>4971.5230600000004</v>
      </c>
      <c r="O5" s="10">
        <v>2865.5420600000002</v>
      </c>
      <c r="P5" s="10">
        <v>65.742500000000007</v>
      </c>
      <c r="Q5" s="10">
        <v>40.608080000000001</v>
      </c>
      <c r="R5" s="10">
        <v>51135.687819999999</v>
      </c>
      <c r="S5" s="10">
        <v>1633.24071</v>
      </c>
      <c r="T5" s="10">
        <v>43779.43657999995</v>
      </c>
      <c r="U5" s="10">
        <v>10806.655470000003</v>
      </c>
      <c r="V5" s="10">
        <v>11366.989889999999</v>
      </c>
      <c r="W5" s="10">
        <v>8291.3172700000014</v>
      </c>
      <c r="X5" s="10">
        <v>28675.154310000024</v>
      </c>
      <c r="Y5" s="10">
        <v>1786.1460999999995</v>
      </c>
      <c r="Z5" s="10">
        <v>3114.1835699999997</v>
      </c>
      <c r="AA5" s="10">
        <v>939.73532000000012</v>
      </c>
      <c r="AB5" s="10">
        <v>1390.0653200000006</v>
      </c>
      <c r="AC5" s="10">
        <v>2568.1070999999997</v>
      </c>
      <c r="AD5" s="10">
        <v>950857.2254900001</v>
      </c>
      <c r="AE5" s="10">
        <v>7399.9066099999991</v>
      </c>
      <c r="AF5" s="10">
        <v>10273.921010000002</v>
      </c>
      <c r="AG5" s="10">
        <v>25861.580380000003</v>
      </c>
      <c r="AH5" s="10">
        <v>3378.9237000000003</v>
      </c>
      <c r="AI5" s="10">
        <v>8777.3787099999954</v>
      </c>
      <c r="AJ5" s="10">
        <v>38702.421640000015</v>
      </c>
      <c r="AK5" s="10">
        <v>14495.83403</v>
      </c>
      <c r="AL5" s="10">
        <v>4735.4691099999991</v>
      </c>
      <c r="AM5" s="10">
        <v>0</v>
      </c>
      <c r="AN5" s="10">
        <v>32.709720000000004</v>
      </c>
      <c r="AO5" s="10">
        <v>31129.438650000011</v>
      </c>
      <c r="AP5" s="10">
        <v>115478.54826000007</v>
      </c>
      <c r="AQ5" s="10">
        <v>7466.2976400000016</v>
      </c>
      <c r="AR5" s="10">
        <v>3442.71254</v>
      </c>
      <c r="AS5" s="10">
        <v>3859.6273099999994</v>
      </c>
      <c r="AT5" s="10">
        <v>247.77199999999999</v>
      </c>
      <c r="AU5" s="10">
        <v>4084.1237699999992</v>
      </c>
      <c r="AV5" s="10">
        <v>5.5752000000000006</v>
      </c>
      <c r="AW5" s="10">
        <v>26.374479999999998</v>
      </c>
      <c r="AX5" s="10">
        <v>122.42538999999999</v>
      </c>
      <c r="AY5" s="10">
        <v>17931.902460000012</v>
      </c>
      <c r="AZ5" s="10">
        <v>3278.5343899999984</v>
      </c>
      <c r="BA5" s="10">
        <v>0</v>
      </c>
      <c r="BB5" s="10">
        <v>0</v>
      </c>
      <c r="BC5" s="10">
        <v>1227.5440400000002</v>
      </c>
      <c r="BD5" s="10">
        <v>24.965370000000004</v>
      </c>
      <c r="BE5" s="10">
        <v>4825.6173999999983</v>
      </c>
      <c r="BF5" s="10">
        <v>1438.0797100000004</v>
      </c>
      <c r="BG5" s="10">
        <v>774.30696999999998</v>
      </c>
      <c r="BH5" s="10">
        <v>32.909390000000002</v>
      </c>
      <c r="BI5" s="10">
        <v>1208.5972099999999</v>
      </c>
      <c r="BJ5" s="10">
        <v>2660.0249100000005</v>
      </c>
      <c r="BK5" s="10">
        <v>4237.5729199999969</v>
      </c>
      <c r="BL5" s="10">
        <v>10504.286479999995</v>
      </c>
      <c r="BM5" s="10">
        <v>20002.065170000009</v>
      </c>
      <c r="BN5" s="10">
        <v>9530.5506400000068</v>
      </c>
      <c r="BO5" s="10">
        <v>2108.96828</v>
      </c>
      <c r="BP5" s="10">
        <v>400.60160000000002</v>
      </c>
      <c r="BQ5" s="10">
        <v>2.1535100000000003</v>
      </c>
      <c r="BR5" s="10">
        <v>4.6013799999999998</v>
      </c>
      <c r="BS5" s="10">
        <v>3174.7322999999992</v>
      </c>
      <c r="BT5" s="10">
        <v>6588.9121800000003</v>
      </c>
      <c r="BU5" s="10">
        <v>11037.187539999995</v>
      </c>
      <c r="BV5" s="10">
        <v>203219.03089999995</v>
      </c>
      <c r="BW5" s="10">
        <v>54276.675610000042</v>
      </c>
      <c r="BX5" s="10">
        <v>18792.89746</v>
      </c>
      <c r="BY5" s="10">
        <v>12820.904489999999</v>
      </c>
      <c r="BZ5" s="10">
        <v>7.02996</v>
      </c>
      <c r="CA5" s="10">
        <v>23985.908519999997</v>
      </c>
      <c r="CB5" s="10">
        <v>562.53789000000017</v>
      </c>
      <c r="CC5" s="10">
        <v>48.198180000000008</v>
      </c>
      <c r="CD5" s="10">
        <v>1.0999999999999999E-2</v>
      </c>
      <c r="CE5" s="10">
        <v>144.23964999999998</v>
      </c>
      <c r="CF5" s="10">
        <v>4276.7001699999992</v>
      </c>
      <c r="CG5" s="10">
        <v>2338.159709999999</v>
      </c>
      <c r="CH5" s="10">
        <v>30463.272509999999</v>
      </c>
      <c r="CI5" s="10">
        <v>40494.758679999999</v>
      </c>
      <c r="CJ5" s="10">
        <v>28.47</v>
      </c>
      <c r="CK5" s="10">
        <v>39026.889580000046</v>
      </c>
      <c r="CL5" s="10">
        <v>7926.719610000001</v>
      </c>
      <c r="CM5" s="10">
        <v>731.27800000000002</v>
      </c>
      <c r="CN5" s="10">
        <v>6510.3774099999982</v>
      </c>
      <c r="CO5" s="10">
        <v>53.399009999999997</v>
      </c>
      <c r="CP5" s="10">
        <v>219.99625</v>
      </c>
      <c r="CQ5" s="10">
        <v>92.031999999999996</v>
      </c>
      <c r="CR5" s="10">
        <v>11034.146220000011</v>
      </c>
      <c r="CS5" s="10">
        <v>1356.8451400000001</v>
      </c>
      <c r="CT5" s="10">
        <v>8670.7026299999998</v>
      </c>
      <c r="CU5" s="10">
        <v>360.91503</v>
      </c>
      <c r="CV5" s="10">
        <v>569.80631000000005</v>
      </c>
      <c r="CW5" s="11">
        <v>2439035.5948799998</v>
      </c>
      <c r="CX5" s="11">
        <v>2439035.5948799998</v>
      </c>
    </row>
    <row r="6" spans="1:102">
      <c r="A6" s="7">
        <v>2020</v>
      </c>
      <c r="B6" s="7">
        <f t="shared" ca="1" si="0"/>
        <v>2</v>
      </c>
      <c r="C6" s="9">
        <v>43922</v>
      </c>
      <c r="D6" s="12">
        <v>7636.5775000000003</v>
      </c>
      <c r="E6" s="12">
        <v>11334.170910000001</v>
      </c>
      <c r="F6" s="12">
        <v>10272.06343</v>
      </c>
      <c r="G6" s="12">
        <v>1033.89184</v>
      </c>
      <c r="H6" s="12">
        <v>2567.3536800000006</v>
      </c>
      <c r="I6" s="12">
        <v>107589.81694</v>
      </c>
      <c r="J6" s="12">
        <v>1815.8753400000001</v>
      </c>
      <c r="K6" s="12">
        <v>90541.924549999982</v>
      </c>
      <c r="L6" s="12">
        <v>157384.04637999993</v>
      </c>
      <c r="M6" s="12">
        <v>9.1076300000000003</v>
      </c>
      <c r="N6" s="12">
        <v>8167.5796699999992</v>
      </c>
      <c r="O6" s="12">
        <v>1872.0622400000002</v>
      </c>
      <c r="P6" s="12">
        <v>363.09550000000002</v>
      </c>
      <c r="Q6" s="12">
        <v>44.274240000000006</v>
      </c>
      <c r="R6" s="12">
        <v>59569.306949999984</v>
      </c>
      <c r="S6" s="12">
        <v>3613.9100199999998</v>
      </c>
      <c r="T6" s="12">
        <v>34592.49757</v>
      </c>
      <c r="U6" s="12">
        <v>8175.3611900000024</v>
      </c>
      <c r="V6" s="12">
        <v>12455.963100000001</v>
      </c>
      <c r="W6" s="12">
        <v>6678.2492899999979</v>
      </c>
      <c r="X6" s="12">
        <v>33625.343480000025</v>
      </c>
      <c r="Y6" s="12">
        <v>2408.09809</v>
      </c>
      <c r="Z6" s="12">
        <v>3412.9711000000002</v>
      </c>
      <c r="AA6" s="12">
        <v>1215.5139999999999</v>
      </c>
      <c r="AB6" s="12">
        <v>843.94454999999994</v>
      </c>
      <c r="AC6" s="12">
        <v>2274.7493999999997</v>
      </c>
      <c r="AD6" s="12">
        <v>701773.54864999978</v>
      </c>
      <c r="AE6" s="12">
        <v>7591.4636499999997</v>
      </c>
      <c r="AF6" s="12">
        <v>8069.9645399999981</v>
      </c>
      <c r="AG6" s="12">
        <v>29251.210459999998</v>
      </c>
      <c r="AH6" s="12">
        <v>3000.1721699999998</v>
      </c>
      <c r="AI6" s="12">
        <v>4835.5165599999982</v>
      </c>
      <c r="AJ6" s="12">
        <v>24231.094859999997</v>
      </c>
      <c r="AK6" s="12">
        <v>12748.491879999998</v>
      </c>
      <c r="AL6" s="12">
        <v>5925.1495800000002</v>
      </c>
      <c r="AM6" s="12">
        <v>0</v>
      </c>
      <c r="AN6" s="12">
        <v>4.4648500000000002</v>
      </c>
      <c r="AO6" s="12">
        <v>25015.152879999994</v>
      </c>
      <c r="AP6" s="12">
        <v>116495.31822999995</v>
      </c>
      <c r="AQ6" s="12">
        <v>2638.9384799999998</v>
      </c>
      <c r="AR6" s="12">
        <v>1111.7788199999998</v>
      </c>
      <c r="AS6" s="12">
        <v>1500.1157699999999</v>
      </c>
      <c r="AT6" s="12">
        <v>44.666940000000004</v>
      </c>
      <c r="AU6" s="12">
        <v>3989.128369999999</v>
      </c>
      <c r="AV6" s="12">
        <v>0</v>
      </c>
      <c r="AW6" s="12">
        <v>5.5066000000000006</v>
      </c>
      <c r="AX6" s="12">
        <v>32.83954</v>
      </c>
      <c r="AY6" s="12">
        <v>13464.054750000003</v>
      </c>
      <c r="AZ6" s="12">
        <v>735.6547599999999</v>
      </c>
      <c r="BA6" s="12">
        <v>0</v>
      </c>
      <c r="BB6" s="12">
        <v>0</v>
      </c>
      <c r="BC6" s="12">
        <v>25.640960000000003</v>
      </c>
      <c r="BD6" s="12">
        <v>24.24775</v>
      </c>
      <c r="BE6" s="12">
        <v>2405.8986100000002</v>
      </c>
      <c r="BF6" s="12">
        <v>164.78519</v>
      </c>
      <c r="BG6" s="12">
        <v>341.15757000000008</v>
      </c>
      <c r="BH6" s="12">
        <v>10.148459999999998</v>
      </c>
      <c r="BI6" s="12">
        <v>337.69309999999996</v>
      </c>
      <c r="BJ6" s="12">
        <v>1197.1609900000003</v>
      </c>
      <c r="BK6" s="12">
        <v>244.97228000000007</v>
      </c>
      <c r="BL6" s="12">
        <v>2783.7942699999967</v>
      </c>
      <c r="BM6" s="12">
        <v>4543.8580500000025</v>
      </c>
      <c r="BN6" s="12">
        <v>5440.7927500000014</v>
      </c>
      <c r="BO6" s="12">
        <v>1262.4193199999995</v>
      </c>
      <c r="BP6" s="12">
        <v>198.34158999999997</v>
      </c>
      <c r="BQ6" s="12">
        <v>9.8409999999999993</v>
      </c>
      <c r="BR6" s="12">
        <v>4.4118000000000004</v>
      </c>
      <c r="BS6" s="12">
        <v>910.21525000000008</v>
      </c>
      <c r="BT6" s="12">
        <v>2784.7525200000005</v>
      </c>
      <c r="BU6" s="12">
        <v>8370.0590100000009</v>
      </c>
      <c r="BV6" s="12">
        <v>125274.16842</v>
      </c>
      <c r="BW6" s="12">
        <v>44387.647320000004</v>
      </c>
      <c r="BX6" s="12">
        <v>4537.4858799999993</v>
      </c>
      <c r="BY6" s="12">
        <v>10573.852459999996</v>
      </c>
      <c r="BZ6" s="12">
        <v>5.94E-3</v>
      </c>
      <c r="CA6" s="12">
        <v>21766.629460000004</v>
      </c>
      <c r="CB6" s="12">
        <v>357.56607000000002</v>
      </c>
      <c r="CC6" s="12">
        <v>2.4368000000000003</v>
      </c>
      <c r="CD6" s="12">
        <v>0</v>
      </c>
      <c r="CE6" s="12">
        <v>24.155999999999999</v>
      </c>
      <c r="CF6" s="12">
        <v>2109.9721900000004</v>
      </c>
      <c r="CG6" s="12">
        <v>692.27790999999991</v>
      </c>
      <c r="CH6" s="12">
        <v>14529.542100000011</v>
      </c>
      <c r="CI6" s="12">
        <v>17970.010150000006</v>
      </c>
      <c r="CJ6" s="12">
        <v>0</v>
      </c>
      <c r="CK6" s="12">
        <v>25841.877649999995</v>
      </c>
      <c r="CL6" s="12">
        <v>1555.70687</v>
      </c>
      <c r="CM6" s="12">
        <v>9.4659999999999993</v>
      </c>
      <c r="CN6" s="12">
        <v>7105.7615700000015</v>
      </c>
      <c r="CO6" s="12">
        <v>22.788430000000002</v>
      </c>
      <c r="CP6" s="12">
        <v>0</v>
      </c>
      <c r="CQ6" s="12">
        <v>5078</v>
      </c>
      <c r="CR6" s="12">
        <v>4081.2456399999983</v>
      </c>
      <c r="CS6" s="12">
        <v>2213.7177299999998</v>
      </c>
      <c r="CT6" s="12">
        <v>11850.70824</v>
      </c>
      <c r="CU6" s="12">
        <v>930.87300000000005</v>
      </c>
      <c r="CV6" s="12">
        <v>300.75875999999994</v>
      </c>
      <c r="CW6" s="13">
        <v>1864238.8259899998</v>
      </c>
      <c r="CX6" s="13">
        <v>1864238.8259899998</v>
      </c>
    </row>
    <row r="7" spans="1:102">
      <c r="A7" s="7">
        <v>2020</v>
      </c>
      <c r="B7" s="7">
        <f t="shared" ca="1" si="0"/>
        <v>2</v>
      </c>
      <c r="C7" s="8">
        <v>43952</v>
      </c>
      <c r="D7" s="10">
        <v>12423.198850000001</v>
      </c>
      <c r="E7" s="10">
        <v>8739.1907499999998</v>
      </c>
      <c r="F7" s="10">
        <v>7760.6505699999998</v>
      </c>
      <c r="G7" s="10">
        <v>1420.3195600000008</v>
      </c>
      <c r="H7" s="10">
        <v>2295.1170199999997</v>
      </c>
      <c r="I7" s="10">
        <v>146473.07392000005</v>
      </c>
      <c r="J7" s="10">
        <v>1827.1337099999998</v>
      </c>
      <c r="K7" s="10">
        <v>101953.31923000002</v>
      </c>
      <c r="L7" s="10">
        <v>141864.01982999989</v>
      </c>
      <c r="M7" s="10">
        <v>1613.59238</v>
      </c>
      <c r="N7" s="10">
        <v>4326.4447300000011</v>
      </c>
      <c r="O7" s="10">
        <v>2784.70604</v>
      </c>
      <c r="P7" s="10">
        <v>691.47952000000009</v>
      </c>
      <c r="Q7" s="10">
        <v>18.197959999999998</v>
      </c>
      <c r="R7" s="10">
        <v>77606.506000000067</v>
      </c>
      <c r="S7" s="10">
        <v>2405.0459000000005</v>
      </c>
      <c r="T7" s="10">
        <v>31593.029979999988</v>
      </c>
      <c r="U7" s="10">
        <v>9986.3880800000006</v>
      </c>
      <c r="V7" s="10">
        <v>13662.81913</v>
      </c>
      <c r="W7" s="10">
        <v>6915.1672699999981</v>
      </c>
      <c r="X7" s="10">
        <v>30329.98178000002</v>
      </c>
      <c r="Y7" s="10">
        <v>1384.2940700000001</v>
      </c>
      <c r="Z7" s="10">
        <v>2926.7982300000003</v>
      </c>
      <c r="AA7" s="10">
        <v>803.5595800000001</v>
      </c>
      <c r="AB7" s="10">
        <v>625.58303999999987</v>
      </c>
      <c r="AC7" s="10">
        <v>11741.155260000001</v>
      </c>
      <c r="AD7" s="10">
        <v>928404.78257999988</v>
      </c>
      <c r="AE7" s="10">
        <v>4828.6107200000015</v>
      </c>
      <c r="AF7" s="10">
        <v>7867.3875299999945</v>
      </c>
      <c r="AG7" s="10">
        <v>29397.877199999988</v>
      </c>
      <c r="AH7" s="10">
        <v>3145.1363900000001</v>
      </c>
      <c r="AI7" s="10">
        <v>4636.909840000003</v>
      </c>
      <c r="AJ7" s="10">
        <v>27472.352419999999</v>
      </c>
      <c r="AK7" s="10">
        <v>18133.410959999994</v>
      </c>
      <c r="AL7" s="10">
        <v>3788.9265699999992</v>
      </c>
      <c r="AM7" s="10">
        <v>0</v>
      </c>
      <c r="AN7" s="10">
        <v>0</v>
      </c>
      <c r="AO7" s="10">
        <v>38475.648160000026</v>
      </c>
      <c r="AP7" s="10">
        <v>84818.213589999985</v>
      </c>
      <c r="AQ7" s="10">
        <v>3401.4930800000029</v>
      </c>
      <c r="AR7" s="10">
        <v>837.66024999999991</v>
      </c>
      <c r="AS7" s="10">
        <v>1837.1783899999998</v>
      </c>
      <c r="AT7" s="10">
        <v>129.9768</v>
      </c>
      <c r="AU7" s="10">
        <v>1894.06159</v>
      </c>
      <c r="AV7" s="10">
        <v>8.0238499999999995</v>
      </c>
      <c r="AW7" s="10">
        <v>16.667330000000003</v>
      </c>
      <c r="AX7" s="10">
        <v>1064.59581</v>
      </c>
      <c r="AY7" s="10">
        <v>22432.234240000002</v>
      </c>
      <c r="AZ7" s="10">
        <v>878.16780000000006</v>
      </c>
      <c r="BA7" s="10">
        <v>0</v>
      </c>
      <c r="BB7" s="10">
        <v>0</v>
      </c>
      <c r="BC7" s="10">
        <v>257.35696000000007</v>
      </c>
      <c r="BD7" s="10">
        <v>23.509550000000001</v>
      </c>
      <c r="BE7" s="10">
        <v>2300.4321099999997</v>
      </c>
      <c r="BF7" s="10">
        <v>897.40532999999982</v>
      </c>
      <c r="BG7" s="10">
        <v>902.17129999999986</v>
      </c>
      <c r="BH7" s="10">
        <v>10.326450000000001</v>
      </c>
      <c r="BI7" s="10">
        <v>441.3627800000001</v>
      </c>
      <c r="BJ7" s="10">
        <v>1896.7768800000003</v>
      </c>
      <c r="BK7" s="10">
        <v>633.6916699999997</v>
      </c>
      <c r="BL7" s="10">
        <v>5047.3628300000028</v>
      </c>
      <c r="BM7" s="10">
        <v>5390.8963199999971</v>
      </c>
      <c r="BN7" s="10">
        <v>9293.080109999999</v>
      </c>
      <c r="BO7" s="10">
        <v>624.06844000000001</v>
      </c>
      <c r="BP7" s="10">
        <v>288.64206999999999</v>
      </c>
      <c r="BQ7" s="10">
        <v>18.486219999999999</v>
      </c>
      <c r="BR7" s="10">
        <v>0.59399999999999997</v>
      </c>
      <c r="BS7" s="10">
        <v>1341.9210099999998</v>
      </c>
      <c r="BT7" s="10">
        <v>1691.8232499999999</v>
      </c>
      <c r="BU7" s="10">
        <v>11179.301289999996</v>
      </c>
      <c r="BV7" s="10">
        <v>225502.26673000003</v>
      </c>
      <c r="BW7" s="10">
        <v>32567.33142000001</v>
      </c>
      <c r="BX7" s="10">
        <v>5560.2636400000019</v>
      </c>
      <c r="BY7" s="10">
        <v>5754.4292900000009</v>
      </c>
      <c r="BZ7" s="10">
        <v>12.006319999999999</v>
      </c>
      <c r="CA7" s="10">
        <v>27795.904939999997</v>
      </c>
      <c r="CB7" s="10">
        <v>70.649539999999988</v>
      </c>
      <c r="CC7" s="10">
        <v>2.45844</v>
      </c>
      <c r="CD7" s="10">
        <v>0</v>
      </c>
      <c r="CE7" s="10">
        <v>29.115320000000001</v>
      </c>
      <c r="CF7" s="10">
        <v>2424.58005</v>
      </c>
      <c r="CG7" s="10">
        <v>1125.69919</v>
      </c>
      <c r="CH7" s="10">
        <v>14249.035000000002</v>
      </c>
      <c r="CI7" s="10">
        <v>27941.728249999996</v>
      </c>
      <c r="CJ7" s="10">
        <v>219.26400000000001</v>
      </c>
      <c r="CK7" s="10">
        <v>4635.2616799999987</v>
      </c>
      <c r="CL7" s="10">
        <v>1732.91832</v>
      </c>
      <c r="CM7" s="10">
        <v>166.10809</v>
      </c>
      <c r="CN7" s="10">
        <v>6822.7750500000011</v>
      </c>
      <c r="CO7" s="10">
        <v>61.714790000000001</v>
      </c>
      <c r="CP7" s="10">
        <v>29.835270000000001</v>
      </c>
      <c r="CQ7" s="10">
        <v>265.70170000000002</v>
      </c>
      <c r="CR7" s="10">
        <v>4787.7205800000002</v>
      </c>
      <c r="CS7" s="10">
        <v>116.16534</v>
      </c>
      <c r="CT7" s="10">
        <v>9080.0985000000019</v>
      </c>
      <c r="CU7" s="10">
        <v>135.52600000000001</v>
      </c>
      <c r="CV7" s="10">
        <v>203.64973000000001</v>
      </c>
      <c r="CW7" s="11">
        <v>2221171.5032400014</v>
      </c>
      <c r="CX7" s="11">
        <v>2221171.5032400014</v>
      </c>
    </row>
    <row r="8" spans="1:102">
      <c r="A8" s="7">
        <v>2020</v>
      </c>
      <c r="B8" s="7">
        <f t="shared" ca="1" si="0"/>
        <v>2</v>
      </c>
      <c r="C8" s="9">
        <v>43983</v>
      </c>
      <c r="D8" s="12">
        <v>20679.38062</v>
      </c>
      <c r="E8" s="12">
        <v>6372.6096799999987</v>
      </c>
      <c r="F8" s="12">
        <v>9267.5178299999989</v>
      </c>
      <c r="G8" s="12">
        <v>1211.9578299999998</v>
      </c>
      <c r="H8" s="12">
        <v>3161.6927700000001</v>
      </c>
      <c r="I8" s="12">
        <v>100946.03324999998</v>
      </c>
      <c r="J8" s="12">
        <v>1537.4502499999999</v>
      </c>
      <c r="K8" s="12">
        <v>95216.850780000066</v>
      </c>
      <c r="L8" s="12">
        <v>194805.84623999998</v>
      </c>
      <c r="M8" s="12">
        <v>752.15870999999993</v>
      </c>
      <c r="N8" s="12">
        <v>8026.7693900000004</v>
      </c>
      <c r="O8" s="12">
        <v>3119.1464799999994</v>
      </c>
      <c r="P8" s="12">
        <v>220.98755000000003</v>
      </c>
      <c r="Q8" s="12">
        <v>27.36</v>
      </c>
      <c r="R8" s="12">
        <v>73167.067919999943</v>
      </c>
      <c r="S8" s="12">
        <v>1548.3924199999999</v>
      </c>
      <c r="T8" s="12">
        <v>28866.328679999995</v>
      </c>
      <c r="U8" s="12">
        <v>5285.997159999999</v>
      </c>
      <c r="V8" s="12">
        <v>13302.36146</v>
      </c>
      <c r="W8" s="12">
        <v>6843.2821400000012</v>
      </c>
      <c r="X8" s="12">
        <v>31288.539140000008</v>
      </c>
      <c r="Y8" s="12">
        <v>2409.5887299999995</v>
      </c>
      <c r="Z8" s="12">
        <v>2736.0623700000001</v>
      </c>
      <c r="AA8" s="12">
        <v>2600.9275899999998</v>
      </c>
      <c r="AB8" s="12">
        <v>949.24464999999975</v>
      </c>
      <c r="AC8" s="12">
        <v>2225.9327699999999</v>
      </c>
      <c r="AD8" s="12">
        <v>921343.9296400001</v>
      </c>
      <c r="AE8" s="12">
        <v>6378.0183000000015</v>
      </c>
      <c r="AF8" s="12">
        <v>6824.3384299999962</v>
      </c>
      <c r="AG8" s="12">
        <v>32996.845749999986</v>
      </c>
      <c r="AH8" s="12">
        <v>3110.0254800000007</v>
      </c>
      <c r="AI8" s="12">
        <v>5711.8739399999995</v>
      </c>
      <c r="AJ8" s="12">
        <v>29741.566120000003</v>
      </c>
      <c r="AK8" s="12">
        <v>13070.225990000006</v>
      </c>
      <c r="AL8" s="12">
        <v>4845.3220299999994</v>
      </c>
      <c r="AM8" s="12">
        <v>0</v>
      </c>
      <c r="AN8" s="12">
        <v>56.757889999999996</v>
      </c>
      <c r="AO8" s="12">
        <v>33506.747289999999</v>
      </c>
      <c r="AP8" s="12">
        <v>78733.453339999876</v>
      </c>
      <c r="AQ8" s="12">
        <v>5960.9231100000025</v>
      </c>
      <c r="AR8" s="12">
        <v>1383.3954099999999</v>
      </c>
      <c r="AS8" s="12">
        <v>2915.6485699999998</v>
      </c>
      <c r="AT8" s="12">
        <v>356.43617</v>
      </c>
      <c r="AU8" s="12">
        <v>1915.12139</v>
      </c>
      <c r="AV8" s="12">
        <v>0</v>
      </c>
      <c r="AW8" s="12">
        <v>9.0962399999999999</v>
      </c>
      <c r="AX8" s="12">
        <v>562.9920699999999</v>
      </c>
      <c r="AY8" s="12">
        <v>21125.980649999987</v>
      </c>
      <c r="AZ8" s="12">
        <v>2067.5806799999996</v>
      </c>
      <c r="BA8" s="12">
        <v>0</v>
      </c>
      <c r="BB8" s="12">
        <v>0.17080999999999999</v>
      </c>
      <c r="BC8" s="12">
        <v>210.34275</v>
      </c>
      <c r="BD8" s="12">
        <v>68.597589999999997</v>
      </c>
      <c r="BE8" s="12">
        <v>2868.6448800000003</v>
      </c>
      <c r="BF8" s="12">
        <v>498.69250999999997</v>
      </c>
      <c r="BG8" s="12">
        <v>555.94537999999989</v>
      </c>
      <c r="BH8" s="12">
        <v>39.943539999999999</v>
      </c>
      <c r="BI8" s="12">
        <v>644.85966999999994</v>
      </c>
      <c r="BJ8" s="12">
        <v>2576.4763200000007</v>
      </c>
      <c r="BK8" s="12">
        <v>1165.4057400000002</v>
      </c>
      <c r="BL8" s="12">
        <v>7819.0366999999942</v>
      </c>
      <c r="BM8" s="12">
        <v>13128.581629999997</v>
      </c>
      <c r="BN8" s="12">
        <v>8040.4765699999962</v>
      </c>
      <c r="BO8" s="12">
        <v>908.47721999999976</v>
      </c>
      <c r="BP8" s="12">
        <v>706.24603999999988</v>
      </c>
      <c r="BQ8" s="12">
        <v>0.8842000000000001</v>
      </c>
      <c r="BR8" s="12">
        <v>7.8170000000000002</v>
      </c>
      <c r="BS8" s="12">
        <v>2631.7251299999998</v>
      </c>
      <c r="BT8" s="12">
        <v>3451.7716600000008</v>
      </c>
      <c r="BU8" s="12">
        <v>8694.1881399999984</v>
      </c>
      <c r="BV8" s="12">
        <v>247568.94077999998</v>
      </c>
      <c r="BW8" s="12">
        <v>35879.478110000018</v>
      </c>
      <c r="BX8" s="12">
        <v>7388.9621599999946</v>
      </c>
      <c r="BY8" s="12">
        <v>8458.9052999999985</v>
      </c>
      <c r="BZ8" s="12">
        <v>3.7923299999999998</v>
      </c>
      <c r="CA8" s="12">
        <v>27369.886639999982</v>
      </c>
      <c r="CB8" s="12">
        <v>498.85748000000007</v>
      </c>
      <c r="CC8" s="12">
        <v>0</v>
      </c>
      <c r="CD8" s="12">
        <v>0</v>
      </c>
      <c r="CE8" s="12">
        <v>0</v>
      </c>
      <c r="CF8" s="12">
        <v>3503.6077699999978</v>
      </c>
      <c r="CG8" s="12">
        <v>1726.2529200000004</v>
      </c>
      <c r="CH8" s="12">
        <v>21462.239270000024</v>
      </c>
      <c r="CI8" s="12">
        <v>41720.079639999996</v>
      </c>
      <c r="CJ8" s="12">
        <v>39.0122</v>
      </c>
      <c r="CK8" s="12">
        <v>23561.033100000051</v>
      </c>
      <c r="CL8" s="12">
        <v>1110.22876</v>
      </c>
      <c r="CM8" s="12">
        <v>84.277670000000015</v>
      </c>
      <c r="CN8" s="12">
        <v>6715.979440000001</v>
      </c>
      <c r="CO8" s="12">
        <v>557.01175999999987</v>
      </c>
      <c r="CP8" s="12">
        <v>0</v>
      </c>
      <c r="CQ8" s="12">
        <v>64.988230000000001</v>
      </c>
      <c r="CR8" s="12">
        <v>8234.1386899999943</v>
      </c>
      <c r="CS8" s="12">
        <v>309.99266</v>
      </c>
      <c r="CT8" s="12">
        <v>9716.48639</v>
      </c>
      <c r="CU8" s="12">
        <v>2.2999999999999998</v>
      </c>
      <c r="CV8" s="12">
        <v>301.57871</v>
      </c>
      <c r="CW8" s="13">
        <v>2289482.0783900009</v>
      </c>
      <c r="CX8" s="13">
        <v>2289482.0783900009</v>
      </c>
    </row>
    <row r="9" spans="1:102">
      <c r="A9" s="7">
        <v>2020</v>
      </c>
      <c r="B9" s="7">
        <f t="shared" ca="1" si="0"/>
        <v>3</v>
      </c>
      <c r="C9" s="8">
        <v>44013</v>
      </c>
      <c r="D9" s="10">
        <v>3462.8314000000005</v>
      </c>
      <c r="E9" s="10">
        <v>8003.0680700000003</v>
      </c>
      <c r="F9" s="10">
        <v>13227.401809999998</v>
      </c>
      <c r="G9" s="10">
        <v>1060.0126700000001</v>
      </c>
      <c r="H9" s="10">
        <v>2792.4632899999997</v>
      </c>
      <c r="I9" s="10">
        <v>107332.63896000005</v>
      </c>
      <c r="J9" s="10">
        <v>1722.2649899999999</v>
      </c>
      <c r="K9" s="10">
        <v>91828.713360000009</v>
      </c>
      <c r="L9" s="10">
        <v>270277.39139999996</v>
      </c>
      <c r="M9" s="10">
        <v>598.6556599999999</v>
      </c>
      <c r="N9" s="10">
        <v>10609.526289999998</v>
      </c>
      <c r="O9" s="10">
        <v>2401.571829999999</v>
      </c>
      <c r="P9" s="10">
        <v>1080.1326699999997</v>
      </c>
      <c r="Q9" s="10">
        <v>55.038719999999991</v>
      </c>
      <c r="R9" s="10">
        <v>46343.556900000011</v>
      </c>
      <c r="S9" s="10">
        <v>4646.7643599999992</v>
      </c>
      <c r="T9" s="10">
        <v>44149.229789999983</v>
      </c>
      <c r="U9" s="10">
        <v>8982.3553900000024</v>
      </c>
      <c r="V9" s="10">
        <v>16069.360059999995</v>
      </c>
      <c r="W9" s="10">
        <v>9458.239290000005</v>
      </c>
      <c r="X9" s="10">
        <v>35857.526299999998</v>
      </c>
      <c r="Y9" s="10">
        <v>2771.5440900000003</v>
      </c>
      <c r="Z9" s="10">
        <v>3143.1626299999994</v>
      </c>
      <c r="AA9" s="10">
        <v>2261.8491099999997</v>
      </c>
      <c r="AB9" s="10">
        <v>1726.7204299999999</v>
      </c>
      <c r="AC9" s="10">
        <v>22934.870200000001</v>
      </c>
      <c r="AD9" s="10">
        <v>936559.68783000018</v>
      </c>
      <c r="AE9" s="10">
        <v>5837.8873800000001</v>
      </c>
      <c r="AF9" s="10">
        <v>7522.937020000003</v>
      </c>
      <c r="AG9" s="10">
        <v>32300.99019</v>
      </c>
      <c r="AH9" s="10">
        <v>5842.7648799999997</v>
      </c>
      <c r="AI9" s="10">
        <v>7270.2102100000038</v>
      </c>
      <c r="AJ9" s="10">
        <v>34178.810510000032</v>
      </c>
      <c r="AK9" s="10">
        <v>16649.26952999999</v>
      </c>
      <c r="AL9" s="10">
        <v>3996.4515499999989</v>
      </c>
      <c r="AM9" s="10">
        <v>1.42611</v>
      </c>
      <c r="AN9" s="10">
        <v>4.8685</v>
      </c>
      <c r="AO9" s="10">
        <v>46943.579170000012</v>
      </c>
      <c r="AP9" s="10">
        <v>113001.51752999998</v>
      </c>
      <c r="AQ9" s="10">
        <v>8842.1719600000015</v>
      </c>
      <c r="AR9" s="10">
        <v>1145.83879</v>
      </c>
      <c r="AS9" s="10">
        <v>3603.81106</v>
      </c>
      <c r="AT9" s="10">
        <v>531.8411000000001</v>
      </c>
      <c r="AU9" s="10">
        <v>2857.04351</v>
      </c>
      <c r="AV9" s="10">
        <v>15.1052</v>
      </c>
      <c r="AW9" s="10">
        <v>58.340600000000009</v>
      </c>
      <c r="AX9" s="10">
        <v>193.97437000000002</v>
      </c>
      <c r="AY9" s="10">
        <v>24337.799499999997</v>
      </c>
      <c r="AZ9" s="10">
        <v>2411.9137000000001</v>
      </c>
      <c r="BA9" s="10">
        <v>0</v>
      </c>
      <c r="BB9" s="10">
        <v>2.5000000000000001E-2</v>
      </c>
      <c r="BC9" s="10">
        <v>386.66372000000007</v>
      </c>
      <c r="BD9" s="10">
        <v>67.938100000000006</v>
      </c>
      <c r="BE9" s="10">
        <v>3168.7750899999996</v>
      </c>
      <c r="BF9" s="10">
        <v>784.05653000000052</v>
      </c>
      <c r="BG9" s="10">
        <v>1021.93911</v>
      </c>
      <c r="BH9" s="10">
        <v>66.398180000000011</v>
      </c>
      <c r="BI9" s="10">
        <v>616.07914000000005</v>
      </c>
      <c r="BJ9" s="10">
        <v>2642.3284600000006</v>
      </c>
      <c r="BK9" s="10">
        <v>3010.3127100000011</v>
      </c>
      <c r="BL9" s="10">
        <v>9087.1263000000108</v>
      </c>
      <c r="BM9" s="10">
        <v>15819.585710000023</v>
      </c>
      <c r="BN9" s="10">
        <v>9578.8973799999985</v>
      </c>
      <c r="BO9" s="10">
        <v>1438.3002499999986</v>
      </c>
      <c r="BP9" s="10">
        <v>508.00817999999992</v>
      </c>
      <c r="BQ9" s="10">
        <v>13.752439999999998</v>
      </c>
      <c r="BR9" s="10">
        <v>9.5809999999999995</v>
      </c>
      <c r="BS9" s="10">
        <v>3398.635139999999</v>
      </c>
      <c r="BT9" s="10">
        <v>5037.8550299999997</v>
      </c>
      <c r="BU9" s="10">
        <v>11581.018970000003</v>
      </c>
      <c r="BV9" s="10">
        <v>291202.73945999995</v>
      </c>
      <c r="BW9" s="10">
        <v>32654.021670000002</v>
      </c>
      <c r="BX9" s="10">
        <v>11628.994390000003</v>
      </c>
      <c r="BY9" s="10">
        <v>16587.876610000003</v>
      </c>
      <c r="BZ9" s="10">
        <v>0.82726999999999995</v>
      </c>
      <c r="CA9" s="10">
        <v>28380.910839999997</v>
      </c>
      <c r="CB9" s="10">
        <v>573.37866000000008</v>
      </c>
      <c r="CC9" s="10">
        <v>23.592500000000001</v>
      </c>
      <c r="CD9" s="10">
        <v>17.071909999999999</v>
      </c>
      <c r="CE9" s="10">
        <v>157.70371999999998</v>
      </c>
      <c r="CF9" s="10">
        <v>5201.7082500000015</v>
      </c>
      <c r="CG9" s="10">
        <v>2301.4356799999987</v>
      </c>
      <c r="CH9" s="10">
        <v>24557.622390000008</v>
      </c>
      <c r="CI9" s="10">
        <v>39518.203690000009</v>
      </c>
      <c r="CJ9" s="10">
        <v>6.1151999999999997</v>
      </c>
      <c r="CK9" s="10">
        <v>36713.524390000006</v>
      </c>
      <c r="CL9" s="10">
        <v>1926.7838900000002</v>
      </c>
      <c r="CM9" s="10">
        <v>93.094999999999999</v>
      </c>
      <c r="CN9" s="10">
        <v>7993.5276700000022</v>
      </c>
      <c r="CO9" s="10">
        <v>110.67312</v>
      </c>
      <c r="CP9" s="10">
        <v>6.5220000000000002</v>
      </c>
      <c r="CQ9" s="10">
        <v>28.956799999999998</v>
      </c>
      <c r="CR9" s="10">
        <v>6909.2676500000007</v>
      </c>
      <c r="CS9" s="10">
        <v>1199.2986599999997</v>
      </c>
      <c r="CT9" s="10">
        <v>8519.1336499999998</v>
      </c>
      <c r="CU9" s="10">
        <v>0.47399999999999998</v>
      </c>
      <c r="CV9" s="10">
        <v>532.41455000000008</v>
      </c>
      <c r="CW9" s="11">
        <v>2551988.2799299997</v>
      </c>
      <c r="CX9" s="11">
        <v>2551988.2799299997</v>
      </c>
    </row>
    <row r="10" spans="1:102">
      <c r="A10" s="7">
        <v>2020</v>
      </c>
      <c r="B10" s="7">
        <f t="shared" ca="1" si="0"/>
        <v>3</v>
      </c>
      <c r="C10" s="9">
        <v>44044</v>
      </c>
      <c r="D10" s="12">
        <v>19307.744130000003</v>
      </c>
      <c r="E10" s="12">
        <v>9069.8061100000014</v>
      </c>
      <c r="F10" s="12">
        <v>9065.1831600000005</v>
      </c>
      <c r="G10" s="12">
        <v>1397.4092400000004</v>
      </c>
      <c r="H10" s="12">
        <v>2587.3571499999998</v>
      </c>
      <c r="I10" s="12">
        <v>93201.055890000091</v>
      </c>
      <c r="J10" s="12">
        <v>1674.3694400000002</v>
      </c>
      <c r="K10" s="12">
        <v>78973.677049999955</v>
      </c>
      <c r="L10" s="12">
        <v>201786.84555000003</v>
      </c>
      <c r="M10" s="12">
        <v>178.59873999999999</v>
      </c>
      <c r="N10" s="12">
        <v>7177.2354100000002</v>
      </c>
      <c r="O10" s="12">
        <v>1710.1330399999997</v>
      </c>
      <c r="P10" s="12">
        <v>726.66451000000018</v>
      </c>
      <c r="Q10" s="12">
        <v>14.64</v>
      </c>
      <c r="R10" s="12">
        <v>48286.821760000013</v>
      </c>
      <c r="S10" s="12">
        <v>3629.7212000000004</v>
      </c>
      <c r="T10" s="12">
        <v>42992.298189999965</v>
      </c>
      <c r="U10" s="12">
        <v>11807.748400000004</v>
      </c>
      <c r="V10" s="12">
        <v>13359.49769</v>
      </c>
      <c r="W10" s="12">
        <v>8616.5724100000025</v>
      </c>
      <c r="X10" s="12">
        <v>33037.785299999967</v>
      </c>
      <c r="Y10" s="12">
        <v>1566.4694000000002</v>
      </c>
      <c r="Z10" s="12">
        <v>2491.7716399999999</v>
      </c>
      <c r="AA10" s="12">
        <v>691.00058000000001</v>
      </c>
      <c r="AB10" s="12">
        <v>1226.6446700000001</v>
      </c>
      <c r="AC10" s="12">
        <v>2147.7141499999998</v>
      </c>
      <c r="AD10" s="12">
        <v>1103433.34528</v>
      </c>
      <c r="AE10" s="12">
        <v>6259.6489899999997</v>
      </c>
      <c r="AF10" s="12">
        <v>8736.0522199999996</v>
      </c>
      <c r="AG10" s="12">
        <v>33823.501179999985</v>
      </c>
      <c r="AH10" s="12">
        <v>5149.8576600000006</v>
      </c>
      <c r="AI10" s="12">
        <v>7010.2198000000026</v>
      </c>
      <c r="AJ10" s="12">
        <v>35480.43485000002</v>
      </c>
      <c r="AK10" s="12">
        <v>17598.248170000013</v>
      </c>
      <c r="AL10" s="12">
        <v>3769.0606100000009</v>
      </c>
      <c r="AM10" s="12">
        <v>0</v>
      </c>
      <c r="AN10" s="12">
        <v>13.1366</v>
      </c>
      <c r="AO10" s="12">
        <v>33612.42061999999</v>
      </c>
      <c r="AP10" s="12">
        <v>106562.5327800001</v>
      </c>
      <c r="AQ10" s="12">
        <v>7941.4425700000011</v>
      </c>
      <c r="AR10" s="12">
        <v>2016.8387199999993</v>
      </c>
      <c r="AS10" s="12">
        <v>3559.2674099999986</v>
      </c>
      <c r="AT10" s="12">
        <v>541.35066999999992</v>
      </c>
      <c r="AU10" s="12">
        <v>3628.2313899999995</v>
      </c>
      <c r="AV10" s="12">
        <v>0.1799</v>
      </c>
      <c r="AW10" s="12">
        <v>25.89096</v>
      </c>
      <c r="AX10" s="12">
        <v>297.71654999999998</v>
      </c>
      <c r="AY10" s="12">
        <v>17781.010760000001</v>
      </c>
      <c r="AZ10" s="12">
        <v>1649.9764499999997</v>
      </c>
      <c r="BA10" s="12">
        <v>0</v>
      </c>
      <c r="BB10" s="12">
        <v>0</v>
      </c>
      <c r="BC10" s="12">
        <v>181.47569999999999</v>
      </c>
      <c r="BD10" s="12">
        <v>51.844670000000001</v>
      </c>
      <c r="BE10" s="12">
        <v>4525.0126700000001</v>
      </c>
      <c r="BF10" s="12">
        <v>1328.9749399999998</v>
      </c>
      <c r="BG10" s="12">
        <v>1021.7314399999999</v>
      </c>
      <c r="BH10" s="12">
        <v>149.81703000000002</v>
      </c>
      <c r="BI10" s="12">
        <v>887.44200999999975</v>
      </c>
      <c r="BJ10" s="12">
        <v>2471.08736</v>
      </c>
      <c r="BK10" s="12">
        <v>3823.8964599999999</v>
      </c>
      <c r="BL10" s="12">
        <v>12569.862619999989</v>
      </c>
      <c r="BM10" s="12">
        <v>18452.812249999992</v>
      </c>
      <c r="BN10" s="12">
        <v>9571.9160200000024</v>
      </c>
      <c r="BO10" s="12">
        <v>1444.4103900000007</v>
      </c>
      <c r="BP10" s="12">
        <v>220.51368999999997</v>
      </c>
      <c r="BQ10" s="12">
        <v>39.974209999999999</v>
      </c>
      <c r="BR10" s="12">
        <v>0.94499999999999995</v>
      </c>
      <c r="BS10" s="12">
        <v>3641.1238200000025</v>
      </c>
      <c r="BT10" s="12">
        <v>7268.9125999999987</v>
      </c>
      <c r="BU10" s="12">
        <v>10088.60996</v>
      </c>
      <c r="BV10" s="12">
        <v>287292.99478000001</v>
      </c>
      <c r="BW10" s="12">
        <v>44967.362350000003</v>
      </c>
      <c r="BX10" s="12">
        <v>8721.3339599999945</v>
      </c>
      <c r="BY10" s="12">
        <v>9598.1891800000012</v>
      </c>
      <c r="BZ10" s="12">
        <v>5.8698000000000006</v>
      </c>
      <c r="CA10" s="12">
        <v>24346.886549999981</v>
      </c>
      <c r="CB10" s="12">
        <v>442.07223999999997</v>
      </c>
      <c r="CC10" s="12">
        <v>20.083349999999999</v>
      </c>
      <c r="CD10" s="12">
        <v>0</v>
      </c>
      <c r="CE10" s="12">
        <v>24.565000000000001</v>
      </c>
      <c r="CF10" s="12">
        <v>4498.8125900000005</v>
      </c>
      <c r="CG10" s="12">
        <v>2266.3247899999997</v>
      </c>
      <c r="CH10" s="12">
        <v>30672.649220000018</v>
      </c>
      <c r="CI10" s="12">
        <v>43712.635669999996</v>
      </c>
      <c r="CJ10" s="12">
        <v>3.72288</v>
      </c>
      <c r="CK10" s="12">
        <v>24714.622130000003</v>
      </c>
      <c r="CL10" s="12">
        <v>1612.06358</v>
      </c>
      <c r="CM10" s="12">
        <v>206.26400000000001</v>
      </c>
      <c r="CN10" s="12">
        <v>7134.6963500000047</v>
      </c>
      <c r="CO10" s="12">
        <v>120.77534000000001</v>
      </c>
      <c r="CP10" s="12">
        <v>5.2522500000000001</v>
      </c>
      <c r="CQ10" s="12">
        <v>0</v>
      </c>
      <c r="CR10" s="12">
        <v>9496.1421499999997</v>
      </c>
      <c r="CS10" s="12">
        <v>1115.4602299999999</v>
      </c>
      <c r="CT10" s="12">
        <v>9341.8299699999989</v>
      </c>
      <c r="CU10" s="12">
        <v>148.19316999999998</v>
      </c>
      <c r="CV10" s="12">
        <v>942.4671699999999</v>
      </c>
      <c r="CW10" s="13">
        <v>2584766.7604900007</v>
      </c>
      <c r="CX10" s="13">
        <v>2584766.7604900007</v>
      </c>
    </row>
    <row r="11" spans="1:102">
      <c r="A11" s="7">
        <v>2020</v>
      </c>
      <c r="B11" s="7">
        <f t="shared" ca="1" si="0"/>
        <v>3</v>
      </c>
      <c r="C11" s="8">
        <v>44075</v>
      </c>
      <c r="D11" s="10">
        <v>5328.0890999999992</v>
      </c>
      <c r="E11" s="10">
        <v>12127.899409999998</v>
      </c>
      <c r="F11" s="10">
        <v>14334.331110000001</v>
      </c>
      <c r="G11" s="10">
        <v>1196.3876199999997</v>
      </c>
      <c r="H11" s="10">
        <v>3292.3668399999997</v>
      </c>
      <c r="I11" s="10">
        <v>108948.90081999994</v>
      </c>
      <c r="J11" s="10">
        <v>1730.5212599999998</v>
      </c>
      <c r="K11" s="10">
        <v>86821.612700000056</v>
      </c>
      <c r="L11" s="10">
        <v>217897.42833000005</v>
      </c>
      <c r="M11" s="10">
        <v>14.148659999999998</v>
      </c>
      <c r="N11" s="10">
        <v>8095.4896599999984</v>
      </c>
      <c r="O11" s="10">
        <v>2129.5421599999995</v>
      </c>
      <c r="P11" s="10">
        <v>114.60411999999999</v>
      </c>
      <c r="Q11" s="10">
        <v>14.61542</v>
      </c>
      <c r="R11" s="10">
        <v>34311.529880000009</v>
      </c>
      <c r="S11" s="10">
        <v>3445.0166199999994</v>
      </c>
      <c r="T11" s="10">
        <v>53438.732389999997</v>
      </c>
      <c r="U11" s="10">
        <v>9204.3988399999962</v>
      </c>
      <c r="V11" s="10">
        <v>15094.125199999991</v>
      </c>
      <c r="W11" s="10">
        <v>9228.5458499999932</v>
      </c>
      <c r="X11" s="10">
        <v>37043.650289999998</v>
      </c>
      <c r="Y11" s="10">
        <v>4122.10995</v>
      </c>
      <c r="Z11" s="10">
        <v>2740.2882200000004</v>
      </c>
      <c r="AA11" s="10">
        <v>345.01600000000002</v>
      </c>
      <c r="AB11" s="10">
        <v>1795.4163700000001</v>
      </c>
      <c r="AC11" s="10">
        <v>1743.12204</v>
      </c>
      <c r="AD11" s="10">
        <v>931901.66786999989</v>
      </c>
      <c r="AE11" s="10">
        <v>5215.6114400000015</v>
      </c>
      <c r="AF11" s="10">
        <v>6635.7381599999972</v>
      </c>
      <c r="AG11" s="10">
        <v>33616.144459999996</v>
      </c>
      <c r="AH11" s="10">
        <v>4721.9778000000006</v>
      </c>
      <c r="AI11" s="10">
        <v>8033.5231000000022</v>
      </c>
      <c r="AJ11" s="10">
        <v>40503.899020000041</v>
      </c>
      <c r="AK11" s="10">
        <v>15584.05406</v>
      </c>
      <c r="AL11" s="10">
        <v>4935.7139299999999</v>
      </c>
      <c r="AM11" s="10">
        <v>3.9319999999999999</v>
      </c>
      <c r="AN11" s="10">
        <v>60.428659999999994</v>
      </c>
      <c r="AO11" s="10">
        <v>46851.073809999973</v>
      </c>
      <c r="AP11" s="10">
        <v>126820.72568000006</v>
      </c>
      <c r="AQ11" s="10">
        <v>8124.4355899999991</v>
      </c>
      <c r="AR11" s="10">
        <v>3742.9268299999994</v>
      </c>
      <c r="AS11" s="10">
        <v>3901.3046999999997</v>
      </c>
      <c r="AT11" s="10">
        <v>419.69960000000003</v>
      </c>
      <c r="AU11" s="10">
        <v>4125.8767399999997</v>
      </c>
      <c r="AV11" s="10">
        <v>11.792339999999999</v>
      </c>
      <c r="AW11" s="10">
        <v>4.5452200000000005</v>
      </c>
      <c r="AX11" s="10">
        <v>125.04524000000001</v>
      </c>
      <c r="AY11" s="10">
        <v>21018.434500000003</v>
      </c>
      <c r="AZ11" s="10">
        <v>2522.3941299999988</v>
      </c>
      <c r="BA11" s="10">
        <v>0</v>
      </c>
      <c r="BB11" s="10">
        <v>2.8752499999999999</v>
      </c>
      <c r="BC11" s="10">
        <v>858.94689000000028</v>
      </c>
      <c r="BD11" s="10">
        <v>141.8152</v>
      </c>
      <c r="BE11" s="10">
        <v>3811.6068599999999</v>
      </c>
      <c r="BF11" s="10">
        <v>831.24142000000018</v>
      </c>
      <c r="BG11" s="10">
        <v>1263.0380500000001</v>
      </c>
      <c r="BH11" s="10">
        <v>37.822559999999996</v>
      </c>
      <c r="BI11" s="10">
        <v>903.16992999999991</v>
      </c>
      <c r="BJ11" s="10">
        <v>2275.56104</v>
      </c>
      <c r="BK11" s="10">
        <v>4726.8272100000004</v>
      </c>
      <c r="BL11" s="10">
        <v>10445.939350000008</v>
      </c>
      <c r="BM11" s="10">
        <v>15710.138759999982</v>
      </c>
      <c r="BN11" s="10">
        <v>8893.3257500000072</v>
      </c>
      <c r="BO11" s="10">
        <v>1851.8580999999999</v>
      </c>
      <c r="BP11" s="10">
        <v>644.52170000000012</v>
      </c>
      <c r="BQ11" s="10">
        <v>78.557389999999998</v>
      </c>
      <c r="BR11" s="10">
        <v>4.6745700000000001</v>
      </c>
      <c r="BS11" s="10">
        <v>3977.6394799999994</v>
      </c>
      <c r="BT11" s="10">
        <v>6090.885409999999</v>
      </c>
      <c r="BU11" s="10">
        <v>11970.604709999998</v>
      </c>
      <c r="BV11" s="10">
        <v>298528.68170999998</v>
      </c>
      <c r="BW11" s="10">
        <v>38100.985229999998</v>
      </c>
      <c r="BX11" s="10">
        <v>10914.615900000003</v>
      </c>
      <c r="BY11" s="10">
        <v>13701.530030000004</v>
      </c>
      <c r="BZ11" s="10">
        <v>14.017749999999999</v>
      </c>
      <c r="CA11" s="10">
        <v>27967.044400000013</v>
      </c>
      <c r="CB11" s="10">
        <v>1523.1040800000001</v>
      </c>
      <c r="CC11" s="10">
        <v>25.795909999999999</v>
      </c>
      <c r="CD11" s="10">
        <v>9.6582600000000003</v>
      </c>
      <c r="CE11" s="10">
        <v>231.38382999999999</v>
      </c>
      <c r="CF11" s="10">
        <v>5876.27682</v>
      </c>
      <c r="CG11" s="10">
        <v>3100.2284599999994</v>
      </c>
      <c r="CH11" s="10">
        <v>39417.453430000001</v>
      </c>
      <c r="CI11" s="10">
        <v>59468.835799999943</v>
      </c>
      <c r="CJ11" s="10">
        <v>232.20910000000001</v>
      </c>
      <c r="CK11" s="10">
        <v>32213.334300000002</v>
      </c>
      <c r="CL11" s="10">
        <v>4319.5194599999995</v>
      </c>
      <c r="CM11" s="10">
        <v>185.096</v>
      </c>
      <c r="CN11" s="10">
        <v>6579.5672099999965</v>
      </c>
      <c r="CO11" s="10">
        <v>96.222700000000003</v>
      </c>
      <c r="CP11" s="10">
        <v>6.57484</v>
      </c>
      <c r="CQ11" s="10">
        <v>0</v>
      </c>
      <c r="CR11" s="10">
        <v>10368.026619999995</v>
      </c>
      <c r="CS11" s="10">
        <v>1230.3816999999999</v>
      </c>
      <c r="CT11" s="10">
        <v>11238.753930000001</v>
      </c>
      <c r="CU11" s="10">
        <v>669.04390999999998</v>
      </c>
      <c r="CV11" s="10">
        <v>895.3794200000001</v>
      </c>
      <c r="CW11" s="11">
        <v>2544873.6041700011</v>
      </c>
      <c r="CX11" s="11">
        <v>2544873.6041700011</v>
      </c>
    </row>
    <row r="12" spans="1:102">
      <c r="A12" s="7">
        <v>2020</v>
      </c>
      <c r="B12" s="7">
        <f t="shared" ca="1" si="0"/>
        <v>4</v>
      </c>
      <c r="C12" s="9">
        <v>44105</v>
      </c>
      <c r="D12" s="12">
        <v>20199.379149999997</v>
      </c>
      <c r="E12" s="12">
        <v>13383.58052</v>
      </c>
      <c r="F12" s="12">
        <v>9802.6583899999987</v>
      </c>
      <c r="G12" s="12">
        <v>1615.7323500000002</v>
      </c>
      <c r="H12" s="12">
        <v>3409.8576899999998</v>
      </c>
      <c r="I12" s="12">
        <v>101595.86246000003</v>
      </c>
      <c r="J12" s="12">
        <v>2234.0019600000001</v>
      </c>
      <c r="K12" s="12">
        <v>116055.25359000012</v>
      </c>
      <c r="L12" s="12">
        <v>173371.85250999988</v>
      </c>
      <c r="M12" s="12">
        <v>3.8032299999999997</v>
      </c>
      <c r="N12" s="12">
        <v>7618.0919699999995</v>
      </c>
      <c r="O12" s="12">
        <v>4352.79583</v>
      </c>
      <c r="P12" s="12">
        <v>291.98392000000001</v>
      </c>
      <c r="Q12" s="12">
        <v>29.912929999999999</v>
      </c>
      <c r="R12" s="12">
        <v>48942.225719999995</v>
      </c>
      <c r="S12" s="12">
        <v>2866.4332200000003</v>
      </c>
      <c r="T12" s="12">
        <v>54238.004350000025</v>
      </c>
      <c r="U12" s="12">
        <v>9420.1781799999972</v>
      </c>
      <c r="V12" s="12">
        <v>11635.229499999998</v>
      </c>
      <c r="W12" s="12">
        <v>9072.5214699999942</v>
      </c>
      <c r="X12" s="12">
        <v>33705.383750000008</v>
      </c>
      <c r="Y12" s="12">
        <v>2142.3544199999997</v>
      </c>
      <c r="Z12" s="12">
        <v>2438.6454800000001</v>
      </c>
      <c r="AA12" s="12">
        <v>996.44258000000002</v>
      </c>
      <c r="AB12" s="12">
        <v>1392.8086699999997</v>
      </c>
      <c r="AC12" s="12">
        <v>17998.638740000002</v>
      </c>
      <c r="AD12" s="12">
        <v>969246.64293000021</v>
      </c>
      <c r="AE12" s="12">
        <v>8979.0801899999951</v>
      </c>
      <c r="AF12" s="12">
        <v>8862.3294100000003</v>
      </c>
      <c r="AG12" s="12">
        <v>32437.104340000016</v>
      </c>
      <c r="AH12" s="12">
        <v>3974.7049100000008</v>
      </c>
      <c r="AI12" s="12">
        <v>7213.2521400000032</v>
      </c>
      <c r="AJ12" s="12">
        <v>39654.60146999998</v>
      </c>
      <c r="AK12" s="12">
        <v>11075.233490000004</v>
      </c>
      <c r="AL12" s="12">
        <v>4275.4118200000003</v>
      </c>
      <c r="AM12" s="12">
        <v>0</v>
      </c>
      <c r="AN12" s="12">
        <v>70.514679999999998</v>
      </c>
      <c r="AO12" s="12">
        <v>43601.578949999996</v>
      </c>
      <c r="AP12" s="12">
        <v>101781.68926999993</v>
      </c>
      <c r="AQ12" s="12">
        <v>8372.2971600000037</v>
      </c>
      <c r="AR12" s="12">
        <v>2892.8008799999993</v>
      </c>
      <c r="AS12" s="12">
        <v>3427.5338200000006</v>
      </c>
      <c r="AT12" s="12">
        <v>220.84417000000002</v>
      </c>
      <c r="AU12" s="12">
        <v>4596.9189600000009</v>
      </c>
      <c r="AV12" s="12">
        <v>12.542450000000001</v>
      </c>
      <c r="AW12" s="12">
        <v>10.513170000000001</v>
      </c>
      <c r="AX12" s="12">
        <v>116.01948999999999</v>
      </c>
      <c r="AY12" s="12">
        <v>22336.758739999983</v>
      </c>
      <c r="AZ12" s="12">
        <v>2336.2321899999997</v>
      </c>
      <c r="BA12" s="12">
        <v>1.4259999999999999</v>
      </c>
      <c r="BB12" s="12">
        <v>0.38719999999999999</v>
      </c>
      <c r="BC12" s="12">
        <v>558.9920900000003</v>
      </c>
      <c r="BD12" s="12">
        <v>63.059370000000001</v>
      </c>
      <c r="BE12" s="12">
        <v>4542.688180000001</v>
      </c>
      <c r="BF12" s="12">
        <v>724.01227000000006</v>
      </c>
      <c r="BG12" s="12">
        <v>1340.3991099999998</v>
      </c>
      <c r="BH12" s="12">
        <v>58.105270000000004</v>
      </c>
      <c r="BI12" s="12">
        <v>940.19936000000007</v>
      </c>
      <c r="BJ12" s="12">
        <v>2795.6298500000003</v>
      </c>
      <c r="BK12" s="12">
        <v>3692.3817600000016</v>
      </c>
      <c r="BL12" s="12">
        <v>13150.312349999978</v>
      </c>
      <c r="BM12" s="12">
        <v>20696.394750000043</v>
      </c>
      <c r="BN12" s="12">
        <v>6000.6067600000006</v>
      </c>
      <c r="BO12" s="12">
        <v>1762.0192100000002</v>
      </c>
      <c r="BP12" s="12">
        <v>488.54594999999989</v>
      </c>
      <c r="BQ12" s="12">
        <v>54.554349999999999</v>
      </c>
      <c r="BR12" s="12">
        <v>33.202940000000005</v>
      </c>
      <c r="BS12" s="12">
        <v>4167.1942499999977</v>
      </c>
      <c r="BT12" s="12">
        <v>6194.0816099999984</v>
      </c>
      <c r="BU12" s="12">
        <v>10250.068220000003</v>
      </c>
      <c r="BV12" s="12">
        <v>378452.09525000013</v>
      </c>
      <c r="BW12" s="12">
        <v>44892.123020000006</v>
      </c>
      <c r="BX12" s="12">
        <v>13292.739819999992</v>
      </c>
      <c r="BY12" s="12">
        <v>16649.751180000003</v>
      </c>
      <c r="BZ12" s="12">
        <v>27.32535</v>
      </c>
      <c r="CA12" s="12">
        <v>29222.434689999995</v>
      </c>
      <c r="CB12" s="12">
        <v>530.72919999999999</v>
      </c>
      <c r="CC12" s="12">
        <v>47.506970000000003</v>
      </c>
      <c r="CD12" s="12">
        <v>10.522260000000001</v>
      </c>
      <c r="CE12" s="12">
        <v>86.873960000000011</v>
      </c>
      <c r="CF12" s="12">
        <v>5529.052990000002</v>
      </c>
      <c r="CG12" s="12">
        <v>2340.0269700000003</v>
      </c>
      <c r="CH12" s="12">
        <v>35965.497760000013</v>
      </c>
      <c r="CI12" s="12">
        <v>56209.661880000021</v>
      </c>
      <c r="CJ12" s="12">
        <v>200.50294</v>
      </c>
      <c r="CK12" s="12">
        <v>24834.521649999991</v>
      </c>
      <c r="CL12" s="12">
        <v>1618.6010200000001</v>
      </c>
      <c r="CM12" s="12">
        <v>181.90585000000002</v>
      </c>
      <c r="CN12" s="12">
        <v>7856.2382900000002</v>
      </c>
      <c r="CO12" s="12">
        <v>8.8707700000000003</v>
      </c>
      <c r="CP12" s="12">
        <v>0.38925999999999999</v>
      </c>
      <c r="CQ12" s="12">
        <v>2170.87554</v>
      </c>
      <c r="CR12" s="12">
        <v>9373.3802999999989</v>
      </c>
      <c r="CS12" s="12">
        <v>1674.84079</v>
      </c>
      <c r="CT12" s="12">
        <v>11062.019060000013</v>
      </c>
      <c r="CU12" s="12">
        <v>221.02500000000001</v>
      </c>
      <c r="CV12" s="12">
        <v>671.49301000000003</v>
      </c>
      <c r="CW12" s="13">
        <v>2644953.5028400002</v>
      </c>
      <c r="CX12" s="13">
        <v>2644953.5028400002</v>
      </c>
    </row>
    <row r="13" spans="1:102">
      <c r="A13" s="7">
        <v>2020</v>
      </c>
      <c r="B13" s="7">
        <f t="shared" ca="1" si="0"/>
        <v>4</v>
      </c>
      <c r="C13" s="8">
        <v>44136</v>
      </c>
      <c r="D13" s="10">
        <v>11434.97558</v>
      </c>
      <c r="E13" s="10">
        <v>12689.546690000005</v>
      </c>
      <c r="F13" s="10">
        <v>17127.982650000002</v>
      </c>
      <c r="G13" s="10">
        <v>2367.8987000000006</v>
      </c>
      <c r="H13" s="10">
        <v>3059.5520800000004</v>
      </c>
      <c r="I13" s="10">
        <v>125965.22390000003</v>
      </c>
      <c r="J13" s="10">
        <v>2300.9295099999999</v>
      </c>
      <c r="K13" s="10">
        <v>105597.30788000007</v>
      </c>
      <c r="L13" s="10">
        <v>227635.81378000003</v>
      </c>
      <c r="M13" s="10">
        <v>103.29747999999999</v>
      </c>
      <c r="N13" s="10">
        <v>6559.8745299999982</v>
      </c>
      <c r="O13" s="10">
        <v>2711.4873200000011</v>
      </c>
      <c r="P13" s="10">
        <v>210.76136</v>
      </c>
      <c r="Q13" s="10">
        <v>45.526540000000004</v>
      </c>
      <c r="R13" s="10">
        <v>42342.795910000001</v>
      </c>
      <c r="S13" s="10">
        <v>2332.21967</v>
      </c>
      <c r="T13" s="10">
        <v>46964.819090000026</v>
      </c>
      <c r="U13" s="10">
        <v>9476.8658699999996</v>
      </c>
      <c r="V13" s="10">
        <v>12698.755580000003</v>
      </c>
      <c r="W13" s="10">
        <v>8547.4816600000031</v>
      </c>
      <c r="X13" s="10">
        <v>29579.604140000003</v>
      </c>
      <c r="Y13" s="10">
        <v>4036.2958300000018</v>
      </c>
      <c r="Z13" s="10">
        <v>2414.5016700000001</v>
      </c>
      <c r="AA13" s="10">
        <v>2494.8858999999993</v>
      </c>
      <c r="AB13" s="10">
        <v>1379.3152100000002</v>
      </c>
      <c r="AC13" s="10">
        <v>415.04937000000001</v>
      </c>
      <c r="AD13" s="10">
        <v>872364.36107000022</v>
      </c>
      <c r="AE13" s="10">
        <v>8695.9552800000019</v>
      </c>
      <c r="AF13" s="10">
        <v>8844.3591999999953</v>
      </c>
      <c r="AG13" s="10">
        <v>27072.153260000003</v>
      </c>
      <c r="AH13" s="10">
        <v>3521.1181700000002</v>
      </c>
      <c r="AI13" s="10">
        <v>7749.6484599999949</v>
      </c>
      <c r="AJ13" s="10">
        <v>40168.269830000027</v>
      </c>
      <c r="AK13" s="10">
        <v>13522.69558999999</v>
      </c>
      <c r="AL13" s="10">
        <v>4593.1317899999995</v>
      </c>
      <c r="AM13" s="10">
        <v>1.17527</v>
      </c>
      <c r="AN13" s="10">
        <v>0.41946</v>
      </c>
      <c r="AO13" s="10">
        <v>32413.161849999997</v>
      </c>
      <c r="AP13" s="10">
        <v>114105.92016999992</v>
      </c>
      <c r="AQ13" s="10">
        <v>7509.7284799999998</v>
      </c>
      <c r="AR13" s="10">
        <v>3140.4752800000001</v>
      </c>
      <c r="AS13" s="10">
        <v>3890.0713199999959</v>
      </c>
      <c r="AT13" s="10">
        <v>811.48058000000003</v>
      </c>
      <c r="AU13" s="10">
        <v>3895.8459199999998</v>
      </c>
      <c r="AV13" s="10">
        <v>4.5244300000000006</v>
      </c>
      <c r="AW13" s="10">
        <v>54.956679999999999</v>
      </c>
      <c r="AX13" s="10">
        <v>154.62726000000001</v>
      </c>
      <c r="AY13" s="10">
        <v>21046.030050000005</v>
      </c>
      <c r="AZ13" s="10">
        <v>2474.8160400000002</v>
      </c>
      <c r="BA13" s="10">
        <v>0</v>
      </c>
      <c r="BB13" s="10">
        <v>0.308</v>
      </c>
      <c r="BC13" s="10">
        <v>1054.17813</v>
      </c>
      <c r="BD13" s="10">
        <v>133.39842000000002</v>
      </c>
      <c r="BE13" s="10">
        <v>4999.354809999998</v>
      </c>
      <c r="BF13" s="10">
        <v>709.23643999999979</v>
      </c>
      <c r="BG13" s="10">
        <v>1345.9202199999997</v>
      </c>
      <c r="BH13" s="10">
        <v>109.98537</v>
      </c>
      <c r="BI13" s="10">
        <v>1130.7436699999994</v>
      </c>
      <c r="BJ13" s="10">
        <v>2324.3150299999998</v>
      </c>
      <c r="BK13" s="10">
        <v>5528.719540000001</v>
      </c>
      <c r="BL13" s="10">
        <v>15238.303749999992</v>
      </c>
      <c r="BM13" s="10">
        <v>23935.550959999993</v>
      </c>
      <c r="BN13" s="10">
        <v>7597.9978599999995</v>
      </c>
      <c r="BO13" s="10">
        <v>2053.5054199999995</v>
      </c>
      <c r="BP13" s="10">
        <v>518.17181999999991</v>
      </c>
      <c r="BQ13" s="10">
        <v>64.280210000000011</v>
      </c>
      <c r="BR13" s="10">
        <v>5.1463299999999998</v>
      </c>
      <c r="BS13" s="10">
        <v>4313.4942000000019</v>
      </c>
      <c r="BT13" s="10">
        <v>5862.8343499999964</v>
      </c>
      <c r="BU13" s="10">
        <v>12887.150839999998</v>
      </c>
      <c r="BV13" s="10">
        <v>298377.67747</v>
      </c>
      <c r="BW13" s="10">
        <v>46651.960370000001</v>
      </c>
      <c r="BX13" s="10">
        <v>12819.122179999997</v>
      </c>
      <c r="BY13" s="10">
        <v>12943.418229999999</v>
      </c>
      <c r="BZ13" s="10">
        <v>8.3997199999999985</v>
      </c>
      <c r="CA13" s="10">
        <v>34693.72201000002</v>
      </c>
      <c r="CB13" s="10">
        <v>407.93503000000004</v>
      </c>
      <c r="CC13" s="10">
        <v>28.115010000000002</v>
      </c>
      <c r="CD13" s="10">
        <v>10.48685</v>
      </c>
      <c r="CE13" s="10">
        <v>104.71741</v>
      </c>
      <c r="CF13" s="10">
        <v>5509.7053499999984</v>
      </c>
      <c r="CG13" s="10">
        <v>3249.9362900000019</v>
      </c>
      <c r="CH13" s="10">
        <v>33628.241179999968</v>
      </c>
      <c r="CI13" s="10">
        <v>54030.605019999959</v>
      </c>
      <c r="CJ13" s="10">
        <v>11.3225</v>
      </c>
      <c r="CK13" s="10">
        <v>39441.843009999997</v>
      </c>
      <c r="CL13" s="10">
        <v>2226.8522400000002</v>
      </c>
      <c r="CM13" s="10">
        <v>282.71055000000001</v>
      </c>
      <c r="CN13" s="10">
        <v>7848.9928900000004</v>
      </c>
      <c r="CO13" s="10">
        <v>93.91285000000002</v>
      </c>
      <c r="CP13" s="10">
        <v>221.89604</v>
      </c>
      <c r="CQ13" s="10">
        <v>4.9361499999999996</v>
      </c>
      <c r="CR13" s="10">
        <v>10280.907589999999</v>
      </c>
      <c r="CS13" s="10">
        <v>1774.4078900000004</v>
      </c>
      <c r="CT13" s="10">
        <v>11161.148229999997</v>
      </c>
      <c r="CU13" s="10">
        <v>17.20748</v>
      </c>
      <c r="CV13" s="10">
        <v>1201.40678</v>
      </c>
      <c r="CW13" s="11">
        <v>2523371.8750299984</v>
      </c>
      <c r="CX13" s="11">
        <v>2523371.8750299984</v>
      </c>
    </row>
    <row r="14" spans="1:102">
      <c r="A14" s="7">
        <v>2020</v>
      </c>
      <c r="B14" s="7">
        <f t="shared" ca="1" si="0"/>
        <v>4</v>
      </c>
      <c r="C14" s="9">
        <v>44166</v>
      </c>
      <c r="D14" s="12">
        <v>18731.89344</v>
      </c>
      <c r="E14" s="12">
        <v>18498.074050000003</v>
      </c>
      <c r="F14" s="12">
        <v>8689.101819999998</v>
      </c>
      <c r="G14" s="12">
        <v>3092.9563300000009</v>
      </c>
      <c r="H14" s="12">
        <v>2849.0581299999999</v>
      </c>
      <c r="I14" s="12">
        <v>106377.54957999992</v>
      </c>
      <c r="J14" s="12">
        <v>2241.9835200000002</v>
      </c>
      <c r="K14" s="12">
        <v>172723.44107000009</v>
      </c>
      <c r="L14" s="12">
        <v>316675.69823999971</v>
      </c>
      <c r="M14" s="12">
        <v>94.448460000000026</v>
      </c>
      <c r="N14" s="12">
        <v>3793.1527900000001</v>
      </c>
      <c r="O14" s="12">
        <v>3309.4849299999996</v>
      </c>
      <c r="P14" s="12">
        <v>1148.4113499999999</v>
      </c>
      <c r="Q14" s="12">
        <v>95.304869999999994</v>
      </c>
      <c r="R14" s="12">
        <v>35751.706079999996</v>
      </c>
      <c r="S14" s="12">
        <v>3147.1054300000001</v>
      </c>
      <c r="T14" s="12">
        <v>49451.685989999984</v>
      </c>
      <c r="U14" s="12">
        <v>9597.2711199999922</v>
      </c>
      <c r="V14" s="12">
        <v>13657.974809999996</v>
      </c>
      <c r="W14" s="12">
        <v>8113.9470399999991</v>
      </c>
      <c r="X14" s="12">
        <v>37966.196360000016</v>
      </c>
      <c r="Y14" s="12">
        <v>4735.4570900000008</v>
      </c>
      <c r="Z14" s="12">
        <v>3161.1474900000007</v>
      </c>
      <c r="AA14" s="12">
        <v>2850.4502000000002</v>
      </c>
      <c r="AB14" s="12">
        <v>1855.00558</v>
      </c>
      <c r="AC14" s="12">
        <v>6296.0060300000005</v>
      </c>
      <c r="AD14" s="12">
        <v>1092089.3564700005</v>
      </c>
      <c r="AE14" s="12">
        <v>8599.1425600000039</v>
      </c>
      <c r="AF14" s="12">
        <v>10801.97848</v>
      </c>
      <c r="AG14" s="12">
        <v>32438.03850999998</v>
      </c>
      <c r="AH14" s="12">
        <v>5857.6289599999991</v>
      </c>
      <c r="AI14" s="12">
        <v>8454.7188999999998</v>
      </c>
      <c r="AJ14" s="12">
        <v>40785.753929999963</v>
      </c>
      <c r="AK14" s="12">
        <v>14279.076419999987</v>
      </c>
      <c r="AL14" s="12">
        <v>3861.8300600000002</v>
      </c>
      <c r="AM14" s="12">
        <v>0</v>
      </c>
      <c r="AN14" s="12">
        <v>22.964839999999999</v>
      </c>
      <c r="AO14" s="12">
        <v>45485.198550000001</v>
      </c>
      <c r="AP14" s="12">
        <v>147538.74155000004</v>
      </c>
      <c r="AQ14" s="12">
        <v>10170.412549999997</v>
      </c>
      <c r="AR14" s="12">
        <v>3516.4679499999993</v>
      </c>
      <c r="AS14" s="12">
        <v>4899.0342900000014</v>
      </c>
      <c r="AT14" s="12">
        <v>763.09530000000007</v>
      </c>
      <c r="AU14" s="12">
        <v>4618.7441100000005</v>
      </c>
      <c r="AV14" s="12">
        <v>3.6882400000000004</v>
      </c>
      <c r="AW14" s="12">
        <v>75.417640000000006</v>
      </c>
      <c r="AX14" s="12">
        <v>191.77425999999997</v>
      </c>
      <c r="AY14" s="12">
        <v>25227.387190000009</v>
      </c>
      <c r="AZ14" s="12">
        <v>2467.3388900000009</v>
      </c>
      <c r="BA14" s="12">
        <v>0</v>
      </c>
      <c r="BB14" s="12">
        <v>0</v>
      </c>
      <c r="BC14" s="12">
        <v>970.40369999999996</v>
      </c>
      <c r="BD14" s="12">
        <v>79.49654000000001</v>
      </c>
      <c r="BE14" s="12">
        <v>3908.7511300000006</v>
      </c>
      <c r="BF14" s="12">
        <v>593.48645999999997</v>
      </c>
      <c r="BG14" s="12">
        <v>1495.0019100000002</v>
      </c>
      <c r="BH14" s="12">
        <v>36.788059999999994</v>
      </c>
      <c r="BI14" s="12">
        <v>1394.0851700000001</v>
      </c>
      <c r="BJ14" s="12">
        <v>3093.7801400000008</v>
      </c>
      <c r="BK14" s="12">
        <v>3201.6956500000006</v>
      </c>
      <c r="BL14" s="12">
        <v>16164.950020000018</v>
      </c>
      <c r="BM14" s="12">
        <v>24209.966420000022</v>
      </c>
      <c r="BN14" s="12">
        <v>7817.6666400000013</v>
      </c>
      <c r="BO14" s="12">
        <v>2180.1916799999999</v>
      </c>
      <c r="BP14" s="12">
        <v>921.06092999999987</v>
      </c>
      <c r="BQ14" s="12">
        <v>19.039009999999998</v>
      </c>
      <c r="BR14" s="12">
        <v>12.02943</v>
      </c>
      <c r="BS14" s="12">
        <v>4594.4341799999993</v>
      </c>
      <c r="BT14" s="12">
        <v>9228.0255600000055</v>
      </c>
      <c r="BU14" s="12">
        <v>15446.75714</v>
      </c>
      <c r="BV14" s="12">
        <v>331767.38804000005</v>
      </c>
      <c r="BW14" s="12">
        <v>55403.826840000002</v>
      </c>
      <c r="BX14" s="12">
        <v>13288.181819999996</v>
      </c>
      <c r="BY14" s="12">
        <v>18563.39702</v>
      </c>
      <c r="BZ14" s="12">
        <v>0.87861</v>
      </c>
      <c r="CA14" s="12">
        <v>30643.848559999988</v>
      </c>
      <c r="CB14" s="12">
        <v>426.50915999999995</v>
      </c>
      <c r="CC14" s="12">
        <v>10.08816</v>
      </c>
      <c r="CD14" s="12">
        <v>2.1638799999999998</v>
      </c>
      <c r="CE14" s="12">
        <v>156.07275000000001</v>
      </c>
      <c r="CF14" s="12">
        <v>6294.7761800000007</v>
      </c>
      <c r="CG14" s="12">
        <v>3143.7349399999998</v>
      </c>
      <c r="CH14" s="12">
        <v>49676.060999999972</v>
      </c>
      <c r="CI14" s="12">
        <v>53109.598070000007</v>
      </c>
      <c r="CJ14" s="12">
        <v>107.41517</v>
      </c>
      <c r="CK14" s="12">
        <v>38938.324410000001</v>
      </c>
      <c r="CL14" s="12">
        <v>697.54595000000018</v>
      </c>
      <c r="CM14" s="12">
        <v>1043.8098399999999</v>
      </c>
      <c r="CN14" s="12">
        <v>7324.9102799999946</v>
      </c>
      <c r="CO14" s="12">
        <v>109.57466000000001</v>
      </c>
      <c r="CP14" s="12">
        <v>12.14242</v>
      </c>
      <c r="CQ14" s="12">
        <v>771.04102999999998</v>
      </c>
      <c r="CR14" s="12">
        <v>10446.705139999991</v>
      </c>
      <c r="CS14" s="12">
        <v>1934.92875</v>
      </c>
      <c r="CT14" s="12">
        <v>11320.846489999984</v>
      </c>
      <c r="CU14" s="12">
        <v>388.33199999999999</v>
      </c>
      <c r="CV14" s="12">
        <v>835.17412999999999</v>
      </c>
      <c r="CW14" s="13">
        <v>3028837.1865199995</v>
      </c>
      <c r="CX14" s="13">
        <v>3028837.1865199995</v>
      </c>
    </row>
    <row r="15" spans="1:102">
      <c r="A15" s="7">
        <f t="shared" ref="A15:A46" ca="1" si="1">YEAR($B15)</f>
        <v>2021</v>
      </c>
      <c r="B15" s="7">
        <f t="shared" ca="1" si="0"/>
        <v>1</v>
      </c>
      <c r="C15" s="8">
        <v>44197</v>
      </c>
      <c r="D15" s="10">
        <v>13911.22481</v>
      </c>
      <c r="E15" s="10">
        <v>12741.042609999999</v>
      </c>
      <c r="F15" s="10">
        <v>8186.0869599999996</v>
      </c>
      <c r="G15" s="10">
        <v>1891.9865299999997</v>
      </c>
      <c r="H15" s="10">
        <v>3323.4997999999996</v>
      </c>
      <c r="I15" s="10">
        <v>130252.40092999997</v>
      </c>
      <c r="J15" s="10">
        <v>2121.0343099999991</v>
      </c>
      <c r="K15" s="10">
        <v>104670.60201000008</v>
      </c>
      <c r="L15" s="10">
        <v>255455.18533999997</v>
      </c>
      <c r="M15" s="10">
        <v>8.6159999999999997</v>
      </c>
      <c r="N15" s="10">
        <v>5722.5441300000002</v>
      </c>
      <c r="O15" s="10">
        <v>3421.7548800000004</v>
      </c>
      <c r="P15" s="10">
        <v>178.35034999999999</v>
      </c>
      <c r="Q15" s="10">
        <v>24.119409999999998</v>
      </c>
      <c r="R15" s="10">
        <v>25449.877329999988</v>
      </c>
      <c r="S15" s="10">
        <v>1466.8528199999998</v>
      </c>
      <c r="T15" s="10">
        <v>32402.1319</v>
      </c>
      <c r="U15" s="10">
        <v>7130.2706899999966</v>
      </c>
      <c r="V15" s="10">
        <v>8207.6303800000005</v>
      </c>
      <c r="W15" s="10">
        <v>7073.8667000000014</v>
      </c>
      <c r="X15" s="10">
        <v>25894.913930000006</v>
      </c>
      <c r="Y15" s="10">
        <v>2729.6786799999995</v>
      </c>
      <c r="Z15" s="10">
        <v>2222.30636</v>
      </c>
      <c r="AA15" s="10">
        <v>1065.14177</v>
      </c>
      <c r="AB15" s="10">
        <v>1346.7871099999998</v>
      </c>
      <c r="AC15" s="10">
        <v>1216.8289599999998</v>
      </c>
      <c r="AD15" s="10">
        <v>1182946.7322400005</v>
      </c>
      <c r="AE15" s="10">
        <v>7957.9687299999996</v>
      </c>
      <c r="AF15" s="10">
        <v>7984.6210300000039</v>
      </c>
      <c r="AG15" s="10">
        <v>22737.487480000007</v>
      </c>
      <c r="AH15" s="10">
        <v>3456.1987399999998</v>
      </c>
      <c r="AI15" s="10">
        <v>5478.1773600000024</v>
      </c>
      <c r="AJ15" s="10">
        <v>28107.16137999998</v>
      </c>
      <c r="AK15" s="10">
        <v>11349.955040000003</v>
      </c>
      <c r="AL15" s="10">
        <v>3423.8799299999987</v>
      </c>
      <c r="AM15" s="10">
        <v>0</v>
      </c>
      <c r="AN15" s="10">
        <v>3.3480500000000002</v>
      </c>
      <c r="AO15" s="10">
        <v>42420.966800000038</v>
      </c>
      <c r="AP15" s="10">
        <v>130770.46255999994</v>
      </c>
      <c r="AQ15" s="10">
        <v>6729.9684199999956</v>
      </c>
      <c r="AR15" s="10">
        <v>3127.2571899999994</v>
      </c>
      <c r="AS15" s="10">
        <v>2325.3111399999998</v>
      </c>
      <c r="AT15" s="10">
        <v>214.5686</v>
      </c>
      <c r="AU15" s="10">
        <v>4474.3094099999989</v>
      </c>
      <c r="AV15" s="10">
        <v>0</v>
      </c>
      <c r="AW15" s="10">
        <v>8.89161</v>
      </c>
      <c r="AX15" s="10">
        <v>13.24423</v>
      </c>
      <c r="AY15" s="10">
        <v>19722.687270000017</v>
      </c>
      <c r="AZ15" s="10">
        <v>1630.5683499999998</v>
      </c>
      <c r="BA15" s="10">
        <v>0</v>
      </c>
      <c r="BB15" s="10">
        <v>0</v>
      </c>
      <c r="BC15" s="10">
        <v>1005.0161400000002</v>
      </c>
      <c r="BD15" s="10">
        <v>55.165419999999997</v>
      </c>
      <c r="BE15" s="10">
        <v>3419.7831700000029</v>
      </c>
      <c r="BF15" s="10">
        <v>585.19504000000006</v>
      </c>
      <c r="BG15" s="10">
        <v>712.41378000000032</v>
      </c>
      <c r="BH15" s="10">
        <v>59.595440000000004</v>
      </c>
      <c r="BI15" s="10">
        <v>673.07779999999991</v>
      </c>
      <c r="BJ15" s="10">
        <v>2590.6476100000004</v>
      </c>
      <c r="BK15" s="10">
        <v>2464.5573299999996</v>
      </c>
      <c r="BL15" s="10">
        <v>12374.741759999992</v>
      </c>
      <c r="BM15" s="10">
        <v>15548.678500000002</v>
      </c>
      <c r="BN15" s="10">
        <v>7110.0382799999988</v>
      </c>
      <c r="BO15" s="10">
        <v>1158.9799599999997</v>
      </c>
      <c r="BP15" s="10">
        <v>574.49914999999999</v>
      </c>
      <c r="BQ15" s="10">
        <v>6.6747900000000007</v>
      </c>
      <c r="BR15" s="10">
        <v>0</v>
      </c>
      <c r="BS15" s="10">
        <v>3739.8368399999995</v>
      </c>
      <c r="BT15" s="10">
        <v>3626.4940799999986</v>
      </c>
      <c r="BU15" s="10">
        <v>10494.50922</v>
      </c>
      <c r="BV15" s="10">
        <v>191099.61087999991</v>
      </c>
      <c r="BW15" s="10">
        <v>36932.943090000015</v>
      </c>
      <c r="BX15" s="10">
        <v>11468.948600000002</v>
      </c>
      <c r="BY15" s="10">
        <v>20863.127920000003</v>
      </c>
      <c r="BZ15" s="10">
        <v>4.7382299999999997</v>
      </c>
      <c r="CA15" s="10">
        <v>29790.564399999977</v>
      </c>
      <c r="CB15" s="10">
        <v>472.39477999999997</v>
      </c>
      <c r="CC15" s="10">
        <v>33.577710000000003</v>
      </c>
      <c r="CD15" s="10">
        <v>10.648</v>
      </c>
      <c r="CE15" s="10">
        <v>97.042100000000005</v>
      </c>
      <c r="CF15" s="10">
        <v>3853.9803400000014</v>
      </c>
      <c r="CG15" s="10">
        <v>2988.9176799999991</v>
      </c>
      <c r="CH15" s="10">
        <v>28140.862799999963</v>
      </c>
      <c r="CI15" s="10">
        <v>35554.165930000025</v>
      </c>
      <c r="CJ15" s="10">
        <v>7.334719999999999</v>
      </c>
      <c r="CK15" s="10">
        <v>13917.295630000006</v>
      </c>
      <c r="CL15" s="10">
        <v>1108.1800700000001</v>
      </c>
      <c r="CM15" s="10">
        <v>32.634</v>
      </c>
      <c r="CN15" s="10">
        <v>5990.0339400000003</v>
      </c>
      <c r="CO15" s="10">
        <v>114.03802000000002</v>
      </c>
      <c r="CP15" s="10">
        <v>1.794</v>
      </c>
      <c r="CQ15" s="10">
        <v>21.33</v>
      </c>
      <c r="CR15" s="10">
        <v>8147.4060500000023</v>
      </c>
      <c r="CS15" s="10">
        <v>1587.5087500000002</v>
      </c>
      <c r="CT15" s="10">
        <v>8527.2086399999989</v>
      </c>
      <c r="CU15" s="10">
        <v>59.115000000000002</v>
      </c>
      <c r="CV15" s="10">
        <v>912.61658</v>
      </c>
      <c r="CW15" s="11">
        <v>2610936.4224300007</v>
      </c>
      <c r="CX15" s="11">
        <v>2610936.4224300007</v>
      </c>
    </row>
    <row r="16" spans="1:102">
      <c r="A16" s="7">
        <f t="shared" ca="1" si="1"/>
        <v>2021</v>
      </c>
      <c r="B16" s="7">
        <f t="shared" ca="1" si="0"/>
        <v>1</v>
      </c>
      <c r="C16" s="9">
        <v>44228</v>
      </c>
      <c r="D16" s="12">
        <v>15034.396280000001</v>
      </c>
      <c r="E16" s="12">
        <v>20707.191409999996</v>
      </c>
      <c r="F16" s="12">
        <v>10782.3215</v>
      </c>
      <c r="G16" s="12">
        <v>1506.7451999999998</v>
      </c>
      <c r="H16" s="12">
        <v>3992.7001000000005</v>
      </c>
      <c r="I16" s="12">
        <v>154414.60139000011</v>
      </c>
      <c r="J16" s="12">
        <v>1960.67254</v>
      </c>
      <c r="K16" s="12">
        <v>93982.40144999999</v>
      </c>
      <c r="L16" s="12">
        <v>267999.8347699999</v>
      </c>
      <c r="M16" s="12">
        <v>185.02896999999996</v>
      </c>
      <c r="N16" s="12">
        <v>3272.0664100000004</v>
      </c>
      <c r="O16" s="12">
        <v>2362.8002399999996</v>
      </c>
      <c r="P16" s="12">
        <v>271.41842999999994</v>
      </c>
      <c r="Q16" s="12">
        <v>24.711419999999997</v>
      </c>
      <c r="R16" s="12">
        <v>39288.291849999987</v>
      </c>
      <c r="S16" s="12">
        <v>1461.2299800000001</v>
      </c>
      <c r="T16" s="12">
        <v>39991.037390000005</v>
      </c>
      <c r="U16" s="12">
        <v>9210.0935100000024</v>
      </c>
      <c r="V16" s="12">
        <v>13714.950109999994</v>
      </c>
      <c r="W16" s="12">
        <v>9355.546940000002</v>
      </c>
      <c r="X16" s="12">
        <v>36236.339469999992</v>
      </c>
      <c r="Y16" s="12">
        <v>2750.1877000000004</v>
      </c>
      <c r="Z16" s="12">
        <v>3515.5830799999999</v>
      </c>
      <c r="AA16" s="12">
        <v>284.89469000000003</v>
      </c>
      <c r="AB16" s="12">
        <v>1645.2511199999999</v>
      </c>
      <c r="AC16" s="12">
        <v>20083.240659999996</v>
      </c>
      <c r="AD16" s="12">
        <v>1252154.2647299997</v>
      </c>
      <c r="AE16" s="12">
        <v>6539.9313899999988</v>
      </c>
      <c r="AF16" s="12">
        <v>9266.9378100000031</v>
      </c>
      <c r="AG16" s="12">
        <v>32804.08777999998</v>
      </c>
      <c r="AH16" s="12">
        <v>3941.2876000000006</v>
      </c>
      <c r="AI16" s="12">
        <v>8999.9936500000003</v>
      </c>
      <c r="AJ16" s="12">
        <v>37132.384910000044</v>
      </c>
      <c r="AK16" s="12">
        <v>15684.012880000009</v>
      </c>
      <c r="AL16" s="12">
        <v>5521.6506399999971</v>
      </c>
      <c r="AM16" s="12">
        <v>0</v>
      </c>
      <c r="AN16" s="12">
        <v>31.719769999999997</v>
      </c>
      <c r="AO16" s="12">
        <v>29976.551120000029</v>
      </c>
      <c r="AP16" s="12">
        <v>159060.5205800001</v>
      </c>
      <c r="AQ16" s="12">
        <v>7635.1123800000005</v>
      </c>
      <c r="AR16" s="12">
        <v>5152.67839</v>
      </c>
      <c r="AS16" s="12">
        <v>3534.7148799999995</v>
      </c>
      <c r="AT16" s="12">
        <v>437.67698000000001</v>
      </c>
      <c r="AU16" s="12">
        <v>4581.9620999999979</v>
      </c>
      <c r="AV16" s="12">
        <v>10.5825</v>
      </c>
      <c r="AW16" s="12">
        <v>62.044930000000001</v>
      </c>
      <c r="AX16" s="12">
        <v>128.33005</v>
      </c>
      <c r="AY16" s="12">
        <v>18174.762580000002</v>
      </c>
      <c r="AZ16" s="12">
        <v>2417.6869799999999</v>
      </c>
      <c r="BA16" s="12">
        <v>0</v>
      </c>
      <c r="BB16" s="12">
        <v>0</v>
      </c>
      <c r="BC16" s="12">
        <v>1019.2703900000006</v>
      </c>
      <c r="BD16" s="12">
        <v>232.19458999999998</v>
      </c>
      <c r="BE16" s="12">
        <v>4045.439499999999</v>
      </c>
      <c r="BF16" s="12">
        <v>797.46989000000042</v>
      </c>
      <c r="BG16" s="12">
        <v>1234.6012599999997</v>
      </c>
      <c r="BH16" s="12">
        <v>46.872340000000001</v>
      </c>
      <c r="BI16" s="12">
        <v>952.68808999999987</v>
      </c>
      <c r="BJ16" s="12">
        <v>2767.0733300000002</v>
      </c>
      <c r="BK16" s="12">
        <v>3562.2067799999986</v>
      </c>
      <c r="BL16" s="12">
        <v>13411.062900000001</v>
      </c>
      <c r="BM16" s="12">
        <v>19332.570490000006</v>
      </c>
      <c r="BN16" s="12">
        <v>4691.9403599999987</v>
      </c>
      <c r="BO16" s="12">
        <v>2146.7511399999999</v>
      </c>
      <c r="BP16" s="12">
        <v>613.15254999999991</v>
      </c>
      <c r="BQ16" s="12">
        <v>3.0512299999999999</v>
      </c>
      <c r="BR16" s="12">
        <v>3.2054399999999998</v>
      </c>
      <c r="BS16" s="12">
        <v>5035.3127800000002</v>
      </c>
      <c r="BT16" s="12">
        <v>6421.3744399999996</v>
      </c>
      <c r="BU16" s="12">
        <v>12479.736650000012</v>
      </c>
      <c r="BV16" s="12">
        <v>261144.81041999997</v>
      </c>
      <c r="BW16" s="12">
        <v>31513.479199999998</v>
      </c>
      <c r="BX16" s="12">
        <v>13653.654629999999</v>
      </c>
      <c r="BY16" s="12">
        <v>16420.649649999992</v>
      </c>
      <c r="BZ16" s="12">
        <v>1.16262</v>
      </c>
      <c r="CA16" s="12">
        <v>34815.769529999983</v>
      </c>
      <c r="CB16" s="12">
        <v>411.17659000000003</v>
      </c>
      <c r="CC16" s="12">
        <v>34.020489999999995</v>
      </c>
      <c r="CD16" s="12">
        <v>2.6254400000000002</v>
      </c>
      <c r="CE16" s="12">
        <v>63.044969999999999</v>
      </c>
      <c r="CF16" s="12">
        <v>5584.8126700000003</v>
      </c>
      <c r="CG16" s="12">
        <v>2996.0558799999999</v>
      </c>
      <c r="CH16" s="12">
        <v>33554.953099999984</v>
      </c>
      <c r="CI16" s="12">
        <v>43486.227410000029</v>
      </c>
      <c r="CJ16" s="12">
        <v>61.000360000000001</v>
      </c>
      <c r="CK16" s="12">
        <v>20877.373560000015</v>
      </c>
      <c r="CL16" s="12">
        <v>2183.3409799999999</v>
      </c>
      <c r="CM16" s="12">
        <v>124.44095000000002</v>
      </c>
      <c r="CN16" s="12">
        <v>7415.5084499999966</v>
      </c>
      <c r="CO16" s="12">
        <v>135.48239999999998</v>
      </c>
      <c r="CP16" s="12">
        <v>0</v>
      </c>
      <c r="CQ16" s="12">
        <v>9.5000000000000001E-2</v>
      </c>
      <c r="CR16" s="12">
        <v>12416.108429999997</v>
      </c>
      <c r="CS16" s="12">
        <v>2549.5040700000009</v>
      </c>
      <c r="CT16" s="12">
        <v>12099.205690000001</v>
      </c>
      <c r="CU16" s="12">
        <v>611.19025999999997</v>
      </c>
      <c r="CV16" s="12">
        <v>760.01857999999993</v>
      </c>
      <c r="CW16" s="13">
        <v>2938994.1167199989</v>
      </c>
      <c r="CX16" s="13">
        <v>2938994.1167199989</v>
      </c>
    </row>
    <row r="17" spans="1:102">
      <c r="A17" s="7">
        <f t="shared" ca="1" si="1"/>
        <v>2021</v>
      </c>
      <c r="B17" s="7">
        <f t="shared" ca="1" si="0"/>
        <v>1</v>
      </c>
      <c r="C17" s="8">
        <v>44256</v>
      </c>
      <c r="D17" s="10">
        <v>29470.397590000004</v>
      </c>
      <c r="E17" s="10">
        <v>20817.407960000004</v>
      </c>
      <c r="F17" s="10">
        <v>8220.3561299999983</v>
      </c>
      <c r="G17" s="10">
        <v>2808.607849999999</v>
      </c>
      <c r="H17" s="10">
        <v>3754.6105100000009</v>
      </c>
      <c r="I17" s="10">
        <v>204659.82746000006</v>
      </c>
      <c r="J17" s="10">
        <v>2566.0261599999999</v>
      </c>
      <c r="K17" s="10">
        <v>147978.95499000023</v>
      </c>
      <c r="L17" s="10">
        <v>278224.93902999995</v>
      </c>
      <c r="M17" s="10">
        <v>1042.5164500000001</v>
      </c>
      <c r="N17" s="10">
        <v>6402.7726200000016</v>
      </c>
      <c r="O17" s="10">
        <v>4153.2776999999996</v>
      </c>
      <c r="P17" s="10">
        <v>1090.3992599999997</v>
      </c>
      <c r="Q17" s="10">
        <v>65.403210000000001</v>
      </c>
      <c r="R17" s="10">
        <v>72334.22802000001</v>
      </c>
      <c r="S17" s="10">
        <v>941.33656000000008</v>
      </c>
      <c r="T17" s="10">
        <v>54102.918199999978</v>
      </c>
      <c r="U17" s="10">
        <v>10681.5771</v>
      </c>
      <c r="V17" s="10">
        <v>16281.978029999995</v>
      </c>
      <c r="W17" s="10">
        <v>10682.15438</v>
      </c>
      <c r="X17" s="10">
        <v>37894.872960000008</v>
      </c>
      <c r="Y17" s="10">
        <v>3494.4762000000001</v>
      </c>
      <c r="Z17" s="10">
        <v>4065.5427800000007</v>
      </c>
      <c r="AA17" s="10">
        <v>4503.0876000000007</v>
      </c>
      <c r="AB17" s="10">
        <v>1828.4309699999999</v>
      </c>
      <c r="AC17" s="10">
        <v>21116.189959999996</v>
      </c>
      <c r="AD17" s="10">
        <v>1399605.2523200002</v>
      </c>
      <c r="AE17" s="10">
        <v>8192.7656600000028</v>
      </c>
      <c r="AF17" s="10">
        <v>10069.704359999998</v>
      </c>
      <c r="AG17" s="10">
        <v>30552.389159999981</v>
      </c>
      <c r="AH17" s="10">
        <v>6125.8823199999988</v>
      </c>
      <c r="AI17" s="10">
        <v>8029.9868300000026</v>
      </c>
      <c r="AJ17" s="10">
        <v>43708.142749999977</v>
      </c>
      <c r="AK17" s="10">
        <v>16178.032310000006</v>
      </c>
      <c r="AL17" s="10">
        <v>4228.9153499999993</v>
      </c>
      <c r="AM17" s="10">
        <v>0</v>
      </c>
      <c r="AN17" s="10">
        <v>4.2568700000000002</v>
      </c>
      <c r="AO17" s="10">
        <v>42013.550989999982</v>
      </c>
      <c r="AP17" s="10">
        <v>150113.30285000001</v>
      </c>
      <c r="AQ17" s="10">
        <v>8672.0825099999965</v>
      </c>
      <c r="AR17" s="10">
        <v>5097.0414899999996</v>
      </c>
      <c r="AS17" s="10">
        <v>4891.9745899999989</v>
      </c>
      <c r="AT17" s="10">
        <v>504.11503999999996</v>
      </c>
      <c r="AU17" s="10">
        <v>5489.8830800000014</v>
      </c>
      <c r="AV17" s="10">
        <v>1.75295</v>
      </c>
      <c r="AW17" s="10">
        <v>99.733249999999998</v>
      </c>
      <c r="AX17" s="10">
        <v>42.27037</v>
      </c>
      <c r="AY17" s="10">
        <v>24292.125309999989</v>
      </c>
      <c r="AZ17" s="10">
        <v>2376.9919799999993</v>
      </c>
      <c r="BA17" s="10">
        <v>0</v>
      </c>
      <c r="BB17" s="10">
        <v>0.69335999999999998</v>
      </c>
      <c r="BC17" s="10">
        <v>1333.9815100000001</v>
      </c>
      <c r="BD17" s="10">
        <v>295.97396000000009</v>
      </c>
      <c r="BE17" s="10">
        <v>5026.3457600000011</v>
      </c>
      <c r="BF17" s="10">
        <v>713.44617000000017</v>
      </c>
      <c r="BG17" s="10">
        <v>1385.2707399999999</v>
      </c>
      <c r="BH17" s="10">
        <v>212.78295</v>
      </c>
      <c r="BI17" s="10">
        <v>1602.35058</v>
      </c>
      <c r="BJ17" s="10">
        <v>3083.11607</v>
      </c>
      <c r="BK17" s="10">
        <v>3840.4882099999986</v>
      </c>
      <c r="BL17" s="10">
        <v>16666.65816000001</v>
      </c>
      <c r="BM17" s="10">
        <v>24651.797820000007</v>
      </c>
      <c r="BN17" s="10">
        <v>10176.417690000002</v>
      </c>
      <c r="BO17" s="10">
        <v>2434.1722999999993</v>
      </c>
      <c r="BP17" s="10">
        <v>624.02883999999983</v>
      </c>
      <c r="BQ17" s="10">
        <v>46.394150000000003</v>
      </c>
      <c r="BR17" s="10">
        <v>7.06</v>
      </c>
      <c r="BS17" s="10">
        <v>3998.4424399999989</v>
      </c>
      <c r="BT17" s="10">
        <v>7928.0547699999979</v>
      </c>
      <c r="BU17" s="10">
        <v>13513.367830000007</v>
      </c>
      <c r="BV17" s="10">
        <v>279536.99756999989</v>
      </c>
      <c r="BW17" s="10">
        <v>35166.377359999991</v>
      </c>
      <c r="BX17" s="10">
        <v>18627.106410000004</v>
      </c>
      <c r="BY17" s="10">
        <v>23951.820439999996</v>
      </c>
      <c r="BZ17" s="10">
        <v>0.87338000000000005</v>
      </c>
      <c r="CA17" s="10">
        <v>41515.610610000025</v>
      </c>
      <c r="CB17" s="10">
        <v>780.21748000000002</v>
      </c>
      <c r="CC17" s="10">
        <v>24.579889999999999</v>
      </c>
      <c r="CD17" s="10">
        <v>10.401219999999999</v>
      </c>
      <c r="CE17" s="10">
        <v>92.043350000000018</v>
      </c>
      <c r="CF17" s="10">
        <v>6980.1346400000057</v>
      </c>
      <c r="CG17" s="10">
        <v>4189.1880100000008</v>
      </c>
      <c r="CH17" s="10">
        <v>37012.957829999992</v>
      </c>
      <c r="CI17" s="10">
        <v>54884.442009999948</v>
      </c>
      <c r="CJ17" s="10">
        <v>68.768199999999993</v>
      </c>
      <c r="CK17" s="10">
        <v>28651.729179999958</v>
      </c>
      <c r="CL17" s="10">
        <v>2097.5215200000002</v>
      </c>
      <c r="CM17" s="10">
        <v>813.7623000000001</v>
      </c>
      <c r="CN17" s="10">
        <v>7849.8229699999947</v>
      </c>
      <c r="CO17" s="10">
        <v>214.91654999999997</v>
      </c>
      <c r="CP17" s="10">
        <v>1.4352</v>
      </c>
      <c r="CQ17" s="10">
        <v>1204.1963199999998</v>
      </c>
      <c r="CR17" s="10">
        <v>9740.1724399999985</v>
      </c>
      <c r="CS17" s="10">
        <v>2907.6159200000006</v>
      </c>
      <c r="CT17" s="10">
        <v>9026.5338500000071</v>
      </c>
      <c r="CU17" s="10">
        <v>521.27700000000004</v>
      </c>
      <c r="CV17" s="10">
        <v>670.2894</v>
      </c>
      <c r="CW17" s="11">
        <v>3383554.0763799995</v>
      </c>
      <c r="CX17" s="11">
        <v>3383554.0763799995</v>
      </c>
    </row>
    <row r="18" spans="1:102">
      <c r="A18" s="7">
        <f t="shared" ca="1" si="1"/>
        <v>2021</v>
      </c>
      <c r="B18" s="7">
        <f t="shared" ca="1" si="0"/>
        <v>2</v>
      </c>
      <c r="C18" s="9">
        <v>44287</v>
      </c>
      <c r="D18" s="12">
        <v>14569.425049999998</v>
      </c>
      <c r="E18" s="12">
        <v>17686.101819999996</v>
      </c>
      <c r="F18" s="12">
        <v>13186.094640000001</v>
      </c>
      <c r="G18" s="12">
        <v>3642.8197399999995</v>
      </c>
      <c r="H18" s="12">
        <v>3659.8690999999999</v>
      </c>
      <c r="I18" s="12">
        <v>147307.17642000015</v>
      </c>
      <c r="J18" s="12">
        <v>2763.3516399999999</v>
      </c>
      <c r="K18" s="12">
        <v>129717.14110999981</v>
      </c>
      <c r="L18" s="12">
        <v>243363.42790000007</v>
      </c>
      <c r="M18" s="12">
        <v>1190.8727799999997</v>
      </c>
      <c r="N18" s="12">
        <v>5872.5743700000003</v>
      </c>
      <c r="O18" s="12">
        <v>3535.9928599999998</v>
      </c>
      <c r="P18" s="12">
        <v>499.50415999999996</v>
      </c>
      <c r="Q18" s="12">
        <v>113.19439</v>
      </c>
      <c r="R18" s="12">
        <v>67089.739890000026</v>
      </c>
      <c r="S18" s="12">
        <v>2281.9680600000002</v>
      </c>
      <c r="T18" s="12">
        <v>40652.56794000003</v>
      </c>
      <c r="U18" s="12">
        <v>10360.072640000002</v>
      </c>
      <c r="V18" s="12">
        <v>11475.496810000006</v>
      </c>
      <c r="W18" s="12">
        <v>10061.091460000003</v>
      </c>
      <c r="X18" s="12">
        <v>36101.172399999996</v>
      </c>
      <c r="Y18" s="12">
        <v>2825.6409000000012</v>
      </c>
      <c r="Z18" s="12">
        <v>3134.8555299999998</v>
      </c>
      <c r="AA18" s="12">
        <v>685.6413</v>
      </c>
      <c r="AB18" s="12">
        <v>1939.6380200000001</v>
      </c>
      <c r="AC18" s="12">
        <v>3461.26278</v>
      </c>
      <c r="AD18" s="12">
        <v>1203308.5936500004</v>
      </c>
      <c r="AE18" s="12">
        <v>6631.0256899999995</v>
      </c>
      <c r="AF18" s="12">
        <v>9984.7997099999902</v>
      </c>
      <c r="AG18" s="12">
        <v>31165.810859999998</v>
      </c>
      <c r="AH18" s="12">
        <v>3667.6507700000002</v>
      </c>
      <c r="AI18" s="12">
        <v>10156.702739999993</v>
      </c>
      <c r="AJ18" s="12">
        <v>38888.289320000003</v>
      </c>
      <c r="AK18" s="12">
        <v>15541.539900000007</v>
      </c>
      <c r="AL18" s="12">
        <v>4290.460140000001</v>
      </c>
      <c r="AM18" s="12">
        <v>64.208269999999999</v>
      </c>
      <c r="AN18" s="12">
        <v>43.278119999999994</v>
      </c>
      <c r="AO18" s="12">
        <v>30786.855700000018</v>
      </c>
      <c r="AP18" s="12">
        <v>167456.38154000038</v>
      </c>
      <c r="AQ18" s="12">
        <v>8821.5382699999991</v>
      </c>
      <c r="AR18" s="12">
        <v>6357.5695700000015</v>
      </c>
      <c r="AS18" s="12">
        <v>3734.3199200000013</v>
      </c>
      <c r="AT18" s="12">
        <v>704.20885999999996</v>
      </c>
      <c r="AU18" s="12">
        <v>5946.0305200000021</v>
      </c>
      <c r="AV18" s="12">
        <v>8.093</v>
      </c>
      <c r="AW18" s="12">
        <v>145.54578000000001</v>
      </c>
      <c r="AX18" s="12">
        <v>132.16722000000001</v>
      </c>
      <c r="AY18" s="12">
        <v>24023.730829999982</v>
      </c>
      <c r="AZ18" s="12">
        <v>3465.2663999999986</v>
      </c>
      <c r="BA18" s="12">
        <v>2.7734399999999999</v>
      </c>
      <c r="BB18" s="12">
        <v>0</v>
      </c>
      <c r="BC18" s="12">
        <v>1072.5362000000002</v>
      </c>
      <c r="BD18" s="12">
        <v>248.19483999999997</v>
      </c>
      <c r="BE18" s="12">
        <v>4775.3604199999982</v>
      </c>
      <c r="BF18" s="12">
        <v>840.26436999999953</v>
      </c>
      <c r="BG18" s="12">
        <v>1020.5520000000001</v>
      </c>
      <c r="BH18" s="12">
        <v>30.484899999999996</v>
      </c>
      <c r="BI18" s="12">
        <v>1067.2748200000001</v>
      </c>
      <c r="BJ18" s="12">
        <v>2988.7859199999994</v>
      </c>
      <c r="BK18" s="12">
        <v>4050.5632400000004</v>
      </c>
      <c r="BL18" s="12">
        <v>13373.781380000004</v>
      </c>
      <c r="BM18" s="12">
        <v>22157.772439999986</v>
      </c>
      <c r="BN18" s="12">
        <v>8508.6725600000027</v>
      </c>
      <c r="BO18" s="12">
        <v>1920.6573699999999</v>
      </c>
      <c r="BP18" s="12">
        <v>548.91255000000001</v>
      </c>
      <c r="BQ18" s="12">
        <v>18.995730000000002</v>
      </c>
      <c r="BR18" s="12">
        <v>1.325</v>
      </c>
      <c r="BS18" s="12">
        <v>4504.0156600000018</v>
      </c>
      <c r="BT18" s="12">
        <v>6721.3714499999996</v>
      </c>
      <c r="BU18" s="12">
        <v>13083.821249999994</v>
      </c>
      <c r="BV18" s="12">
        <v>272004.21674999996</v>
      </c>
      <c r="BW18" s="12">
        <v>34528.075239999976</v>
      </c>
      <c r="BX18" s="12">
        <v>18096.523789999988</v>
      </c>
      <c r="BY18" s="12">
        <v>18520.454949999996</v>
      </c>
      <c r="BZ18" s="12">
        <v>5.1310000000000001E-2</v>
      </c>
      <c r="CA18" s="12">
        <v>34011.196890000007</v>
      </c>
      <c r="CB18" s="12">
        <v>898.10209999999995</v>
      </c>
      <c r="CC18" s="12">
        <v>49.578000000000003</v>
      </c>
      <c r="CD18" s="12">
        <v>0</v>
      </c>
      <c r="CE18" s="12">
        <v>125.46467999999999</v>
      </c>
      <c r="CF18" s="12">
        <v>5819.5239999999967</v>
      </c>
      <c r="CG18" s="12">
        <v>3976.6231500000013</v>
      </c>
      <c r="CH18" s="12">
        <v>34811.06164999996</v>
      </c>
      <c r="CI18" s="12">
        <v>52482.695570000003</v>
      </c>
      <c r="CJ18" s="12">
        <v>49.275589999999994</v>
      </c>
      <c r="CK18" s="12">
        <v>25739.418169999968</v>
      </c>
      <c r="CL18" s="12">
        <v>1952.2247000000002</v>
      </c>
      <c r="CM18" s="12">
        <v>567.68799999999999</v>
      </c>
      <c r="CN18" s="12">
        <v>6534.0832299999993</v>
      </c>
      <c r="CO18" s="12">
        <v>278.02859000000001</v>
      </c>
      <c r="CP18" s="12">
        <v>0</v>
      </c>
      <c r="CQ18" s="12">
        <v>697.45024999999998</v>
      </c>
      <c r="CR18" s="12">
        <v>11740.699780000004</v>
      </c>
      <c r="CS18" s="12">
        <v>2291.5342300000016</v>
      </c>
      <c r="CT18" s="12">
        <v>11016.354720000003</v>
      </c>
      <c r="CU18" s="12">
        <v>149.98150000000001</v>
      </c>
      <c r="CV18" s="12">
        <v>595.16119000000003</v>
      </c>
      <c r="CW18" s="13">
        <v>2976372.3440600024</v>
      </c>
      <c r="CX18" s="13">
        <v>2976372.3440600024</v>
      </c>
    </row>
    <row r="19" spans="1:102">
      <c r="A19" s="7">
        <f t="shared" ca="1" si="1"/>
        <v>2021</v>
      </c>
      <c r="B19" s="7">
        <f t="shared" ca="1" si="0"/>
        <v>2</v>
      </c>
      <c r="C19" s="8">
        <v>44317</v>
      </c>
      <c r="D19" s="10">
        <v>9896.9705000000013</v>
      </c>
      <c r="E19" s="10">
        <v>11920.866739999999</v>
      </c>
      <c r="F19" s="10">
        <v>9325.8650799999996</v>
      </c>
      <c r="G19" s="10">
        <v>2218.9169899999997</v>
      </c>
      <c r="H19" s="10">
        <v>4317.5893400000004</v>
      </c>
      <c r="I19" s="10">
        <v>217431.34955000004</v>
      </c>
      <c r="J19" s="10">
        <v>1704.6654100000001</v>
      </c>
      <c r="K19" s="10">
        <v>128904.69529000019</v>
      </c>
      <c r="L19" s="10">
        <v>124318.68129000004</v>
      </c>
      <c r="M19" s="10">
        <v>719.18411000000015</v>
      </c>
      <c r="N19" s="10">
        <v>8871.1201999999994</v>
      </c>
      <c r="O19" s="10">
        <v>2516.1990299999998</v>
      </c>
      <c r="P19" s="10">
        <v>410.48461000000003</v>
      </c>
      <c r="Q19" s="10">
        <v>9.7446699999999993</v>
      </c>
      <c r="R19" s="10">
        <v>84990.438179999997</v>
      </c>
      <c r="S19" s="10">
        <v>2179.8639000000003</v>
      </c>
      <c r="T19" s="10">
        <v>21403.408139999992</v>
      </c>
      <c r="U19" s="10">
        <v>9860.50641</v>
      </c>
      <c r="V19" s="10">
        <v>6436.8227900000029</v>
      </c>
      <c r="W19" s="10">
        <v>8959.6672999999919</v>
      </c>
      <c r="X19" s="10">
        <v>20793.179950000027</v>
      </c>
      <c r="Y19" s="10">
        <v>2137.9538500000008</v>
      </c>
      <c r="Z19" s="10">
        <v>1720.5138100000004</v>
      </c>
      <c r="AA19" s="10">
        <v>2262.5711699999997</v>
      </c>
      <c r="AB19" s="10">
        <v>893.28869000000009</v>
      </c>
      <c r="AC19" s="10">
        <v>6742.9017899999999</v>
      </c>
      <c r="AD19" s="10">
        <v>1549776.3561800001</v>
      </c>
      <c r="AE19" s="10">
        <v>8401.7881700000053</v>
      </c>
      <c r="AF19" s="10">
        <v>9105.7644099999943</v>
      </c>
      <c r="AG19" s="10">
        <v>21591.928620000002</v>
      </c>
      <c r="AH19" s="10">
        <v>4912.3857100000005</v>
      </c>
      <c r="AI19" s="10">
        <v>5769.4155399999991</v>
      </c>
      <c r="AJ19" s="10">
        <v>23715.399330000011</v>
      </c>
      <c r="AK19" s="10">
        <v>7547.3874100000003</v>
      </c>
      <c r="AL19" s="10">
        <v>4193.7434000000012</v>
      </c>
      <c r="AM19" s="10">
        <v>0</v>
      </c>
      <c r="AN19" s="10">
        <v>11.35772</v>
      </c>
      <c r="AO19" s="10">
        <v>39747.331089999956</v>
      </c>
      <c r="AP19" s="10">
        <v>140940.67490999994</v>
      </c>
      <c r="AQ19" s="10">
        <v>3638.6350799999996</v>
      </c>
      <c r="AR19" s="10">
        <v>4764.2304599999998</v>
      </c>
      <c r="AS19" s="10">
        <v>3902.4271400000011</v>
      </c>
      <c r="AT19" s="10">
        <v>393.96065000000004</v>
      </c>
      <c r="AU19" s="10">
        <v>4285.7027899999985</v>
      </c>
      <c r="AV19" s="10">
        <v>1.1556999999999999</v>
      </c>
      <c r="AW19" s="10">
        <v>37.983280000000001</v>
      </c>
      <c r="AX19" s="10">
        <v>77.664369999999991</v>
      </c>
      <c r="AY19" s="10">
        <v>14313.208820000007</v>
      </c>
      <c r="AZ19" s="10">
        <v>2415.54466</v>
      </c>
      <c r="BA19" s="10">
        <v>0</v>
      </c>
      <c r="BB19" s="10">
        <v>0.98099999999999998</v>
      </c>
      <c r="BC19" s="10">
        <v>200.59387999999998</v>
      </c>
      <c r="BD19" s="10">
        <v>210.95231000000001</v>
      </c>
      <c r="BE19" s="10">
        <v>4319.2025900000017</v>
      </c>
      <c r="BF19" s="10">
        <v>482.04871999999995</v>
      </c>
      <c r="BG19" s="10">
        <v>948.83337000000017</v>
      </c>
      <c r="BH19" s="10">
        <v>266.19916999999998</v>
      </c>
      <c r="BI19" s="10">
        <v>737.58927000000006</v>
      </c>
      <c r="BJ19" s="10">
        <v>2728.3695699999989</v>
      </c>
      <c r="BK19" s="10">
        <v>1643.9056899999994</v>
      </c>
      <c r="BL19" s="10">
        <v>12103.377709999997</v>
      </c>
      <c r="BM19" s="10">
        <v>20522.609030000014</v>
      </c>
      <c r="BN19" s="10">
        <v>6183.1540800000012</v>
      </c>
      <c r="BO19" s="10">
        <v>1905.8775500000006</v>
      </c>
      <c r="BP19" s="10">
        <v>302.26726000000002</v>
      </c>
      <c r="BQ19" s="10">
        <v>3.4732500000000002</v>
      </c>
      <c r="BR19" s="10">
        <v>0</v>
      </c>
      <c r="BS19" s="10">
        <v>3140.3071499999992</v>
      </c>
      <c r="BT19" s="10">
        <v>4546.3072699999993</v>
      </c>
      <c r="BU19" s="10">
        <v>15655.345050000011</v>
      </c>
      <c r="BV19" s="10">
        <v>302196.71512999991</v>
      </c>
      <c r="BW19" s="10">
        <v>28484.882980000013</v>
      </c>
      <c r="BX19" s="10">
        <v>11351.746740000001</v>
      </c>
      <c r="BY19" s="10">
        <v>18312.045710000002</v>
      </c>
      <c r="BZ19" s="10">
        <v>6.8700899999999994</v>
      </c>
      <c r="CA19" s="10">
        <v>36536.715979999979</v>
      </c>
      <c r="CB19" s="10">
        <v>149.04497000000001</v>
      </c>
      <c r="CC19" s="10">
        <v>8.0143800000000009</v>
      </c>
      <c r="CD19" s="10">
        <v>39.56467</v>
      </c>
      <c r="CE19" s="10">
        <v>91.576479999999989</v>
      </c>
      <c r="CF19" s="10">
        <v>3178.0958000000014</v>
      </c>
      <c r="CG19" s="10">
        <v>1875.5015499999997</v>
      </c>
      <c r="CH19" s="10">
        <v>16262.649739999992</v>
      </c>
      <c r="CI19" s="10">
        <v>23087.570659999972</v>
      </c>
      <c r="CJ19" s="10">
        <v>61.986580000000004</v>
      </c>
      <c r="CK19" s="10">
        <v>13917.020109999999</v>
      </c>
      <c r="CL19" s="10">
        <v>4046.1032299999997</v>
      </c>
      <c r="CM19" s="10">
        <v>166.55199999999999</v>
      </c>
      <c r="CN19" s="10">
        <v>5599.897359999999</v>
      </c>
      <c r="CO19" s="10">
        <v>37.354500000000009</v>
      </c>
      <c r="CP19" s="10">
        <v>0</v>
      </c>
      <c r="CQ19" s="10">
        <v>757.33063000000004</v>
      </c>
      <c r="CR19" s="10">
        <v>5510.9505799999979</v>
      </c>
      <c r="CS19" s="10">
        <v>2170.315970000001</v>
      </c>
      <c r="CT19" s="10">
        <v>6077.1415299999999</v>
      </c>
      <c r="CU19" s="10">
        <v>71.608999999999995</v>
      </c>
      <c r="CV19" s="10">
        <v>523.13350000000003</v>
      </c>
      <c r="CW19" s="11">
        <v>3096913.2780199996</v>
      </c>
      <c r="CX19" s="11">
        <v>3096913.2780199996</v>
      </c>
    </row>
    <row r="20" spans="1:102">
      <c r="A20" s="7">
        <f t="shared" ca="1" si="1"/>
        <v>2021</v>
      </c>
      <c r="B20" s="7">
        <f t="shared" ca="1" si="0"/>
        <v>2</v>
      </c>
      <c r="C20" s="9">
        <v>44348</v>
      </c>
      <c r="D20" s="12">
        <v>5464.8100600000007</v>
      </c>
      <c r="E20" s="12">
        <v>16091.964760000001</v>
      </c>
      <c r="F20" s="12">
        <v>11380.10756</v>
      </c>
      <c r="G20" s="12">
        <v>3069.7152599999999</v>
      </c>
      <c r="H20" s="12">
        <v>3745.9007699999997</v>
      </c>
      <c r="I20" s="12">
        <v>125897.15586</v>
      </c>
      <c r="J20" s="12">
        <v>1463.8853500000002</v>
      </c>
      <c r="K20" s="12">
        <v>125166.53435999996</v>
      </c>
      <c r="L20" s="12">
        <v>115655.38551000001</v>
      </c>
      <c r="M20" s="12">
        <v>35.530770000000004</v>
      </c>
      <c r="N20" s="12">
        <v>9479.2040800000032</v>
      </c>
      <c r="O20" s="12">
        <v>2618.0511299999998</v>
      </c>
      <c r="P20" s="12">
        <v>88.364670000000004</v>
      </c>
      <c r="Q20" s="12">
        <v>50.487940000000002</v>
      </c>
      <c r="R20" s="12">
        <v>108183.33108999999</v>
      </c>
      <c r="S20" s="12">
        <v>3658.2585300000001</v>
      </c>
      <c r="T20" s="12">
        <v>16218.671769999992</v>
      </c>
      <c r="U20" s="12">
        <v>9929.3562300000031</v>
      </c>
      <c r="V20" s="12">
        <v>11795.818339999994</v>
      </c>
      <c r="W20" s="12">
        <v>10057.239220000003</v>
      </c>
      <c r="X20" s="12">
        <v>31341.312540000003</v>
      </c>
      <c r="Y20" s="12">
        <v>3069.6076000000007</v>
      </c>
      <c r="Z20" s="12">
        <v>2754.5233800000001</v>
      </c>
      <c r="AA20" s="12">
        <v>1273.6729599999999</v>
      </c>
      <c r="AB20" s="12">
        <v>1335.6865100000002</v>
      </c>
      <c r="AC20" s="12">
        <v>15853.588230000001</v>
      </c>
      <c r="AD20" s="12">
        <v>1558797.0876300002</v>
      </c>
      <c r="AE20" s="12">
        <v>5364.3328600000004</v>
      </c>
      <c r="AF20" s="12">
        <v>8897.4543600000034</v>
      </c>
      <c r="AG20" s="12">
        <v>30083.495529999971</v>
      </c>
      <c r="AH20" s="12">
        <v>8073.0241500000002</v>
      </c>
      <c r="AI20" s="12">
        <v>9014.3156799999942</v>
      </c>
      <c r="AJ20" s="12">
        <v>33658.80204000001</v>
      </c>
      <c r="AK20" s="12">
        <v>11327.484160000005</v>
      </c>
      <c r="AL20" s="12">
        <v>4838.3567999999996</v>
      </c>
      <c r="AM20" s="12">
        <v>0</v>
      </c>
      <c r="AN20" s="12">
        <v>31.155010000000001</v>
      </c>
      <c r="AO20" s="12">
        <v>46416.390809999983</v>
      </c>
      <c r="AP20" s="12">
        <v>165155.94079000011</v>
      </c>
      <c r="AQ20" s="12">
        <v>5715.4284099999986</v>
      </c>
      <c r="AR20" s="12">
        <v>5452.1216599999998</v>
      </c>
      <c r="AS20" s="12">
        <v>3634.8385300000009</v>
      </c>
      <c r="AT20" s="12">
        <v>743.33031999999992</v>
      </c>
      <c r="AU20" s="12">
        <v>3760.0255399999987</v>
      </c>
      <c r="AV20" s="12">
        <v>3.1399499999999998</v>
      </c>
      <c r="AW20" s="12">
        <v>50.764960000000002</v>
      </c>
      <c r="AX20" s="12">
        <v>0</v>
      </c>
      <c r="AY20" s="12">
        <v>15909.532360000001</v>
      </c>
      <c r="AZ20" s="12">
        <v>3419.6082800000004</v>
      </c>
      <c r="BA20" s="12">
        <v>0</v>
      </c>
      <c r="BB20" s="12">
        <v>0.14699999999999999</v>
      </c>
      <c r="BC20" s="12">
        <v>1123.4678099999996</v>
      </c>
      <c r="BD20" s="12">
        <v>200.23165</v>
      </c>
      <c r="BE20" s="12">
        <v>5340.9919700000009</v>
      </c>
      <c r="BF20" s="12">
        <v>688.87312000000043</v>
      </c>
      <c r="BG20" s="12">
        <v>1063.6078299999999</v>
      </c>
      <c r="BH20" s="12">
        <v>35.877890000000001</v>
      </c>
      <c r="BI20" s="12">
        <v>1202.3478600000001</v>
      </c>
      <c r="BJ20" s="12">
        <v>3224.1761800000004</v>
      </c>
      <c r="BK20" s="12">
        <v>5854.7535900000039</v>
      </c>
      <c r="BL20" s="12">
        <v>15467.986070000006</v>
      </c>
      <c r="BM20" s="12">
        <v>27651.049749999973</v>
      </c>
      <c r="BN20" s="12">
        <v>7257.9436299999988</v>
      </c>
      <c r="BO20" s="12">
        <v>2682.1331399999999</v>
      </c>
      <c r="BP20" s="12">
        <v>976.28087000000005</v>
      </c>
      <c r="BQ20" s="12">
        <v>4.5753700000000004</v>
      </c>
      <c r="BR20" s="12">
        <v>5.3639600000000005</v>
      </c>
      <c r="BS20" s="12">
        <v>4213.4007599999986</v>
      </c>
      <c r="BT20" s="12">
        <v>6053.42551</v>
      </c>
      <c r="BU20" s="12">
        <v>10634.451969999998</v>
      </c>
      <c r="BV20" s="12">
        <v>286289.55983999983</v>
      </c>
      <c r="BW20" s="12">
        <v>42204.378680000016</v>
      </c>
      <c r="BX20" s="12">
        <v>17574.137170000009</v>
      </c>
      <c r="BY20" s="12">
        <v>18066.378160000007</v>
      </c>
      <c r="BZ20" s="12">
        <v>1.2872600000000001</v>
      </c>
      <c r="CA20" s="12">
        <v>39477.091250000005</v>
      </c>
      <c r="CB20" s="12">
        <v>110.05529</v>
      </c>
      <c r="CC20" s="12">
        <v>23.642619999999997</v>
      </c>
      <c r="CD20" s="12">
        <v>1.7615799999999999</v>
      </c>
      <c r="CE20" s="12">
        <v>107.95514999999999</v>
      </c>
      <c r="CF20" s="12">
        <v>5688.5184300000001</v>
      </c>
      <c r="CG20" s="12">
        <v>3596.0240199999994</v>
      </c>
      <c r="CH20" s="12">
        <v>32142.464139999982</v>
      </c>
      <c r="CI20" s="12">
        <v>37984.102650000001</v>
      </c>
      <c r="CJ20" s="12">
        <v>6.2602399999999996</v>
      </c>
      <c r="CK20" s="12">
        <v>18033.123360000012</v>
      </c>
      <c r="CL20" s="12">
        <v>1651.6961800000001</v>
      </c>
      <c r="CM20" s="12">
        <v>2215.5874399999998</v>
      </c>
      <c r="CN20" s="12">
        <v>6235.14282</v>
      </c>
      <c r="CO20" s="12">
        <v>135.41243</v>
      </c>
      <c r="CP20" s="12">
        <v>17.798470000000002</v>
      </c>
      <c r="CQ20" s="12">
        <v>214.22200000000001</v>
      </c>
      <c r="CR20" s="12">
        <v>8884.0597100000014</v>
      </c>
      <c r="CS20" s="12">
        <v>2144.0991799999993</v>
      </c>
      <c r="CT20" s="12">
        <v>8629.559089999997</v>
      </c>
      <c r="CU20" s="12">
        <v>129.71</v>
      </c>
      <c r="CV20" s="12">
        <v>945.80091000000004</v>
      </c>
      <c r="CW20" s="13">
        <v>3182215.7083100001</v>
      </c>
      <c r="CX20" s="13">
        <v>3182215.7083100001</v>
      </c>
    </row>
    <row r="21" spans="1:102">
      <c r="A21" s="7">
        <f t="shared" ca="1" si="1"/>
        <v>2021</v>
      </c>
      <c r="B21" s="7">
        <f t="shared" ca="1" si="0"/>
        <v>3</v>
      </c>
      <c r="C21" s="8">
        <v>44378</v>
      </c>
      <c r="D21" s="10">
        <v>3719.3333900000002</v>
      </c>
      <c r="E21" s="10">
        <v>21743.558750000011</v>
      </c>
      <c r="F21" s="10">
        <v>9019.3801000000021</v>
      </c>
      <c r="G21" s="10">
        <v>3075.9488999999999</v>
      </c>
      <c r="H21" s="10">
        <v>4515.6599400000005</v>
      </c>
      <c r="I21" s="10">
        <v>106769.88287000007</v>
      </c>
      <c r="J21" s="10">
        <v>2294.7100499999997</v>
      </c>
      <c r="K21" s="10">
        <v>141759.40939000007</v>
      </c>
      <c r="L21" s="10">
        <v>309123.07708999992</v>
      </c>
      <c r="M21" s="10">
        <v>860.16755000000012</v>
      </c>
      <c r="N21" s="10">
        <v>5996.3832599999987</v>
      </c>
      <c r="O21" s="10">
        <v>3708.6235599999995</v>
      </c>
      <c r="P21" s="10">
        <v>1041.0401899999999</v>
      </c>
      <c r="Q21" s="10">
        <v>93.575119999999998</v>
      </c>
      <c r="R21" s="10">
        <v>60008.458020000049</v>
      </c>
      <c r="S21" s="10">
        <v>3284.0579500000003</v>
      </c>
      <c r="T21" s="10">
        <v>39668.284390000044</v>
      </c>
      <c r="U21" s="10">
        <v>11528.137570000001</v>
      </c>
      <c r="V21" s="10">
        <v>15746.604979999991</v>
      </c>
      <c r="W21" s="10">
        <v>12118.647079999995</v>
      </c>
      <c r="X21" s="10">
        <v>42953.737670000002</v>
      </c>
      <c r="Y21" s="10">
        <v>4092.5355100000006</v>
      </c>
      <c r="Z21" s="10">
        <v>5520.9043200000006</v>
      </c>
      <c r="AA21" s="10">
        <v>397.92305000000005</v>
      </c>
      <c r="AB21" s="10">
        <v>1378.6079699999998</v>
      </c>
      <c r="AC21" s="10">
        <v>25542.104049999994</v>
      </c>
      <c r="AD21" s="10">
        <v>1415764.2404799995</v>
      </c>
      <c r="AE21" s="10">
        <v>13958.95878000001</v>
      </c>
      <c r="AF21" s="10">
        <v>10748.640600000001</v>
      </c>
      <c r="AG21" s="10">
        <v>37372.74414000001</v>
      </c>
      <c r="AH21" s="10">
        <v>5327.6346999999996</v>
      </c>
      <c r="AI21" s="10">
        <v>9415.1749900000013</v>
      </c>
      <c r="AJ21" s="10">
        <v>47527.934109999995</v>
      </c>
      <c r="AK21" s="10">
        <v>18366.913850000015</v>
      </c>
      <c r="AL21" s="10">
        <v>4097.2084599999998</v>
      </c>
      <c r="AM21" s="10">
        <v>31.184419999999999</v>
      </c>
      <c r="AN21" s="10">
        <v>16.338650000000001</v>
      </c>
      <c r="AO21" s="10">
        <v>45199.466950000053</v>
      </c>
      <c r="AP21" s="10">
        <v>175121.41423999995</v>
      </c>
      <c r="AQ21" s="10">
        <v>10604.133349999991</v>
      </c>
      <c r="AR21" s="10">
        <v>5601.6859899999999</v>
      </c>
      <c r="AS21" s="10">
        <v>4837.105770000001</v>
      </c>
      <c r="AT21" s="10">
        <v>587.72725000000003</v>
      </c>
      <c r="AU21" s="10">
        <v>3579.6378600000016</v>
      </c>
      <c r="AV21" s="10">
        <v>29.053669999999997</v>
      </c>
      <c r="AW21" s="10">
        <v>35.51878</v>
      </c>
      <c r="AX21" s="10">
        <v>274.63153000000005</v>
      </c>
      <c r="AY21" s="10">
        <v>25854.968819999998</v>
      </c>
      <c r="AZ21" s="10">
        <v>4023.9282700000003</v>
      </c>
      <c r="BA21" s="10">
        <v>0</v>
      </c>
      <c r="BB21" s="10">
        <v>0</v>
      </c>
      <c r="BC21" s="10">
        <v>1095.5426300000004</v>
      </c>
      <c r="BD21" s="10">
        <v>690.43604999999991</v>
      </c>
      <c r="BE21" s="10">
        <v>5730.3809600000004</v>
      </c>
      <c r="BF21" s="10">
        <v>858.21667999999966</v>
      </c>
      <c r="BG21" s="10">
        <v>1286.1303899999996</v>
      </c>
      <c r="BH21" s="10">
        <v>452.76996999999994</v>
      </c>
      <c r="BI21" s="10">
        <v>1091.3834900000004</v>
      </c>
      <c r="BJ21" s="10">
        <v>3635.3100600000002</v>
      </c>
      <c r="BK21" s="10">
        <v>6013.0903899999967</v>
      </c>
      <c r="BL21" s="10">
        <v>17639.374089999994</v>
      </c>
      <c r="BM21" s="10">
        <v>30113.524319999993</v>
      </c>
      <c r="BN21" s="10">
        <v>6959.0585499999979</v>
      </c>
      <c r="BO21" s="10">
        <v>2794.7721499999998</v>
      </c>
      <c r="BP21" s="10">
        <v>1044.6249599999996</v>
      </c>
      <c r="BQ21" s="10">
        <v>204.26803999999998</v>
      </c>
      <c r="BR21" s="10">
        <v>9.7590000000000003</v>
      </c>
      <c r="BS21" s="10">
        <v>4366.1500199999991</v>
      </c>
      <c r="BT21" s="10">
        <v>9021.5137799999993</v>
      </c>
      <c r="BU21" s="10">
        <v>12252.309429999999</v>
      </c>
      <c r="BV21" s="10">
        <v>313275.83396000002</v>
      </c>
      <c r="BW21" s="10">
        <v>50827.657299999999</v>
      </c>
      <c r="BX21" s="10">
        <v>20078.453020000008</v>
      </c>
      <c r="BY21" s="10">
        <v>37410.269750000007</v>
      </c>
      <c r="BZ21" s="10">
        <v>0.11751</v>
      </c>
      <c r="CA21" s="10">
        <v>47202.284520000016</v>
      </c>
      <c r="CB21" s="10">
        <v>570.37702000000002</v>
      </c>
      <c r="CC21" s="10">
        <v>0.14036000000000001</v>
      </c>
      <c r="CD21" s="10">
        <v>29.690719999999999</v>
      </c>
      <c r="CE21" s="10">
        <v>152.34662000000003</v>
      </c>
      <c r="CF21" s="10">
        <v>6863.5800400000026</v>
      </c>
      <c r="CG21" s="10">
        <v>4706.7633000000014</v>
      </c>
      <c r="CH21" s="10">
        <v>45806.557120000012</v>
      </c>
      <c r="CI21" s="10">
        <v>54037.384170000027</v>
      </c>
      <c r="CJ21" s="10">
        <v>7.4622399999999995</v>
      </c>
      <c r="CK21" s="10">
        <v>38035.937150000005</v>
      </c>
      <c r="CL21" s="10">
        <v>2657.75704</v>
      </c>
      <c r="CM21" s="10">
        <v>4691.9795700000004</v>
      </c>
      <c r="CN21" s="10">
        <v>6200.8735600000064</v>
      </c>
      <c r="CO21" s="10">
        <v>83.480620000000002</v>
      </c>
      <c r="CP21" s="10">
        <v>4.1434499999999996</v>
      </c>
      <c r="CQ21" s="10">
        <v>12.645</v>
      </c>
      <c r="CR21" s="10">
        <v>14261.741869999994</v>
      </c>
      <c r="CS21" s="10">
        <v>3437.5794700000001</v>
      </c>
      <c r="CT21" s="10">
        <v>11980.340739999998</v>
      </c>
      <c r="CU21" s="10">
        <v>643.14164000000005</v>
      </c>
      <c r="CV21" s="10">
        <v>1583.7580799999998</v>
      </c>
      <c r="CW21" s="11">
        <v>3444157.90918</v>
      </c>
      <c r="CX21" s="11">
        <v>3444157.90918</v>
      </c>
    </row>
    <row r="22" spans="1:102">
      <c r="A22" s="7">
        <f t="shared" ca="1" si="1"/>
        <v>2021</v>
      </c>
      <c r="B22" s="7">
        <f t="shared" ca="1" si="0"/>
        <v>3</v>
      </c>
      <c r="C22" s="9">
        <v>44409</v>
      </c>
      <c r="D22" s="12">
        <v>6056.4972400000006</v>
      </c>
      <c r="E22" s="12">
        <v>29048.511909999994</v>
      </c>
      <c r="F22" s="12">
        <v>13332.20831</v>
      </c>
      <c r="G22" s="12">
        <v>3233.0964500000005</v>
      </c>
      <c r="H22" s="12">
        <v>4138.3265600000004</v>
      </c>
      <c r="I22" s="12">
        <v>114586.30210999984</v>
      </c>
      <c r="J22" s="12">
        <v>1347.7056500000003</v>
      </c>
      <c r="K22" s="12">
        <v>97713.862280000132</v>
      </c>
      <c r="L22" s="12">
        <v>322175.04610000062</v>
      </c>
      <c r="M22" s="12">
        <v>446.4397899999999</v>
      </c>
      <c r="N22" s="12">
        <v>4263.6648900000009</v>
      </c>
      <c r="O22" s="12">
        <v>2882.2647299999994</v>
      </c>
      <c r="P22" s="12">
        <v>272.80363</v>
      </c>
      <c r="Q22" s="12">
        <v>62.734019999999994</v>
      </c>
      <c r="R22" s="12">
        <v>73838.05293000002</v>
      </c>
      <c r="S22" s="12">
        <v>2706.9219900000003</v>
      </c>
      <c r="T22" s="12">
        <v>49091.770520000005</v>
      </c>
      <c r="U22" s="12">
        <v>11666.639829999993</v>
      </c>
      <c r="V22" s="12">
        <v>14434.546700000001</v>
      </c>
      <c r="W22" s="12">
        <v>11488.112849999994</v>
      </c>
      <c r="X22" s="12">
        <v>36089.848849999988</v>
      </c>
      <c r="Y22" s="12">
        <v>3953.2159900000001</v>
      </c>
      <c r="Z22" s="12">
        <v>4837.8777900000014</v>
      </c>
      <c r="AA22" s="12">
        <v>165.69900000000001</v>
      </c>
      <c r="AB22" s="12">
        <v>2160.4196799999995</v>
      </c>
      <c r="AC22" s="12">
        <v>11450.434359999999</v>
      </c>
      <c r="AD22" s="12">
        <v>1513093.0638500007</v>
      </c>
      <c r="AE22" s="12">
        <v>10810.046439999998</v>
      </c>
      <c r="AF22" s="12">
        <v>13039.103440000008</v>
      </c>
      <c r="AG22" s="12">
        <v>38892.066940000019</v>
      </c>
      <c r="AH22" s="12">
        <v>3542.8229000000006</v>
      </c>
      <c r="AI22" s="12">
        <v>11870.651529999997</v>
      </c>
      <c r="AJ22" s="12">
        <v>44079.980609999999</v>
      </c>
      <c r="AK22" s="12">
        <v>16049.059009999995</v>
      </c>
      <c r="AL22" s="12">
        <v>5347.0867999999991</v>
      </c>
      <c r="AM22" s="12">
        <v>0.36595</v>
      </c>
      <c r="AN22" s="12">
        <v>44.939500000000002</v>
      </c>
      <c r="AO22" s="12">
        <v>55621.149429999969</v>
      </c>
      <c r="AP22" s="12">
        <v>176633.23703000005</v>
      </c>
      <c r="AQ22" s="12">
        <v>8655.5986300000041</v>
      </c>
      <c r="AR22" s="12">
        <v>8149.7284200000004</v>
      </c>
      <c r="AS22" s="12">
        <v>4139.7630099999988</v>
      </c>
      <c r="AT22" s="12">
        <v>686.88756999999998</v>
      </c>
      <c r="AU22" s="12">
        <v>3923.1500600000004</v>
      </c>
      <c r="AV22" s="12">
        <v>5.8961000000000006</v>
      </c>
      <c r="AW22" s="12">
        <v>48.581110000000002</v>
      </c>
      <c r="AX22" s="12">
        <v>148.31188999999998</v>
      </c>
      <c r="AY22" s="12">
        <v>20941.420959999978</v>
      </c>
      <c r="AZ22" s="12">
        <v>2446.21101</v>
      </c>
      <c r="BA22" s="12">
        <v>0</v>
      </c>
      <c r="BB22" s="12">
        <v>0</v>
      </c>
      <c r="BC22" s="12">
        <v>1424.0869400000001</v>
      </c>
      <c r="BD22" s="12">
        <v>268.06691999999993</v>
      </c>
      <c r="BE22" s="12">
        <v>5874.0353799999984</v>
      </c>
      <c r="BF22" s="12">
        <v>1250.7621300000001</v>
      </c>
      <c r="BG22" s="12">
        <v>1104.48153</v>
      </c>
      <c r="BH22" s="12">
        <v>239.15477999999999</v>
      </c>
      <c r="BI22" s="12">
        <v>1181.16561</v>
      </c>
      <c r="BJ22" s="12">
        <v>4057.4870100000003</v>
      </c>
      <c r="BK22" s="12">
        <v>6148.4613499999996</v>
      </c>
      <c r="BL22" s="12">
        <v>15798.532319999993</v>
      </c>
      <c r="BM22" s="12">
        <v>28104.075990000023</v>
      </c>
      <c r="BN22" s="12">
        <v>7355.8209300000008</v>
      </c>
      <c r="BO22" s="12">
        <v>3117.8350700000001</v>
      </c>
      <c r="BP22" s="12">
        <v>1021.6078099999999</v>
      </c>
      <c r="BQ22" s="12">
        <v>12.457159999999998</v>
      </c>
      <c r="BR22" s="12">
        <v>3.0459800000000001</v>
      </c>
      <c r="BS22" s="12">
        <v>4412.0950000000003</v>
      </c>
      <c r="BT22" s="12">
        <v>7267.647759999998</v>
      </c>
      <c r="BU22" s="12">
        <v>19021.490850000009</v>
      </c>
      <c r="BV22" s="12">
        <v>225795.93846999994</v>
      </c>
      <c r="BW22" s="12">
        <v>49117.047390000007</v>
      </c>
      <c r="BX22" s="12">
        <v>28577.013589999966</v>
      </c>
      <c r="BY22" s="12">
        <v>26613.597970000006</v>
      </c>
      <c r="BZ22" s="12">
        <v>131.58416</v>
      </c>
      <c r="CA22" s="12">
        <v>38184.046840000025</v>
      </c>
      <c r="CB22" s="12">
        <v>739.25436000000002</v>
      </c>
      <c r="CC22" s="12">
        <v>222.49211</v>
      </c>
      <c r="CD22" s="12">
        <v>0.76590000000000003</v>
      </c>
      <c r="CE22" s="12">
        <v>169.31054</v>
      </c>
      <c r="CF22" s="12">
        <v>6313.8852099999986</v>
      </c>
      <c r="CG22" s="12">
        <v>4512.551760000003</v>
      </c>
      <c r="CH22" s="12">
        <v>40207.910980000001</v>
      </c>
      <c r="CI22" s="12">
        <v>53682.170520000072</v>
      </c>
      <c r="CJ22" s="12">
        <v>162.31276</v>
      </c>
      <c r="CK22" s="12">
        <v>47047.605650000005</v>
      </c>
      <c r="CL22" s="12">
        <v>33303.5164</v>
      </c>
      <c r="CM22" s="12">
        <v>2044.5409999999999</v>
      </c>
      <c r="CN22" s="12">
        <v>8695.4863600000044</v>
      </c>
      <c r="CO22" s="12">
        <v>79.897649999999985</v>
      </c>
      <c r="CP22" s="12">
        <v>1.9650000000000001</v>
      </c>
      <c r="CQ22" s="12">
        <v>2381.7670800000001</v>
      </c>
      <c r="CR22" s="12">
        <v>15943.514289999999</v>
      </c>
      <c r="CS22" s="12">
        <v>2715.7557599999996</v>
      </c>
      <c r="CT22" s="12">
        <v>9972.1040099999973</v>
      </c>
      <c r="CU22" s="12">
        <v>95.899000000000001</v>
      </c>
      <c r="CV22" s="12">
        <v>1156.5032999999999</v>
      </c>
      <c r="CW22" s="13">
        <v>3465142.8749300018</v>
      </c>
      <c r="CX22" s="13">
        <v>3465142.8749300018</v>
      </c>
    </row>
    <row r="23" spans="1:102">
      <c r="A23" s="7">
        <f t="shared" ca="1" si="1"/>
        <v>2021</v>
      </c>
      <c r="B23" s="7">
        <f t="shared" ca="1" si="0"/>
        <v>3</v>
      </c>
      <c r="C23" s="8">
        <v>44440</v>
      </c>
      <c r="D23" s="10">
        <v>11653.718859999999</v>
      </c>
      <c r="E23" s="10">
        <v>27030.912520000002</v>
      </c>
      <c r="F23" s="10">
        <v>9192.2747899999995</v>
      </c>
      <c r="G23" s="10">
        <v>2184.0385200000005</v>
      </c>
      <c r="H23" s="10">
        <v>3695.18957</v>
      </c>
      <c r="I23" s="10">
        <v>97506.451999999786</v>
      </c>
      <c r="J23" s="10">
        <v>2078.2527699999987</v>
      </c>
      <c r="K23" s="10">
        <v>104837.9426400001</v>
      </c>
      <c r="L23" s="10">
        <v>268316.55715999997</v>
      </c>
      <c r="M23" s="10">
        <v>551.77447999999993</v>
      </c>
      <c r="N23" s="10">
        <v>5400.0057300000008</v>
      </c>
      <c r="O23" s="10">
        <v>2988.59996</v>
      </c>
      <c r="P23" s="10">
        <v>400.37579000000005</v>
      </c>
      <c r="Q23" s="10">
        <v>145.53475</v>
      </c>
      <c r="R23" s="10">
        <v>68409.514680000022</v>
      </c>
      <c r="S23" s="10">
        <v>3311.74406</v>
      </c>
      <c r="T23" s="10">
        <v>48530.611319999982</v>
      </c>
      <c r="U23" s="10">
        <v>11452.662559999995</v>
      </c>
      <c r="V23" s="10">
        <v>15338.52252</v>
      </c>
      <c r="W23" s="10">
        <v>11260.567390000004</v>
      </c>
      <c r="X23" s="10">
        <v>44504.26360999998</v>
      </c>
      <c r="Y23" s="10">
        <v>4494.2012799999993</v>
      </c>
      <c r="Z23" s="10">
        <v>3609.547070000001</v>
      </c>
      <c r="AA23" s="10">
        <v>443.20699999999999</v>
      </c>
      <c r="AB23" s="10">
        <v>1556.6928800000003</v>
      </c>
      <c r="AC23" s="10">
        <v>2855.0815299999999</v>
      </c>
      <c r="AD23" s="10">
        <v>1854123.1782999993</v>
      </c>
      <c r="AE23" s="10">
        <v>10887.134070000002</v>
      </c>
      <c r="AF23" s="10">
        <v>12222.553730000001</v>
      </c>
      <c r="AG23" s="10">
        <v>37749.63225000001</v>
      </c>
      <c r="AH23" s="10">
        <v>5140.8664900000003</v>
      </c>
      <c r="AI23" s="10">
        <v>9644.7529699999996</v>
      </c>
      <c r="AJ23" s="10">
        <v>43696.757850000016</v>
      </c>
      <c r="AK23" s="10">
        <v>14669.930419999984</v>
      </c>
      <c r="AL23" s="10">
        <v>4038.3874999999998</v>
      </c>
      <c r="AM23" s="10">
        <v>28.962</v>
      </c>
      <c r="AN23" s="10">
        <v>23.561360000000001</v>
      </c>
      <c r="AO23" s="10">
        <v>54995.309199999974</v>
      </c>
      <c r="AP23" s="10">
        <v>160172.67965000003</v>
      </c>
      <c r="AQ23" s="10">
        <v>11205.823610000001</v>
      </c>
      <c r="AR23" s="10">
        <v>7450.7234499999995</v>
      </c>
      <c r="AS23" s="10">
        <v>2826.6028799999999</v>
      </c>
      <c r="AT23" s="10">
        <v>609.01315</v>
      </c>
      <c r="AU23" s="10">
        <v>5080.7023099999997</v>
      </c>
      <c r="AV23" s="10">
        <v>23.910319999999999</v>
      </c>
      <c r="AW23" s="10">
        <v>79.230760000000004</v>
      </c>
      <c r="AX23" s="10">
        <v>185.95111</v>
      </c>
      <c r="AY23" s="10">
        <v>22049.566240000018</v>
      </c>
      <c r="AZ23" s="10">
        <v>4320.8981099999983</v>
      </c>
      <c r="BA23" s="10">
        <v>5.2888000000000002</v>
      </c>
      <c r="BB23" s="10">
        <v>0</v>
      </c>
      <c r="BC23" s="10">
        <v>2085.02034</v>
      </c>
      <c r="BD23" s="10">
        <v>277.60455999999999</v>
      </c>
      <c r="BE23" s="10">
        <v>6712.50641</v>
      </c>
      <c r="BF23" s="10">
        <v>1594.8882499999995</v>
      </c>
      <c r="BG23" s="10">
        <v>1843.3325599999998</v>
      </c>
      <c r="BH23" s="10">
        <v>30.156020000000002</v>
      </c>
      <c r="BI23" s="10">
        <v>1214.43469</v>
      </c>
      <c r="BJ23" s="10">
        <v>3211.3144099999995</v>
      </c>
      <c r="BK23" s="10">
        <v>7121.8406200000054</v>
      </c>
      <c r="BL23" s="10">
        <v>16130.353310000004</v>
      </c>
      <c r="BM23" s="10">
        <v>29593.36962999999</v>
      </c>
      <c r="BN23" s="10">
        <v>5621.62763</v>
      </c>
      <c r="BO23" s="10">
        <v>2523.1015299999995</v>
      </c>
      <c r="BP23" s="10">
        <v>878.32676000000015</v>
      </c>
      <c r="BQ23" s="10">
        <v>68.302179999999993</v>
      </c>
      <c r="BR23" s="10">
        <v>6.3417800000000009</v>
      </c>
      <c r="BS23" s="10">
        <v>3995.7603700000004</v>
      </c>
      <c r="BT23" s="10">
        <v>8028.586159999998</v>
      </c>
      <c r="BU23" s="10">
        <v>16320.441989999994</v>
      </c>
      <c r="BV23" s="10">
        <v>287659.15549999976</v>
      </c>
      <c r="BW23" s="10">
        <v>117713.27322999999</v>
      </c>
      <c r="BX23" s="10">
        <v>21700.098619999979</v>
      </c>
      <c r="BY23" s="10">
        <v>24214.574630000006</v>
      </c>
      <c r="BZ23" s="10">
        <v>8.8118600000000011</v>
      </c>
      <c r="CA23" s="10">
        <v>33241.123020000006</v>
      </c>
      <c r="CB23" s="10">
        <v>52.046800000000005</v>
      </c>
      <c r="CC23" s="10">
        <v>10.954459999999999</v>
      </c>
      <c r="CD23" s="10">
        <v>69.455929999999995</v>
      </c>
      <c r="CE23" s="10">
        <v>272.01441999999997</v>
      </c>
      <c r="CF23" s="10">
        <v>5854.2959300000011</v>
      </c>
      <c r="CG23" s="10">
        <v>3783.8871500000009</v>
      </c>
      <c r="CH23" s="10">
        <v>43117.940129999966</v>
      </c>
      <c r="CI23" s="10">
        <v>55346.858180000097</v>
      </c>
      <c r="CJ23" s="10">
        <v>45.063919999999996</v>
      </c>
      <c r="CK23" s="10">
        <v>29579.439920000012</v>
      </c>
      <c r="CL23" s="10">
        <v>7964.5285000000003</v>
      </c>
      <c r="CM23" s="10">
        <v>42.877739999999996</v>
      </c>
      <c r="CN23" s="10">
        <v>7662.2827599999964</v>
      </c>
      <c r="CO23" s="10">
        <v>190.81821000000002</v>
      </c>
      <c r="CP23" s="10">
        <v>0.58329999999999993</v>
      </c>
      <c r="CQ23" s="10">
        <v>1480.6205600000001</v>
      </c>
      <c r="CR23" s="10">
        <v>12661.077420000005</v>
      </c>
      <c r="CS23" s="10">
        <v>3893.109460000001</v>
      </c>
      <c r="CT23" s="10">
        <v>13593.668939999998</v>
      </c>
      <c r="CU23" s="10">
        <v>154.38629999999998</v>
      </c>
      <c r="CV23" s="10">
        <v>1685.6129099999998</v>
      </c>
      <c r="CW23" s="11">
        <v>3792235.5309699983</v>
      </c>
      <c r="CX23" s="11">
        <v>3792235.5309699983</v>
      </c>
    </row>
    <row r="24" spans="1:102">
      <c r="A24" s="7">
        <f t="shared" ca="1" si="1"/>
        <v>2021</v>
      </c>
      <c r="B24" s="7">
        <f t="shared" ca="1" si="0"/>
        <v>4</v>
      </c>
      <c r="C24" s="9">
        <v>44471</v>
      </c>
      <c r="D24" s="12">
        <v>21132.636069999997</v>
      </c>
      <c r="E24" s="12">
        <v>29614.429059999999</v>
      </c>
      <c r="F24" s="12">
        <v>10833.755989999998</v>
      </c>
      <c r="G24" s="12">
        <v>1805.2683199999997</v>
      </c>
      <c r="H24" s="12">
        <v>3806.860259999999</v>
      </c>
      <c r="I24" s="12">
        <v>149379.35538000031</v>
      </c>
      <c r="J24" s="12">
        <v>1416.2384499999994</v>
      </c>
      <c r="K24" s="12">
        <v>118999.77152000007</v>
      </c>
      <c r="L24" s="12">
        <v>327953.17129999964</v>
      </c>
      <c r="M24" s="12">
        <v>65.447320000000005</v>
      </c>
      <c r="N24" s="12">
        <v>7052.059009999999</v>
      </c>
      <c r="O24" s="12">
        <v>2928.7059999999992</v>
      </c>
      <c r="P24" s="12">
        <v>85.005459999999985</v>
      </c>
      <c r="Q24" s="12">
        <v>74.894759999999991</v>
      </c>
      <c r="R24" s="12">
        <v>58170.080600000001</v>
      </c>
      <c r="S24" s="12">
        <v>3167.59238</v>
      </c>
      <c r="T24" s="12">
        <v>42854.630669999984</v>
      </c>
      <c r="U24" s="12">
        <v>11155.67489</v>
      </c>
      <c r="V24" s="12">
        <v>13591.926790000001</v>
      </c>
      <c r="W24" s="12">
        <v>8348.1747500000001</v>
      </c>
      <c r="X24" s="12">
        <v>34452.738590000001</v>
      </c>
      <c r="Y24" s="12">
        <v>5463.4822099999956</v>
      </c>
      <c r="Z24" s="12">
        <v>4115.2892499999998</v>
      </c>
      <c r="AA24" s="12">
        <v>5.2628999999999992</v>
      </c>
      <c r="AB24" s="12">
        <v>2006.0283600000007</v>
      </c>
      <c r="AC24" s="12">
        <v>4365.1463700000004</v>
      </c>
      <c r="AD24" s="12">
        <v>1890737.8139099998</v>
      </c>
      <c r="AE24" s="12">
        <v>8495.9376599999996</v>
      </c>
      <c r="AF24" s="12">
        <v>12898.762840000003</v>
      </c>
      <c r="AG24" s="12">
        <v>30234.403930000008</v>
      </c>
      <c r="AH24" s="12">
        <v>2836.13573</v>
      </c>
      <c r="AI24" s="12">
        <v>9209.7324800000024</v>
      </c>
      <c r="AJ24" s="12">
        <v>41384.746370000037</v>
      </c>
      <c r="AK24" s="12">
        <v>12149.902609999996</v>
      </c>
      <c r="AL24" s="12">
        <v>4923.0022400000007</v>
      </c>
      <c r="AM24" s="12">
        <v>0</v>
      </c>
      <c r="AN24" s="12">
        <v>4.8715900000000003</v>
      </c>
      <c r="AO24" s="12">
        <v>58729.669190000008</v>
      </c>
      <c r="AP24" s="12">
        <v>194209.42301</v>
      </c>
      <c r="AQ24" s="12">
        <v>8835.9271099999987</v>
      </c>
      <c r="AR24" s="12">
        <v>7678.8814599999987</v>
      </c>
      <c r="AS24" s="12">
        <v>5439.1775499999967</v>
      </c>
      <c r="AT24" s="12">
        <v>1055.4006899999999</v>
      </c>
      <c r="AU24" s="12">
        <v>3603.2513599999988</v>
      </c>
      <c r="AV24" s="12">
        <v>0.85528000000000004</v>
      </c>
      <c r="AW24" s="12">
        <v>87.031230000000008</v>
      </c>
      <c r="AX24" s="12">
        <v>163.57084</v>
      </c>
      <c r="AY24" s="12">
        <v>22205.178639999987</v>
      </c>
      <c r="AZ24" s="12">
        <v>3681.0480400000006</v>
      </c>
      <c r="BA24" s="12">
        <v>0</v>
      </c>
      <c r="BB24" s="12">
        <v>3.34023</v>
      </c>
      <c r="BC24" s="12">
        <v>2193.5313000000006</v>
      </c>
      <c r="BD24" s="12">
        <v>349.67700000000002</v>
      </c>
      <c r="BE24" s="12">
        <v>6427.1303999999991</v>
      </c>
      <c r="BF24" s="12">
        <v>908.56499999999971</v>
      </c>
      <c r="BG24" s="12">
        <v>1007.52643</v>
      </c>
      <c r="BH24" s="12">
        <v>85.866860000000003</v>
      </c>
      <c r="BI24" s="12">
        <v>1502.0552100000002</v>
      </c>
      <c r="BJ24" s="12">
        <v>4025.8534599999994</v>
      </c>
      <c r="BK24" s="12">
        <v>7184.7462799999994</v>
      </c>
      <c r="BL24" s="12">
        <v>20317.78052</v>
      </c>
      <c r="BM24" s="12">
        <v>28979.331229999989</v>
      </c>
      <c r="BN24" s="12">
        <v>5051.5220100000006</v>
      </c>
      <c r="BO24" s="12">
        <v>3650.0056100000006</v>
      </c>
      <c r="BP24" s="12">
        <v>892.64891999999998</v>
      </c>
      <c r="BQ24" s="12">
        <v>6.2167800000000009</v>
      </c>
      <c r="BR24" s="12">
        <v>5.9243699999999997</v>
      </c>
      <c r="BS24" s="12">
        <v>4649.9566900000027</v>
      </c>
      <c r="BT24" s="12">
        <v>7552.9699700000001</v>
      </c>
      <c r="BU24" s="12">
        <v>10357.759209999997</v>
      </c>
      <c r="BV24" s="12">
        <v>242301.26184999995</v>
      </c>
      <c r="BW24" s="12">
        <v>12692.887480000001</v>
      </c>
      <c r="BX24" s="12">
        <v>20080.541569999998</v>
      </c>
      <c r="BY24" s="12">
        <v>24359.155970000003</v>
      </c>
      <c r="BZ24" s="12">
        <v>1.96685</v>
      </c>
      <c r="CA24" s="12">
        <v>44475.217160000015</v>
      </c>
      <c r="CB24" s="12">
        <v>161.00628</v>
      </c>
      <c r="CC24" s="12">
        <v>2.4934600000000002</v>
      </c>
      <c r="CD24" s="12">
        <v>17.879000000000001</v>
      </c>
      <c r="CE24" s="12">
        <v>103.37065000000001</v>
      </c>
      <c r="CF24" s="12">
        <v>5749.085939999999</v>
      </c>
      <c r="CG24" s="12">
        <v>4356.1600399999988</v>
      </c>
      <c r="CH24" s="12">
        <v>34947.393889999985</v>
      </c>
      <c r="CI24" s="12">
        <v>56738.85149000003</v>
      </c>
      <c r="CJ24" s="12">
        <v>105.13534999999999</v>
      </c>
      <c r="CK24" s="12">
        <v>26023.775100000003</v>
      </c>
      <c r="CL24" s="12">
        <v>1400.2397100000001</v>
      </c>
      <c r="CM24" s="12">
        <v>691.678</v>
      </c>
      <c r="CN24" s="12">
        <v>7488.0962900000013</v>
      </c>
      <c r="CO24" s="12">
        <v>103.12540999999999</v>
      </c>
      <c r="CP24" s="12">
        <v>186.99966000000001</v>
      </c>
      <c r="CQ24" s="12">
        <v>1006.10463</v>
      </c>
      <c r="CR24" s="12">
        <v>15849.697</v>
      </c>
      <c r="CS24" s="12">
        <v>2864.83727</v>
      </c>
      <c r="CT24" s="12">
        <v>10089.284509999983</v>
      </c>
      <c r="CU24" s="12">
        <v>97.347519999999989</v>
      </c>
      <c r="CV24" s="12">
        <v>656.93604000000005</v>
      </c>
      <c r="CW24" s="13">
        <v>3799111.28602</v>
      </c>
      <c r="CX24" s="13">
        <v>3799111.28602</v>
      </c>
    </row>
    <row r="25" spans="1:102">
      <c r="A25" s="7">
        <f t="shared" ca="1" si="1"/>
        <v>2021</v>
      </c>
      <c r="B25" s="7">
        <f t="shared" ca="1" si="0"/>
        <v>4</v>
      </c>
      <c r="C25" s="8">
        <v>44501</v>
      </c>
      <c r="D25" s="10">
        <v>3196.9362999999998</v>
      </c>
      <c r="E25" s="10">
        <v>27618.698329999996</v>
      </c>
      <c r="F25" s="10">
        <v>11758.717310000002</v>
      </c>
      <c r="G25" s="10">
        <v>1741.8105500000004</v>
      </c>
      <c r="H25" s="10">
        <v>4120.1801500000001</v>
      </c>
      <c r="I25" s="10">
        <v>143428.16417000012</v>
      </c>
      <c r="J25" s="10">
        <v>2056.2070499999995</v>
      </c>
      <c r="K25" s="10">
        <v>125686.49162999999</v>
      </c>
      <c r="L25" s="10">
        <v>316349.68320000003</v>
      </c>
      <c r="M25" s="10">
        <v>211.0102</v>
      </c>
      <c r="N25" s="10">
        <v>5878.125250000001</v>
      </c>
      <c r="O25" s="10">
        <v>3528.78172</v>
      </c>
      <c r="P25" s="10">
        <v>179.11520000000002</v>
      </c>
      <c r="Q25" s="10">
        <v>16.535</v>
      </c>
      <c r="R25" s="10">
        <v>56959.402679999999</v>
      </c>
      <c r="S25" s="10">
        <v>3992.1530500000003</v>
      </c>
      <c r="T25" s="10">
        <v>58422.095109999987</v>
      </c>
      <c r="U25" s="10">
        <v>11620.311099999997</v>
      </c>
      <c r="V25" s="10">
        <v>13207.605230000001</v>
      </c>
      <c r="W25" s="10">
        <v>10139.083380000004</v>
      </c>
      <c r="X25" s="10">
        <v>44459.158010000006</v>
      </c>
      <c r="Y25" s="10">
        <v>4364.028900000003</v>
      </c>
      <c r="Z25" s="10">
        <v>4705.8480599999975</v>
      </c>
      <c r="AA25" s="10">
        <v>7.5069999999999997</v>
      </c>
      <c r="AB25" s="10">
        <v>2259.9181600000011</v>
      </c>
      <c r="AC25" s="10">
        <v>16259.509470000001</v>
      </c>
      <c r="AD25" s="10">
        <v>2062251.5387499996</v>
      </c>
      <c r="AE25" s="10">
        <v>13742.537540000001</v>
      </c>
      <c r="AF25" s="10">
        <v>10942.672110000003</v>
      </c>
      <c r="AG25" s="10">
        <v>33545.74134</v>
      </c>
      <c r="AH25" s="10">
        <v>9012.4433499999996</v>
      </c>
      <c r="AI25" s="10">
        <v>9677.5488299999997</v>
      </c>
      <c r="AJ25" s="10">
        <v>51921.33069000001</v>
      </c>
      <c r="AK25" s="10">
        <v>18084.329339999997</v>
      </c>
      <c r="AL25" s="10">
        <v>5551.4325100000005</v>
      </c>
      <c r="AM25" s="10">
        <v>0.76066999999999996</v>
      </c>
      <c r="AN25" s="10">
        <v>19.986319999999999</v>
      </c>
      <c r="AO25" s="10">
        <v>53128.368820000032</v>
      </c>
      <c r="AP25" s="10">
        <v>174438.70432000005</v>
      </c>
      <c r="AQ25" s="10">
        <v>10939.050020000001</v>
      </c>
      <c r="AR25" s="10">
        <v>7605.8468000000021</v>
      </c>
      <c r="AS25" s="10">
        <v>5574.6420699999981</v>
      </c>
      <c r="AT25" s="10">
        <v>692.17800999999997</v>
      </c>
      <c r="AU25" s="10">
        <v>3865.6572300000003</v>
      </c>
      <c r="AV25" s="10">
        <v>15.48823</v>
      </c>
      <c r="AW25" s="10">
        <v>180.87912999999998</v>
      </c>
      <c r="AX25" s="10">
        <v>371.2679</v>
      </c>
      <c r="AY25" s="10">
        <v>25428.39417</v>
      </c>
      <c r="AZ25" s="10">
        <v>3757.6655199999996</v>
      </c>
      <c r="BA25" s="10">
        <v>0</v>
      </c>
      <c r="BB25" s="10">
        <v>0</v>
      </c>
      <c r="BC25" s="10">
        <v>2695.7142700000004</v>
      </c>
      <c r="BD25" s="10">
        <v>272.48793999999998</v>
      </c>
      <c r="BE25" s="10">
        <v>5125.0995599999987</v>
      </c>
      <c r="BF25" s="10">
        <v>968.97935999999982</v>
      </c>
      <c r="BG25" s="10">
        <v>946.80560999999977</v>
      </c>
      <c r="BH25" s="10">
        <v>114.6658</v>
      </c>
      <c r="BI25" s="10">
        <v>1131.4416199999998</v>
      </c>
      <c r="BJ25" s="10">
        <v>3467.0215500000004</v>
      </c>
      <c r="BK25" s="10">
        <v>9856.7547100000011</v>
      </c>
      <c r="BL25" s="10">
        <v>19306.916919999996</v>
      </c>
      <c r="BM25" s="10">
        <v>32376.188129999948</v>
      </c>
      <c r="BN25" s="10">
        <v>7584.9761599999983</v>
      </c>
      <c r="BO25" s="10">
        <v>3328.7763900000014</v>
      </c>
      <c r="BP25" s="10">
        <v>1097.5648000000001</v>
      </c>
      <c r="BQ25" s="10">
        <v>183.98223000000002</v>
      </c>
      <c r="BR25" s="10">
        <v>7.8132000000000001</v>
      </c>
      <c r="BS25" s="10">
        <v>4623.1687700000002</v>
      </c>
      <c r="BT25" s="10">
        <v>7412.4307599999966</v>
      </c>
      <c r="BU25" s="10">
        <v>14700.774389999995</v>
      </c>
      <c r="BV25" s="10">
        <v>307040.19936000003</v>
      </c>
      <c r="BW25" s="10">
        <v>81324.840110000005</v>
      </c>
      <c r="BX25" s="10">
        <v>23557.650600000012</v>
      </c>
      <c r="BY25" s="10">
        <v>25872.17799</v>
      </c>
      <c r="BZ25" s="10">
        <v>8.41</v>
      </c>
      <c r="CA25" s="10">
        <v>44708.700639999974</v>
      </c>
      <c r="CB25" s="10">
        <v>4.4029399999999992</v>
      </c>
      <c r="CC25" s="10">
        <v>54.286960000000001</v>
      </c>
      <c r="CD25" s="10">
        <v>19.791900000000002</v>
      </c>
      <c r="CE25" s="10">
        <v>180.92793000000003</v>
      </c>
      <c r="CF25" s="10">
        <v>6608.6989099999992</v>
      </c>
      <c r="CG25" s="10">
        <v>3751.859190000001</v>
      </c>
      <c r="CH25" s="10">
        <v>30328.512860000024</v>
      </c>
      <c r="CI25" s="10">
        <v>60283.017699999968</v>
      </c>
      <c r="CJ25" s="10">
        <v>17.62078</v>
      </c>
      <c r="CK25" s="10">
        <v>33198.916820000006</v>
      </c>
      <c r="CL25" s="10">
        <v>4032.2780600000006</v>
      </c>
      <c r="CM25" s="10">
        <v>1567.6880000000001</v>
      </c>
      <c r="CN25" s="10">
        <v>7576.7343199999968</v>
      </c>
      <c r="CO25" s="10">
        <v>151.38415000000003</v>
      </c>
      <c r="CP25" s="10">
        <v>9.5105400000000007</v>
      </c>
      <c r="CQ25" s="10">
        <v>0</v>
      </c>
      <c r="CR25" s="10">
        <v>14537.18216</v>
      </c>
      <c r="CS25" s="10">
        <v>3246.0998400000008</v>
      </c>
      <c r="CT25" s="10">
        <v>18737.778510000004</v>
      </c>
      <c r="CU25" s="10">
        <v>257.95497999999998</v>
      </c>
      <c r="CV25" s="10">
        <v>610.94180999999992</v>
      </c>
      <c r="CW25" s="11">
        <v>4155804.6691100015</v>
      </c>
      <c r="CX25" s="11">
        <v>4155804.6691100015</v>
      </c>
    </row>
    <row r="26" spans="1:102">
      <c r="A26" s="7">
        <f t="shared" ca="1" si="1"/>
        <v>2021</v>
      </c>
      <c r="B26" s="7">
        <f t="shared" ca="1" si="0"/>
        <v>4</v>
      </c>
      <c r="C26" s="9">
        <v>44531</v>
      </c>
      <c r="D26" s="12">
        <v>26618.860370000002</v>
      </c>
      <c r="E26" s="12">
        <v>15983.783940000003</v>
      </c>
      <c r="F26" s="12">
        <v>14657.7497</v>
      </c>
      <c r="G26" s="12">
        <v>2053.3803300000009</v>
      </c>
      <c r="H26" s="12">
        <v>4807.0824699999994</v>
      </c>
      <c r="I26" s="12">
        <v>164464.75055000008</v>
      </c>
      <c r="J26" s="12">
        <v>2593.9327499999999</v>
      </c>
      <c r="K26" s="12">
        <v>90006.402320000067</v>
      </c>
      <c r="L26" s="12">
        <v>376919.19934000017</v>
      </c>
      <c r="M26" s="12">
        <v>717.7122599999999</v>
      </c>
      <c r="N26" s="12">
        <v>6267.780130000001</v>
      </c>
      <c r="O26" s="12">
        <v>4159.8985900000007</v>
      </c>
      <c r="P26" s="12">
        <v>345.08567999999997</v>
      </c>
      <c r="Q26" s="12">
        <v>39.666290000000004</v>
      </c>
      <c r="R26" s="12">
        <v>57454.78875</v>
      </c>
      <c r="S26" s="12">
        <v>2538.4087700000005</v>
      </c>
      <c r="T26" s="12">
        <v>56977.150930000025</v>
      </c>
      <c r="U26" s="12">
        <v>10711.076060000003</v>
      </c>
      <c r="V26" s="12">
        <v>16735.684260000002</v>
      </c>
      <c r="W26" s="12">
        <v>10989.784839999986</v>
      </c>
      <c r="X26" s="12">
        <v>43173.559869999983</v>
      </c>
      <c r="Y26" s="12">
        <v>4931.9262200000021</v>
      </c>
      <c r="Z26" s="12">
        <v>5406.6025600000003</v>
      </c>
      <c r="AA26" s="12">
        <v>25.002860000000002</v>
      </c>
      <c r="AB26" s="12">
        <v>2489.1660899999997</v>
      </c>
      <c r="AC26" s="12">
        <v>33684.684329999996</v>
      </c>
      <c r="AD26" s="12">
        <v>2297288.1008600001</v>
      </c>
      <c r="AE26" s="12">
        <v>11023.088469999997</v>
      </c>
      <c r="AF26" s="12">
        <v>17647.284259999997</v>
      </c>
      <c r="AG26" s="12">
        <v>44899.672569999995</v>
      </c>
      <c r="AH26" s="12">
        <v>2343.8498099999997</v>
      </c>
      <c r="AI26" s="12">
        <v>11960.352770000005</v>
      </c>
      <c r="AJ26" s="12">
        <v>49126.26787999997</v>
      </c>
      <c r="AK26" s="12">
        <v>15705.08784</v>
      </c>
      <c r="AL26" s="12">
        <v>4188.8681899999983</v>
      </c>
      <c r="AM26" s="12">
        <v>0.87660000000000005</v>
      </c>
      <c r="AN26" s="12">
        <v>18.319299999999998</v>
      </c>
      <c r="AO26" s="12">
        <v>32301.697669999983</v>
      </c>
      <c r="AP26" s="12">
        <v>189271.42822000003</v>
      </c>
      <c r="AQ26" s="12">
        <v>11607.807859999994</v>
      </c>
      <c r="AR26" s="12">
        <v>6236.679439999999</v>
      </c>
      <c r="AS26" s="12">
        <v>5626.3861999999917</v>
      </c>
      <c r="AT26" s="12">
        <v>708.01733000000013</v>
      </c>
      <c r="AU26" s="12">
        <v>4555.8671699999986</v>
      </c>
      <c r="AV26" s="12">
        <v>7.8149099999999994</v>
      </c>
      <c r="AW26" s="12">
        <v>97.786010000000005</v>
      </c>
      <c r="AX26" s="12">
        <v>498.71795000000009</v>
      </c>
      <c r="AY26" s="12">
        <v>22821.34610000001</v>
      </c>
      <c r="AZ26" s="12">
        <v>4585.3005700000003</v>
      </c>
      <c r="BA26" s="12">
        <v>0</v>
      </c>
      <c r="BB26" s="12">
        <v>0</v>
      </c>
      <c r="BC26" s="12">
        <v>2320.5179899999994</v>
      </c>
      <c r="BD26" s="12">
        <v>400.41859999999997</v>
      </c>
      <c r="BE26" s="12">
        <v>6364.6679999999997</v>
      </c>
      <c r="BF26" s="12">
        <v>1037.6052400000001</v>
      </c>
      <c r="BG26" s="12">
        <v>1696.4278999999999</v>
      </c>
      <c r="BH26" s="12">
        <v>15.439390000000001</v>
      </c>
      <c r="BI26" s="12">
        <v>1038.8228799999997</v>
      </c>
      <c r="BJ26" s="12">
        <v>3357.1772500000006</v>
      </c>
      <c r="BK26" s="12">
        <v>6349.9186200000022</v>
      </c>
      <c r="BL26" s="12">
        <v>17374.084019999973</v>
      </c>
      <c r="BM26" s="12">
        <v>32083.857659999991</v>
      </c>
      <c r="BN26" s="12">
        <v>5309.8228099999997</v>
      </c>
      <c r="BO26" s="12">
        <v>3737.19643</v>
      </c>
      <c r="BP26" s="12">
        <v>1511.9786200000001</v>
      </c>
      <c r="BQ26" s="12">
        <v>10.514800000000001</v>
      </c>
      <c r="BR26" s="12">
        <v>3.6542099999999995</v>
      </c>
      <c r="BS26" s="12">
        <v>5177.1202499999999</v>
      </c>
      <c r="BT26" s="12">
        <v>9155.3290300000062</v>
      </c>
      <c r="BU26" s="12">
        <v>18212.054499999995</v>
      </c>
      <c r="BV26" s="12">
        <v>377190.31555999996</v>
      </c>
      <c r="BW26" s="12">
        <v>77264.582319999987</v>
      </c>
      <c r="BX26" s="12">
        <v>21421.46449000002</v>
      </c>
      <c r="BY26" s="12">
        <v>33062.030310000009</v>
      </c>
      <c r="BZ26" s="12">
        <v>7.2810100000000002</v>
      </c>
      <c r="CA26" s="12">
        <v>56871.409689999986</v>
      </c>
      <c r="CB26" s="12">
        <v>112.08162</v>
      </c>
      <c r="CC26" s="12">
        <v>0.18851999999999999</v>
      </c>
      <c r="CD26" s="12">
        <v>18.48282</v>
      </c>
      <c r="CE26" s="12">
        <v>126.86157999999999</v>
      </c>
      <c r="CF26" s="12">
        <v>7400.2860100000016</v>
      </c>
      <c r="CG26" s="12">
        <v>4518.0087000000021</v>
      </c>
      <c r="CH26" s="12">
        <v>40507.278690000021</v>
      </c>
      <c r="CI26" s="12">
        <v>56650.191339999932</v>
      </c>
      <c r="CJ26" s="12">
        <v>46.734089999999995</v>
      </c>
      <c r="CK26" s="12">
        <v>27071.741750000001</v>
      </c>
      <c r="CL26" s="12">
        <v>2162.6681899999999</v>
      </c>
      <c r="CM26" s="12">
        <v>133.56049999999999</v>
      </c>
      <c r="CN26" s="12">
        <v>8779.7742900000012</v>
      </c>
      <c r="CO26" s="12">
        <v>42.160429999999991</v>
      </c>
      <c r="CP26" s="12">
        <v>2.7864400000000002</v>
      </c>
      <c r="CQ26" s="12">
        <v>3.8744999999999998</v>
      </c>
      <c r="CR26" s="12">
        <v>12589.190329999992</v>
      </c>
      <c r="CS26" s="12">
        <v>3655.1171000000004</v>
      </c>
      <c r="CT26" s="12">
        <v>11369.172529999996</v>
      </c>
      <c r="CU26" s="12">
        <v>428.01832000000002</v>
      </c>
      <c r="CV26" s="12">
        <v>685.24704999999994</v>
      </c>
      <c r="CW26" s="13">
        <v>4544550.8546200041</v>
      </c>
      <c r="CX26" s="13">
        <v>4544550.8546200041</v>
      </c>
    </row>
    <row r="27" spans="1:102">
      <c r="A27" s="7">
        <f t="shared" ca="1" si="1"/>
        <v>2022</v>
      </c>
      <c r="B27" s="7">
        <f t="shared" ca="1" si="0"/>
        <v>1</v>
      </c>
      <c r="C27" s="8">
        <v>44562</v>
      </c>
      <c r="D27" s="10">
        <v>35463.857900000003</v>
      </c>
      <c r="E27" s="10">
        <v>14720.698199999995</v>
      </c>
      <c r="F27" s="10">
        <v>9852.4882500000003</v>
      </c>
      <c r="G27" s="10">
        <v>926.37816999999984</v>
      </c>
      <c r="H27" s="10">
        <v>2913.7774799999988</v>
      </c>
      <c r="I27" s="10">
        <v>141635.11118000004</v>
      </c>
      <c r="J27" s="10">
        <v>2076.7833900000001</v>
      </c>
      <c r="K27" s="10">
        <v>100970.05946</v>
      </c>
      <c r="L27" s="10">
        <v>332201.36838000012</v>
      </c>
      <c r="M27" s="10">
        <v>46.254550000000002</v>
      </c>
      <c r="N27" s="10">
        <v>7182.3323900000005</v>
      </c>
      <c r="O27" s="10">
        <v>3074.4620800000007</v>
      </c>
      <c r="P27" s="10">
        <v>1094.6331299999999</v>
      </c>
      <c r="Q27" s="10">
        <v>110.73953</v>
      </c>
      <c r="R27" s="10">
        <v>54349.083800000037</v>
      </c>
      <c r="S27" s="10">
        <v>2143.6981600000004</v>
      </c>
      <c r="T27" s="10">
        <v>45770.915679999991</v>
      </c>
      <c r="U27" s="10">
        <v>8881.2230000000036</v>
      </c>
      <c r="V27" s="10">
        <v>8442.5835899999965</v>
      </c>
      <c r="W27" s="10">
        <v>7080.4039399999992</v>
      </c>
      <c r="X27" s="10">
        <v>27088.687360000033</v>
      </c>
      <c r="Y27" s="10">
        <v>3853.3810099999987</v>
      </c>
      <c r="Z27" s="10">
        <v>3626.32476</v>
      </c>
      <c r="AA27" s="10">
        <v>150.72499999999999</v>
      </c>
      <c r="AB27" s="10">
        <v>2301.8450499999999</v>
      </c>
      <c r="AC27" s="10">
        <v>18592.177860000003</v>
      </c>
      <c r="AD27" s="10">
        <v>2044351.9297599997</v>
      </c>
      <c r="AE27" s="10">
        <v>9492.6275400000013</v>
      </c>
      <c r="AF27" s="10">
        <v>9532.238680000004</v>
      </c>
      <c r="AG27" s="10">
        <v>24802.27975999999</v>
      </c>
      <c r="AH27" s="10">
        <v>3553.1382199999998</v>
      </c>
      <c r="AI27" s="10">
        <v>6577.4268300000012</v>
      </c>
      <c r="AJ27" s="10">
        <v>32857.634869999987</v>
      </c>
      <c r="AK27" s="10">
        <v>11923.719150000004</v>
      </c>
      <c r="AL27" s="10">
        <v>4402.7045100000005</v>
      </c>
      <c r="AM27" s="10">
        <v>0</v>
      </c>
      <c r="AN27" s="10">
        <v>0</v>
      </c>
      <c r="AO27" s="10">
        <v>31668.5056</v>
      </c>
      <c r="AP27" s="10">
        <v>166726.0600699996</v>
      </c>
      <c r="AQ27" s="10">
        <v>6710.9300600000015</v>
      </c>
      <c r="AR27" s="10">
        <v>5039.016450000001</v>
      </c>
      <c r="AS27" s="10">
        <v>3541.6709200000005</v>
      </c>
      <c r="AT27" s="10">
        <v>389.67230000000001</v>
      </c>
      <c r="AU27" s="10">
        <v>2944.2151599999993</v>
      </c>
      <c r="AV27" s="10">
        <v>1.6500000000000001E-2</v>
      </c>
      <c r="AW27" s="10">
        <v>152.10622000000001</v>
      </c>
      <c r="AX27" s="10">
        <v>220.80604</v>
      </c>
      <c r="AY27" s="10">
        <v>19264.109010000007</v>
      </c>
      <c r="AZ27" s="10">
        <v>3191.2479000000003</v>
      </c>
      <c r="BA27" s="10">
        <v>0</v>
      </c>
      <c r="BB27" s="10">
        <v>0</v>
      </c>
      <c r="BC27" s="10">
        <v>1164.0971399999999</v>
      </c>
      <c r="BD27" s="10">
        <v>144.91604999999998</v>
      </c>
      <c r="BE27" s="10">
        <v>4865.2769800000015</v>
      </c>
      <c r="BF27" s="10">
        <v>713.86572000000035</v>
      </c>
      <c r="BG27" s="10">
        <v>845.07012999999984</v>
      </c>
      <c r="BH27" s="10">
        <v>6.1634700000000002</v>
      </c>
      <c r="BI27" s="10">
        <v>546.93627000000004</v>
      </c>
      <c r="BJ27" s="10">
        <v>4533.3234699999985</v>
      </c>
      <c r="BK27" s="10">
        <v>5447.9701500000028</v>
      </c>
      <c r="BL27" s="10">
        <v>16737.305089999987</v>
      </c>
      <c r="BM27" s="10">
        <v>19308.957269999988</v>
      </c>
      <c r="BN27" s="10">
        <v>4708.7866600000007</v>
      </c>
      <c r="BO27" s="10">
        <v>1797.9400099999993</v>
      </c>
      <c r="BP27" s="10">
        <v>992.59837000000016</v>
      </c>
      <c r="BQ27" s="10">
        <v>179.70108000000002</v>
      </c>
      <c r="BR27" s="10">
        <v>8.1935000000000002</v>
      </c>
      <c r="BS27" s="10">
        <v>2575.2640599999995</v>
      </c>
      <c r="BT27" s="10">
        <v>5348.6749400000017</v>
      </c>
      <c r="BU27" s="10">
        <v>10505.932479999999</v>
      </c>
      <c r="BV27" s="10">
        <v>190348.58680000002</v>
      </c>
      <c r="BW27" s="10">
        <v>65414.487580000023</v>
      </c>
      <c r="BX27" s="10">
        <v>20189.364650000007</v>
      </c>
      <c r="BY27" s="10">
        <v>28293.202240000006</v>
      </c>
      <c r="BZ27" s="10">
        <v>0.372</v>
      </c>
      <c r="CA27" s="10">
        <v>54237.017099999968</v>
      </c>
      <c r="CB27" s="10">
        <v>989.4741499999999</v>
      </c>
      <c r="CC27" s="10">
        <v>36.756300000000003</v>
      </c>
      <c r="CD27" s="10">
        <v>3.6951000000000001</v>
      </c>
      <c r="CE27" s="10">
        <v>139.29383000000001</v>
      </c>
      <c r="CF27" s="10">
        <v>4095.188869999999</v>
      </c>
      <c r="CG27" s="10">
        <v>2989.3794999999991</v>
      </c>
      <c r="CH27" s="10">
        <v>27743.927930000002</v>
      </c>
      <c r="CI27" s="10">
        <v>40885.702060000069</v>
      </c>
      <c r="CJ27" s="10">
        <v>54.285719999999998</v>
      </c>
      <c r="CK27" s="10">
        <v>27744.821459999981</v>
      </c>
      <c r="CL27" s="10">
        <v>1922.56194</v>
      </c>
      <c r="CM27" s="10">
        <v>2903.41266</v>
      </c>
      <c r="CN27" s="10">
        <v>6524.1382699999986</v>
      </c>
      <c r="CO27" s="10">
        <v>199.39670000000001</v>
      </c>
      <c r="CP27" s="10">
        <v>1.5373400000000002</v>
      </c>
      <c r="CQ27" s="10">
        <v>0</v>
      </c>
      <c r="CR27" s="10">
        <v>10458.209020000002</v>
      </c>
      <c r="CS27" s="10">
        <v>3353.8083500000002</v>
      </c>
      <c r="CT27" s="10">
        <v>10009.150530000003</v>
      </c>
      <c r="CU27" s="10">
        <v>45.32</v>
      </c>
      <c r="CV27" s="10">
        <v>703.10092000000009</v>
      </c>
      <c r="CW27" s="11">
        <v>3801609.2127099987</v>
      </c>
      <c r="CX27" s="11">
        <v>3801609.2127099987</v>
      </c>
    </row>
    <row r="28" spans="1:102">
      <c r="A28" s="7">
        <f t="shared" ca="1" si="1"/>
        <v>2022</v>
      </c>
      <c r="B28" s="7">
        <f t="shared" ca="1" si="0"/>
        <v>1</v>
      </c>
      <c r="C28" s="9">
        <v>44593</v>
      </c>
      <c r="D28" s="12">
        <v>33618.497360000001</v>
      </c>
      <c r="E28" s="12">
        <v>14824.723470000003</v>
      </c>
      <c r="F28" s="12">
        <v>10455.145450000004</v>
      </c>
      <c r="G28" s="12">
        <v>962.81286999999998</v>
      </c>
      <c r="H28" s="12">
        <v>4264.1285499999994</v>
      </c>
      <c r="I28" s="12">
        <v>259746.60693000021</v>
      </c>
      <c r="J28" s="12">
        <v>2605.3555099999994</v>
      </c>
      <c r="K28" s="12">
        <v>123090.82691999995</v>
      </c>
      <c r="L28" s="12">
        <v>383477.49781000009</v>
      </c>
      <c r="M28" s="12">
        <v>1059.46632</v>
      </c>
      <c r="N28" s="12">
        <v>4976.4542899999997</v>
      </c>
      <c r="O28" s="12">
        <v>4810.1077100000002</v>
      </c>
      <c r="P28" s="12">
        <v>40.704560000000001</v>
      </c>
      <c r="Q28" s="12">
        <v>6.75129</v>
      </c>
      <c r="R28" s="12">
        <v>89770.388719999988</v>
      </c>
      <c r="S28" s="12">
        <v>3773.5749599999999</v>
      </c>
      <c r="T28" s="12">
        <v>42565.275990000038</v>
      </c>
      <c r="U28" s="12">
        <v>10105.177879999999</v>
      </c>
      <c r="V28" s="12">
        <v>13264.083449999998</v>
      </c>
      <c r="W28" s="12">
        <v>9164.000570000002</v>
      </c>
      <c r="X28" s="12">
        <v>38796.78557</v>
      </c>
      <c r="Y28" s="12">
        <v>2470.4484700000003</v>
      </c>
      <c r="Z28" s="12">
        <v>3741.9968900000008</v>
      </c>
      <c r="AA28" s="12">
        <v>38.970800000000004</v>
      </c>
      <c r="AB28" s="12">
        <v>1653.5384799999997</v>
      </c>
      <c r="AC28" s="12">
        <v>8269.4317899999987</v>
      </c>
      <c r="AD28" s="12">
        <v>1992883.22743</v>
      </c>
      <c r="AE28" s="12">
        <v>12203.903869999995</v>
      </c>
      <c r="AF28" s="12">
        <v>12983.237760000009</v>
      </c>
      <c r="AG28" s="12">
        <v>30476.691910000001</v>
      </c>
      <c r="AH28" s="12">
        <v>5903.3428100000001</v>
      </c>
      <c r="AI28" s="12">
        <v>10604.579269999998</v>
      </c>
      <c r="AJ28" s="12">
        <v>41251.143069999991</v>
      </c>
      <c r="AK28" s="12">
        <v>17792.446970000015</v>
      </c>
      <c r="AL28" s="12">
        <v>3952.7464200000018</v>
      </c>
      <c r="AM28" s="12">
        <v>0</v>
      </c>
      <c r="AN28" s="12">
        <v>20.391500000000001</v>
      </c>
      <c r="AO28" s="12">
        <v>38746.201730000001</v>
      </c>
      <c r="AP28" s="12">
        <v>175293.44455000022</v>
      </c>
      <c r="AQ28" s="12">
        <v>8973.6303800000023</v>
      </c>
      <c r="AR28" s="12">
        <v>3944.2586000000006</v>
      </c>
      <c r="AS28" s="12">
        <v>4396.3303999999998</v>
      </c>
      <c r="AT28" s="12">
        <v>528.39931999999999</v>
      </c>
      <c r="AU28" s="12">
        <v>3280.7335300000004</v>
      </c>
      <c r="AV28" s="12">
        <v>23.2593</v>
      </c>
      <c r="AW28" s="12">
        <v>111.54876000000002</v>
      </c>
      <c r="AX28" s="12">
        <v>265.04419000000001</v>
      </c>
      <c r="AY28" s="12">
        <v>25121.437429999987</v>
      </c>
      <c r="AZ28" s="12">
        <v>3246.622879999999</v>
      </c>
      <c r="BA28" s="12"/>
      <c r="BB28" s="12"/>
      <c r="BC28" s="12">
        <v>1498.5023599999995</v>
      </c>
      <c r="BD28" s="12">
        <v>144.42404000000002</v>
      </c>
      <c r="BE28" s="12">
        <v>5370.5430500000084</v>
      </c>
      <c r="BF28" s="12">
        <v>642.33595999999977</v>
      </c>
      <c r="BG28" s="12">
        <v>1377.0064200000002</v>
      </c>
      <c r="BH28" s="12">
        <v>97.515439999999998</v>
      </c>
      <c r="BI28" s="12">
        <v>1130.0709099999999</v>
      </c>
      <c r="BJ28" s="12">
        <v>3761.2713300000019</v>
      </c>
      <c r="BK28" s="12">
        <v>6196.1876600000014</v>
      </c>
      <c r="BL28" s="12">
        <v>17408.057929999992</v>
      </c>
      <c r="BM28" s="12">
        <v>23502.199640000003</v>
      </c>
      <c r="BN28" s="12">
        <v>7975.0139199999985</v>
      </c>
      <c r="BO28" s="12">
        <v>2691.9245500000006</v>
      </c>
      <c r="BP28" s="12">
        <v>1107.41885</v>
      </c>
      <c r="BQ28" s="12">
        <v>179.68313999999998</v>
      </c>
      <c r="BR28" s="12">
        <v>1.92</v>
      </c>
      <c r="BS28" s="12">
        <v>4665.1092099999996</v>
      </c>
      <c r="BT28" s="12">
        <v>8134.828379999999</v>
      </c>
      <c r="BU28" s="12">
        <v>11106.99821</v>
      </c>
      <c r="BV28" s="12">
        <v>268881.4629199999</v>
      </c>
      <c r="BW28" s="12">
        <v>65957.668089999992</v>
      </c>
      <c r="BX28" s="12">
        <v>21752.100049999983</v>
      </c>
      <c r="BY28" s="12">
        <v>29177.567089999997</v>
      </c>
      <c r="BZ28" s="12">
        <v>23.850580000000001</v>
      </c>
      <c r="CA28" s="12">
        <v>60344.880539999991</v>
      </c>
      <c r="CB28" s="12">
        <v>367.53916000000004</v>
      </c>
      <c r="CC28" s="12">
        <v>0.10009</v>
      </c>
      <c r="CD28" s="12">
        <v>18.804599999999997</v>
      </c>
      <c r="CE28" s="12">
        <v>80.253160000000008</v>
      </c>
      <c r="CF28" s="12">
        <v>5583.4793000000009</v>
      </c>
      <c r="CG28" s="12">
        <v>3638.3216200000011</v>
      </c>
      <c r="CH28" s="12">
        <v>36936.305830000005</v>
      </c>
      <c r="CI28" s="12">
        <v>54444.985909999901</v>
      </c>
      <c r="CJ28" s="12">
        <v>37.264009999999999</v>
      </c>
      <c r="CK28" s="12">
        <v>26173.35962000001</v>
      </c>
      <c r="CL28" s="12">
        <v>33199.426950000001</v>
      </c>
      <c r="CM28" s="12">
        <v>1485.5566400000002</v>
      </c>
      <c r="CN28" s="12">
        <v>10000.046719999998</v>
      </c>
      <c r="CO28" s="12">
        <v>71.225889999999978</v>
      </c>
      <c r="CP28" s="12">
        <v>1.3420000000000001</v>
      </c>
      <c r="CQ28" s="12">
        <v>77.333199999999991</v>
      </c>
      <c r="CR28" s="12">
        <v>14515.212610000002</v>
      </c>
      <c r="CS28" s="12">
        <v>3204.5100699999994</v>
      </c>
      <c r="CT28" s="12">
        <v>14638.460620000005</v>
      </c>
      <c r="CU28" s="12">
        <v>1334.7672</v>
      </c>
      <c r="CV28" s="12">
        <v>705.63641999999993</v>
      </c>
      <c r="CW28" s="13">
        <v>4209197.8465799978</v>
      </c>
      <c r="CX28" s="13">
        <v>4209197.8465799978</v>
      </c>
    </row>
    <row r="29" spans="1:102">
      <c r="A29" s="7">
        <f t="shared" ca="1" si="1"/>
        <v>2022</v>
      </c>
      <c r="B29" s="7">
        <f t="shared" ca="1" si="0"/>
        <v>1</v>
      </c>
      <c r="C29" s="8">
        <v>44621</v>
      </c>
      <c r="D29" s="10">
        <v>50298.778259999999</v>
      </c>
      <c r="E29" s="10">
        <v>15923.364090000001</v>
      </c>
      <c r="F29" s="10">
        <v>9864.1440299999995</v>
      </c>
      <c r="G29" s="10">
        <v>1347.8424500000003</v>
      </c>
      <c r="H29" s="10">
        <v>6454.2205199999999</v>
      </c>
      <c r="I29" s="10">
        <v>223653.3834499997</v>
      </c>
      <c r="J29" s="10">
        <v>2758.2885700000002</v>
      </c>
      <c r="K29" s="10">
        <v>104377.56981999995</v>
      </c>
      <c r="L29" s="10">
        <v>412235.76778000005</v>
      </c>
      <c r="M29" s="10">
        <v>779.62386000000004</v>
      </c>
      <c r="N29" s="10">
        <v>6510.4850500000011</v>
      </c>
      <c r="O29" s="10">
        <v>3844.3992600000006</v>
      </c>
      <c r="P29" s="10">
        <v>909.38925000000006</v>
      </c>
      <c r="Q29" s="10">
        <v>216.30581000000001</v>
      </c>
      <c r="R29" s="10">
        <v>97269.910679999972</v>
      </c>
      <c r="S29" s="10">
        <v>2088.1544400000002</v>
      </c>
      <c r="T29" s="10">
        <v>54624.164050000007</v>
      </c>
      <c r="U29" s="10">
        <v>11870.717399999996</v>
      </c>
      <c r="V29" s="10">
        <v>16915.210070000001</v>
      </c>
      <c r="W29" s="10">
        <v>12590.734160000011</v>
      </c>
      <c r="X29" s="10">
        <v>51191.885919999993</v>
      </c>
      <c r="Y29" s="10">
        <v>4307.5538099999994</v>
      </c>
      <c r="Z29" s="10">
        <v>5521.5523400000011</v>
      </c>
      <c r="AA29" s="10">
        <v>214.35377</v>
      </c>
      <c r="AB29" s="10">
        <v>2205.9566099999997</v>
      </c>
      <c r="AC29" s="10">
        <v>20298.580129999998</v>
      </c>
      <c r="AD29" s="10">
        <v>2452788.7894199966</v>
      </c>
      <c r="AE29" s="10">
        <v>16709.617559999999</v>
      </c>
      <c r="AF29" s="10">
        <v>15544.767620000001</v>
      </c>
      <c r="AG29" s="10">
        <v>36427.95140999998</v>
      </c>
      <c r="AH29" s="10">
        <v>5815.6496500000003</v>
      </c>
      <c r="AI29" s="10">
        <v>10995.632239999994</v>
      </c>
      <c r="AJ29" s="10">
        <v>46613.350949999949</v>
      </c>
      <c r="AK29" s="10">
        <v>19436.899559999994</v>
      </c>
      <c r="AL29" s="10">
        <v>4750.4420800000007</v>
      </c>
      <c r="AM29" s="10">
        <v>2.2820100000000001</v>
      </c>
      <c r="AN29" s="10">
        <v>71.908129999999986</v>
      </c>
      <c r="AO29" s="10">
        <v>48098.201170000044</v>
      </c>
      <c r="AP29" s="10">
        <v>200651.77404000013</v>
      </c>
      <c r="AQ29" s="10">
        <v>10362.68382</v>
      </c>
      <c r="AR29" s="10">
        <v>5181.6531399999985</v>
      </c>
      <c r="AS29" s="10">
        <v>5901.4169499999998</v>
      </c>
      <c r="AT29" s="10">
        <v>891.61248000000001</v>
      </c>
      <c r="AU29" s="10">
        <v>4228.5379199999988</v>
      </c>
      <c r="AV29" s="10">
        <v>105.95230000000001</v>
      </c>
      <c r="AW29" s="10">
        <v>94.911420000000007</v>
      </c>
      <c r="AX29" s="10">
        <v>184.39576</v>
      </c>
      <c r="AY29" s="10">
        <v>32181.455560000035</v>
      </c>
      <c r="AZ29" s="10">
        <v>3227.977370000001</v>
      </c>
      <c r="BA29" s="10">
        <v>0.14784999999999998</v>
      </c>
      <c r="BB29" s="10">
        <v>15.997399999999999</v>
      </c>
      <c r="BC29" s="10">
        <v>2146.723559999999</v>
      </c>
      <c r="BD29" s="10">
        <v>82.44623</v>
      </c>
      <c r="BE29" s="10">
        <v>7381.2225999999937</v>
      </c>
      <c r="BF29" s="10">
        <v>1336.86142</v>
      </c>
      <c r="BG29" s="10">
        <v>1073.6161100000002</v>
      </c>
      <c r="BH29" s="10">
        <v>59.411459999999998</v>
      </c>
      <c r="BI29" s="10">
        <v>1439.6705799999995</v>
      </c>
      <c r="BJ29" s="10">
        <v>5030.4071399999993</v>
      </c>
      <c r="BK29" s="10">
        <v>5353.5417100000022</v>
      </c>
      <c r="BL29" s="10">
        <v>20784.97060000003</v>
      </c>
      <c r="BM29" s="10">
        <v>32558.806029999978</v>
      </c>
      <c r="BN29" s="10">
        <v>9220.3302700000077</v>
      </c>
      <c r="BO29" s="10">
        <v>3920.2739799999995</v>
      </c>
      <c r="BP29" s="10">
        <v>1247.1036199999999</v>
      </c>
      <c r="BQ29" s="10">
        <v>3.9330500000000002</v>
      </c>
      <c r="BR29" s="10">
        <v>4.3362700000000007</v>
      </c>
      <c r="BS29" s="10">
        <v>4848.8003900000012</v>
      </c>
      <c r="BT29" s="10">
        <v>7768.5306800000008</v>
      </c>
      <c r="BU29" s="10">
        <v>14673.965140000004</v>
      </c>
      <c r="BV29" s="10">
        <v>251884.17683999991</v>
      </c>
      <c r="BW29" s="10">
        <v>70376.465420000008</v>
      </c>
      <c r="BX29" s="10">
        <v>27777.036429999986</v>
      </c>
      <c r="BY29" s="10">
        <v>27195.25474</v>
      </c>
      <c r="BZ29" s="10">
        <v>33.777389999999997</v>
      </c>
      <c r="CA29" s="10">
        <v>59430.669160000056</v>
      </c>
      <c r="CB29" s="10">
        <v>0</v>
      </c>
      <c r="CC29" s="10">
        <v>58.231770000000004</v>
      </c>
      <c r="CD29" s="10">
        <v>25.630020000000002</v>
      </c>
      <c r="CE29" s="10">
        <v>288.44405999999998</v>
      </c>
      <c r="CF29" s="10">
        <v>7156.1760400000012</v>
      </c>
      <c r="CG29" s="10">
        <v>5292.6290899999995</v>
      </c>
      <c r="CH29" s="10">
        <v>44192.709410000018</v>
      </c>
      <c r="CI29" s="10">
        <v>52178.455120000057</v>
      </c>
      <c r="CJ29" s="10">
        <v>405.59235000000001</v>
      </c>
      <c r="CK29" s="10">
        <v>31608.999980000019</v>
      </c>
      <c r="CL29" s="10">
        <v>1446.0192299999997</v>
      </c>
      <c r="CM29" s="10">
        <v>182.28110000000001</v>
      </c>
      <c r="CN29" s="10">
        <v>10710.19037</v>
      </c>
      <c r="CO29" s="10">
        <v>41.704319999999996</v>
      </c>
      <c r="CP29" s="10">
        <v>9.101999999999999E-2</v>
      </c>
      <c r="CQ29" s="10">
        <v>61.585000000000001</v>
      </c>
      <c r="CR29" s="10">
        <v>15013.80962</v>
      </c>
      <c r="CS29" s="10">
        <v>2960.6089500000007</v>
      </c>
      <c r="CT29" s="10">
        <v>13465.724559999999</v>
      </c>
      <c r="CU29" s="10">
        <v>111.76576</v>
      </c>
      <c r="CV29" s="10">
        <v>820.35006999999996</v>
      </c>
      <c r="CW29" s="11">
        <v>4780209.6720499974</v>
      </c>
      <c r="CX29" s="11">
        <v>4780209.6720499974</v>
      </c>
    </row>
    <row r="30" spans="1:102">
      <c r="A30" s="7">
        <f t="shared" ca="1" si="1"/>
        <v>2022</v>
      </c>
      <c r="B30" s="7">
        <f t="shared" ca="1" si="0"/>
        <v>2</v>
      </c>
      <c r="C30" s="9">
        <v>44652</v>
      </c>
      <c r="D30" s="12">
        <v>32387.660879999999</v>
      </c>
      <c r="E30" s="12">
        <v>7448.1018800000011</v>
      </c>
      <c r="F30" s="12">
        <v>11282.255140000003</v>
      </c>
      <c r="G30" s="12">
        <v>1330.0704600000001</v>
      </c>
      <c r="H30" s="12">
        <v>4744.31297</v>
      </c>
      <c r="I30" s="12">
        <v>188739.85654999997</v>
      </c>
      <c r="J30" s="12">
        <v>2473.3797999999992</v>
      </c>
      <c r="K30" s="12">
        <v>145770.97531000018</v>
      </c>
      <c r="L30" s="12">
        <v>327940.15147999994</v>
      </c>
      <c r="M30" s="12">
        <v>120.82649000000001</v>
      </c>
      <c r="N30" s="12">
        <v>7640.9538300000004</v>
      </c>
      <c r="O30" s="12">
        <v>3852.0877100000002</v>
      </c>
      <c r="P30" s="12">
        <v>125.36203000000002</v>
      </c>
      <c r="Q30" s="12">
        <v>149.49734000000001</v>
      </c>
      <c r="R30" s="12">
        <v>178114.52790000007</v>
      </c>
      <c r="S30" s="12">
        <v>1860.7354100000002</v>
      </c>
      <c r="T30" s="12">
        <v>56716.467379999995</v>
      </c>
      <c r="U30" s="12">
        <v>8392.6435000000019</v>
      </c>
      <c r="V30" s="12">
        <v>13446.794809999998</v>
      </c>
      <c r="W30" s="12">
        <v>11209.966140000004</v>
      </c>
      <c r="X30" s="12">
        <v>32289.570549999997</v>
      </c>
      <c r="Y30" s="12">
        <v>3573.5184599999993</v>
      </c>
      <c r="Z30" s="12">
        <v>5633.9959600000002</v>
      </c>
      <c r="AA30" s="12">
        <v>309.06252000000001</v>
      </c>
      <c r="AB30" s="12">
        <v>1878.95697</v>
      </c>
      <c r="AC30" s="12">
        <v>5884.8338300000005</v>
      </c>
      <c r="AD30" s="12">
        <v>3271666.6873199996</v>
      </c>
      <c r="AE30" s="12">
        <v>9296.1158200000045</v>
      </c>
      <c r="AF30" s="12">
        <v>15829.211069999992</v>
      </c>
      <c r="AG30" s="12">
        <v>31097.241170000008</v>
      </c>
      <c r="AH30" s="12">
        <v>6741.4445900000001</v>
      </c>
      <c r="AI30" s="12">
        <v>9221.7049100000004</v>
      </c>
      <c r="AJ30" s="12">
        <v>40076.919329999997</v>
      </c>
      <c r="AK30" s="12">
        <v>18985.595540000006</v>
      </c>
      <c r="AL30" s="12">
        <v>3911.9356999999995</v>
      </c>
      <c r="AM30" s="12">
        <v>2.6150000000000002</v>
      </c>
      <c r="AN30" s="12">
        <v>12.176929999999999</v>
      </c>
      <c r="AO30" s="12">
        <v>41019.744559999999</v>
      </c>
      <c r="AP30" s="12">
        <v>144260.89375999972</v>
      </c>
      <c r="AQ30" s="12">
        <v>8416.2325400000027</v>
      </c>
      <c r="AR30" s="12">
        <v>5343.1060700000007</v>
      </c>
      <c r="AS30" s="12">
        <v>4567.7096200000005</v>
      </c>
      <c r="AT30" s="12">
        <v>726.44050000000004</v>
      </c>
      <c r="AU30" s="12">
        <v>4456.1181899999983</v>
      </c>
      <c r="AV30" s="12">
        <v>9.5235700000000012</v>
      </c>
      <c r="AW30" s="12">
        <v>117.5414</v>
      </c>
      <c r="AX30" s="12">
        <v>137.41927000000001</v>
      </c>
      <c r="AY30" s="12">
        <v>30487.800839999971</v>
      </c>
      <c r="AZ30" s="12">
        <v>2289.8807399999996</v>
      </c>
      <c r="BA30" s="12">
        <v>0</v>
      </c>
      <c r="BB30" s="12">
        <v>11.172000000000001</v>
      </c>
      <c r="BC30" s="12">
        <v>2152.4411300000006</v>
      </c>
      <c r="BD30" s="12">
        <v>43.787869999999998</v>
      </c>
      <c r="BE30" s="12">
        <v>6109.5141200000025</v>
      </c>
      <c r="BF30" s="12">
        <v>1152.7556599999996</v>
      </c>
      <c r="BG30" s="12">
        <v>1188.4827400000001</v>
      </c>
      <c r="BH30" s="12">
        <v>112.04301</v>
      </c>
      <c r="BI30" s="12">
        <v>1115.6792400000002</v>
      </c>
      <c r="BJ30" s="12">
        <v>3777.5333100000007</v>
      </c>
      <c r="BK30" s="12">
        <v>5800.617839999999</v>
      </c>
      <c r="BL30" s="12">
        <v>17250.094800000017</v>
      </c>
      <c r="BM30" s="12">
        <v>24863.542590000012</v>
      </c>
      <c r="BN30" s="12">
        <v>6155.7367299999987</v>
      </c>
      <c r="BO30" s="12">
        <v>3552.5740499999988</v>
      </c>
      <c r="BP30" s="12">
        <v>1128.9876499999993</v>
      </c>
      <c r="BQ30" s="12">
        <v>14.84529</v>
      </c>
      <c r="BR30" s="12">
        <v>3.8592599999999999</v>
      </c>
      <c r="BS30" s="12">
        <v>4372.3238600000013</v>
      </c>
      <c r="BT30" s="12">
        <v>7062.5197599999974</v>
      </c>
      <c r="BU30" s="12">
        <v>15590.290639999999</v>
      </c>
      <c r="BV30" s="12">
        <v>255165.97742999997</v>
      </c>
      <c r="BW30" s="12">
        <v>121676.04161999999</v>
      </c>
      <c r="BX30" s="12">
        <v>24853.841359999999</v>
      </c>
      <c r="BY30" s="12">
        <v>31232.496730000006</v>
      </c>
      <c r="BZ30" s="12">
        <v>17.330659999999998</v>
      </c>
      <c r="CA30" s="12">
        <v>56880.785200000013</v>
      </c>
      <c r="CB30" s="12">
        <v>0</v>
      </c>
      <c r="CC30" s="12">
        <v>0</v>
      </c>
      <c r="CD30" s="12">
        <v>0</v>
      </c>
      <c r="CE30" s="12">
        <v>91.291080000000008</v>
      </c>
      <c r="CF30" s="12">
        <v>5042.3994000000002</v>
      </c>
      <c r="CG30" s="12">
        <v>3671.9326300000016</v>
      </c>
      <c r="CH30" s="12">
        <v>33247.785179999977</v>
      </c>
      <c r="CI30" s="12">
        <v>52566.995770000052</v>
      </c>
      <c r="CJ30" s="12">
        <v>136.91332999999997</v>
      </c>
      <c r="CK30" s="12">
        <v>31849.031129999999</v>
      </c>
      <c r="CL30" s="12">
        <v>3081.3937599999999</v>
      </c>
      <c r="CM30" s="12">
        <v>259.31200000000001</v>
      </c>
      <c r="CN30" s="12">
        <v>8614.6235299999953</v>
      </c>
      <c r="CO30" s="12">
        <v>46.385710000000003</v>
      </c>
      <c r="CP30" s="12">
        <v>0</v>
      </c>
      <c r="CQ30" s="12">
        <v>1759.8623799999998</v>
      </c>
      <c r="CR30" s="12">
        <v>11772.762929999988</v>
      </c>
      <c r="CS30" s="12">
        <v>3838.2275100000002</v>
      </c>
      <c r="CT30" s="12">
        <v>10397.139749999998</v>
      </c>
      <c r="CU30" s="12">
        <v>20.559660000000001</v>
      </c>
      <c r="CV30" s="12">
        <v>858.80029000000002</v>
      </c>
      <c r="CW30" s="13">
        <v>5460531.3143300004</v>
      </c>
      <c r="CX30" s="13">
        <v>5460531.3143300004</v>
      </c>
    </row>
    <row r="31" spans="1:102">
      <c r="A31" s="7">
        <f t="shared" ca="1" si="1"/>
        <v>2022</v>
      </c>
      <c r="B31" s="7">
        <f t="shared" ca="1" si="0"/>
        <v>2</v>
      </c>
      <c r="C31" s="8">
        <v>44682</v>
      </c>
      <c r="D31" s="10">
        <v>36362.940769999994</v>
      </c>
      <c r="E31" s="10">
        <v>15432.363609999999</v>
      </c>
      <c r="F31" s="10">
        <v>12410.43751</v>
      </c>
      <c r="G31" s="10">
        <v>2071.9969999999998</v>
      </c>
      <c r="H31" s="10">
        <v>4066.2498500000006</v>
      </c>
      <c r="I31" s="10">
        <v>253341.50513000012</v>
      </c>
      <c r="J31" s="10">
        <v>2383.3416200000006</v>
      </c>
      <c r="K31" s="10">
        <v>133735.35306999998</v>
      </c>
      <c r="L31" s="10">
        <v>275625.67203999986</v>
      </c>
      <c r="M31" s="10">
        <v>456.08751000000001</v>
      </c>
      <c r="N31" s="10">
        <v>8521.7152299999962</v>
      </c>
      <c r="O31" s="10">
        <v>4373.0872200000003</v>
      </c>
      <c r="P31" s="10">
        <v>144.45180999999999</v>
      </c>
      <c r="Q31" s="10">
        <v>121.33607000000001</v>
      </c>
      <c r="R31" s="10">
        <v>135447.29810000001</v>
      </c>
      <c r="S31" s="10">
        <v>2517.5654500000001</v>
      </c>
      <c r="T31" s="10">
        <v>44781.769170000029</v>
      </c>
      <c r="U31" s="10">
        <v>10578.73532</v>
      </c>
      <c r="V31" s="10">
        <v>15463.737800000001</v>
      </c>
      <c r="W31" s="10">
        <v>11312.459410000003</v>
      </c>
      <c r="X31" s="10">
        <v>48354.129219999981</v>
      </c>
      <c r="Y31" s="10">
        <v>5016.6037399999996</v>
      </c>
      <c r="Z31" s="10">
        <v>5230.2013899999974</v>
      </c>
      <c r="AA31" s="10">
        <v>1349.0733000000002</v>
      </c>
      <c r="AB31" s="10">
        <v>2194.8229000000006</v>
      </c>
      <c r="AC31" s="10">
        <v>17786.867269999999</v>
      </c>
      <c r="AD31" s="10">
        <v>2398280.8883200004</v>
      </c>
      <c r="AE31" s="10">
        <v>20769.357200000006</v>
      </c>
      <c r="AF31" s="10">
        <v>16783.911979999993</v>
      </c>
      <c r="AG31" s="10">
        <v>33951.301180000009</v>
      </c>
      <c r="AH31" s="10">
        <v>19505.495079999997</v>
      </c>
      <c r="AI31" s="10">
        <v>11024.556449999985</v>
      </c>
      <c r="AJ31" s="10">
        <v>44844.060490000025</v>
      </c>
      <c r="AK31" s="10">
        <v>19136.462070000001</v>
      </c>
      <c r="AL31" s="10">
        <v>4165.5205600000008</v>
      </c>
      <c r="AM31" s="10">
        <v>0.438</v>
      </c>
      <c r="AN31" s="10">
        <v>47.163940000000004</v>
      </c>
      <c r="AO31" s="10">
        <v>43734.015079999997</v>
      </c>
      <c r="AP31" s="10">
        <v>172291.07494999986</v>
      </c>
      <c r="AQ31" s="10">
        <v>9316.2744199999979</v>
      </c>
      <c r="AR31" s="10">
        <v>3967.1582599999992</v>
      </c>
      <c r="AS31" s="10">
        <v>5645.9378499999984</v>
      </c>
      <c r="AT31" s="10">
        <v>460.13074999999998</v>
      </c>
      <c r="AU31" s="10">
        <v>4588.6154000000006</v>
      </c>
      <c r="AV31" s="10">
        <v>0.86232999999999993</v>
      </c>
      <c r="AW31" s="10">
        <v>105.52217</v>
      </c>
      <c r="AX31" s="10">
        <v>236.55095</v>
      </c>
      <c r="AY31" s="10">
        <v>34471.133199999982</v>
      </c>
      <c r="AZ31" s="10">
        <v>3710.7714300000007</v>
      </c>
      <c r="BA31" s="10">
        <v>0</v>
      </c>
      <c r="BB31" s="10">
        <v>0.90946000000000005</v>
      </c>
      <c r="BC31" s="10">
        <v>1668.5276399999996</v>
      </c>
      <c r="BD31" s="10">
        <v>61.07864</v>
      </c>
      <c r="BE31" s="10">
        <v>6074.5214800000031</v>
      </c>
      <c r="BF31" s="10">
        <v>1117.1751100000001</v>
      </c>
      <c r="BG31" s="10">
        <v>1028.8797300000001</v>
      </c>
      <c r="BH31" s="10">
        <v>243.42105000000001</v>
      </c>
      <c r="BI31" s="10">
        <v>1346.8772799999997</v>
      </c>
      <c r="BJ31" s="10">
        <v>4175.5802300000005</v>
      </c>
      <c r="BK31" s="10">
        <v>6378.8186500000047</v>
      </c>
      <c r="BL31" s="10">
        <v>18967.357820000016</v>
      </c>
      <c r="BM31" s="10">
        <v>28102.332490000012</v>
      </c>
      <c r="BN31" s="10">
        <v>6610.4072699999988</v>
      </c>
      <c r="BO31" s="10">
        <v>3535.1317599999998</v>
      </c>
      <c r="BP31" s="10">
        <v>1020.5085800000001</v>
      </c>
      <c r="BQ31" s="10">
        <v>62.241510000000012</v>
      </c>
      <c r="BR31" s="10">
        <v>7.85114</v>
      </c>
      <c r="BS31" s="10">
        <v>5166.2703299999976</v>
      </c>
      <c r="BT31" s="10">
        <v>8372.6737899999989</v>
      </c>
      <c r="BU31" s="10">
        <v>12148.451570000003</v>
      </c>
      <c r="BV31" s="10">
        <v>275799.48554999992</v>
      </c>
      <c r="BW31" s="10">
        <v>89580.639460000006</v>
      </c>
      <c r="BX31" s="10">
        <v>20316.870289999977</v>
      </c>
      <c r="BY31" s="10">
        <v>33184.547039999983</v>
      </c>
      <c r="BZ31" s="10">
        <v>0</v>
      </c>
      <c r="CA31" s="10">
        <v>68548.004720000012</v>
      </c>
      <c r="CB31" s="10">
        <v>9.9143999999999988</v>
      </c>
      <c r="CC31" s="10">
        <v>2.1349999999999998</v>
      </c>
      <c r="CD31" s="10">
        <v>20.532259999999997</v>
      </c>
      <c r="CE31" s="10">
        <v>165.66502</v>
      </c>
      <c r="CF31" s="10">
        <v>6112.7869800000035</v>
      </c>
      <c r="CG31" s="10">
        <v>4343.2193299999981</v>
      </c>
      <c r="CH31" s="10">
        <v>40260.069980000073</v>
      </c>
      <c r="CI31" s="10">
        <v>47537.864030000084</v>
      </c>
      <c r="CJ31" s="10">
        <v>163.03008</v>
      </c>
      <c r="CK31" s="10">
        <v>23434.06266999997</v>
      </c>
      <c r="CL31" s="10">
        <v>3928.67938</v>
      </c>
      <c r="CM31" s="10">
        <v>1296.4726599999999</v>
      </c>
      <c r="CN31" s="10">
        <v>8448.3159799999921</v>
      </c>
      <c r="CO31" s="10">
        <v>113.05220999999999</v>
      </c>
      <c r="CP31" s="10">
        <v>1.8914600000000001</v>
      </c>
      <c r="CQ31" s="10">
        <v>0</v>
      </c>
      <c r="CR31" s="10">
        <v>16581.13048</v>
      </c>
      <c r="CS31" s="10">
        <v>3218.9321199999995</v>
      </c>
      <c r="CT31" s="10">
        <v>15653.664569999994</v>
      </c>
      <c r="CU31" s="10">
        <v>1016.215</v>
      </c>
      <c r="CV31" s="10">
        <v>577.3440599999999</v>
      </c>
      <c r="CW31" s="11">
        <v>4662520.5438299999</v>
      </c>
      <c r="CX31" s="11">
        <v>4662520.5438299999</v>
      </c>
    </row>
    <row r="32" spans="1:102">
      <c r="A32" s="7">
        <f t="shared" ca="1" si="1"/>
        <v>2022</v>
      </c>
      <c r="B32" s="7">
        <f t="shared" ca="1" si="0"/>
        <v>2</v>
      </c>
      <c r="C32" s="9">
        <v>44713</v>
      </c>
      <c r="D32" s="12">
        <v>15047.712140000001</v>
      </c>
      <c r="E32" s="12">
        <v>12134.224379999998</v>
      </c>
      <c r="F32" s="12">
        <v>10960.112909999998</v>
      </c>
      <c r="G32" s="12">
        <v>1583.0493700000004</v>
      </c>
      <c r="H32" s="12">
        <v>5122.1849700000002</v>
      </c>
      <c r="I32" s="12">
        <v>174915.13851000028</v>
      </c>
      <c r="J32" s="12">
        <v>1789.5850300000006</v>
      </c>
      <c r="K32" s="12">
        <v>154499.18779000017</v>
      </c>
      <c r="L32" s="12">
        <v>369007.84152000007</v>
      </c>
      <c r="M32" s="12">
        <v>60.909109999999998</v>
      </c>
      <c r="N32" s="12">
        <v>8775.8615000000009</v>
      </c>
      <c r="O32" s="12">
        <v>2887.3609100000003</v>
      </c>
      <c r="P32" s="12">
        <v>1489.5809100000001</v>
      </c>
      <c r="Q32" s="12">
        <v>112.02041</v>
      </c>
      <c r="R32" s="12">
        <v>140203.89658999996</v>
      </c>
      <c r="S32" s="12">
        <v>1014.7196899999999</v>
      </c>
      <c r="T32" s="12">
        <v>48652.442410000003</v>
      </c>
      <c r="U32" s="12">
        <v>11982.966700000006</v>
      </c>
      <c r="V32" s="12">
        <v>18131.832879999998</v>
      </c>
      <c r="W32" s="12">
        <v>14436.711640000001</v>
      </c>
      <c r="X32" s="12">
        <v>50283.783740000028</v>
      </c>
      <c r="Y32" s="12">
        <v>5341.15942</v>
      </c>
      <c r="Z32" s="12">
        <v>6709.0206799999996</v>
      </c>
      <c r="AA32" s="12">
        <v>1502.8469599999999</v>
      </c>
      <c r="AB32" s="12">
        <v>2089.6324400000003</v>
      </c>
      <c r="AC32" s="12">
        <v>8259.3894599999985</v>
      </c>
      <c r="AD32" s="12">
        <v>3221138.0632600007</v>
      </c>
      <c r="AE32" s="12">
        <v>16064.42194</v>
      </c>
      <c r="AF32" s="12">
        <v>17893.974249999999</v>
      </c>
      <c r="AG32" s="12">
        <v>35407.699619999999</v>
      </c>
      <c r="AH32" s="12">
        <v>6520.816389999999</v>
      </c>
      <c r="AI32" s="12">
        <v>10648.790509999999</v>
      </c>
      <c r="AJ32" s="12">
        <v>42805.209770000001</v>
      </c>
      <c r="AK32" s="12">
        <v>20672.699699999986</v>
      </c>
      <c r="AL32" s="12">
        <v>6067.876290000002</v>
      </c>
      <c r="AM32" s="12">
        <v>0.72535000000000005</v>
      </c>
      <c r="AN32" s="12">
        <v>17.326830000000001</v>
      </c>
      <c r="AO32" s="12">
        <v>58228.056440000022</v>
      </c>
      <c r="AP32" s="12">
        <v>156211.98401999971</v>
      </c>
      <c r="AQ32" s="12">
        <v>10062.571170000001</v>
      </c>
      <c r="AR32" s="12">
        <v>4289.7020899999998</v>
      </c>
      <c r="AS32" s="12">
        <v>4878.6947300000011</v>
      </c>
      <c r="AT32" s="12">
        <v>934.83524</v>
      </c>
      <c r="AU32" s="12">
        <v>4175.1092200000003</v>
      </c>
      <c r="AV32" s="12">
        <v>9.6910000000000007</v>
      </c>
      <c r="AW32" s="12">
        <v>58.388559999999998</v>
      </c>
      <c r="AX32" s="12">
        <v>217.42552000000001</v>
      </c>
      <c r="AY32" s="12">
        <v>32693.948430000004</v>
      </c>
      <c r="AZ32" s="12">
        <v>3422.7844000000009</v>
      </c>
      <c r="BA32" s="12">
        <v>0</v>
      </c>
      <c r="BB32" s="12">
        <v>0.18936</v>
      </c>
      <c r="BC32" s="12">
        <v>1909.1775300000004</v>
      </c>
      <c r="BD32" s="12">
        <v>90.651719999999997</v>
      </c>
      <c r="BE32" s="12">
        <v>6847.0778399999936</v>
      </c>
      <c r="BF32" s="12">
        <v>929.50692000000026</v>
      </c>
      <c r="BG32" s="12">
        <v>1389.36121</v>
      </c>
      <c r="BH32" s="12">
        <v>32.202769999999994</v>
      </c>
      <c r="BI32" s="12">
        <v>1452.81089</v>
      </c>
      <c r="BJ32" s="12">
        <v>5589.9925499999981</v>
      </c>
      <c r="BK32" s="12">
        <v>3620.6626499999998</v>
      </c>
      <c r="BL32" s="12">
        <v>18938.334699999999</v>
      </c>
      <c r="BM32" s="12">
        <v>26405.868379999978</v>
      </c>
      <c r="BN32" s="12">
        <v>8665.66597</v>
      </c>
      <c r="BO32" s="12">
        <v>3569.1525300000017</v>
      </c>
      <c r="BP32" s="12">
        <v>1249.3503199999998</v>
      </c>
      <c r="BQ32" s="12">
        <v>117.77406000000002</v>
      </c>
      <c r="BR32" s="12">
        <v>0.71626999999999996</v>
      </c>
      <c r="BS32" s="12">
        <v>4750.9216600000018</v>
      </c>
      <c r="BT32" s="12">
        <v>7943.8587200000011</v>
      </c>
      <c r="BU32" s="12">
        <v>16448.543320000001</v>
      </c>
      <c r="BV32" s="12">
        <v>200499.13782999999</v>
      </c>
      <c r="BW32" s="12">
        <v>143707.19991999987</v>
      </c>
      <c r="BX32" s="12">
        <v>27662.299820000011</v>
      </c>
      <c r="BY32" s="12">
        <v>32163.196929999998</v>
      </c>
      <c r="BZ32" s="12">
        <v>48.862689999999994</v>
      </c>
      <c r="CA32" s="12">
        <v>50442.987340000029</v>
      </c>
      <c r="CB32" s="12">
        <v>869.27854000000002</v>
      </c>
      <c r="CC32" s="12">
        <v>0.23980000000000001</v>
      </c>
      <c r="CD32" s="12">
        <v>16.552019999999999</v>
      </c>
      <c r="CE32" s="12">
        <v>163.60256000000001</v>
      </c>
      <c r="CF32" s="12">
        <v>6638.1502999999993</v>
      </c>
      <c r="CG32" s="12">
        <v>4935.1923399999978</v>
      </c>
      <c r="CH32" s="12">
        <v>47517.127850000004</v>
      </c>
      <c r="CI32" s="12">
        <v>64798.601890000005</v>
      </c>
      <c r="CJ32" s="12">
        <v>138.05074999999999</v>
      </c>
      <c r="CK32" s="12">
        <v>38534.08987000004</v>
      </c>
      <c r="CL32" s="12">
        <v>1518.41596</v>
      </c>
      <c r="CM32" s="12">
        <v>314.91000000000003</v>
      </c>
      <c r="CN32" s="12">
        <v>10096.97265999999</v>
      </c>
      <c r="CO32" s="12">
        <v>34.586049999999993</v>
      </c>
      <c r="CP32" s="12">
        <v>0</v>
      </c>
      <c r="CQ32" s="12">
        <v>1205.51151</v>
      </c>
      <c r="CR32" s="12">
        <v>17357.89012</v>
      </c>
      <c r="CS32" s="12">
        <v>3998.6310599999993</v>
      </c>
      <c r="CT32" s="12">
        <v>14798.354619999996</v>
      </c>
      <c r="CU32" s="12">
        <v>119.44816</v>
      </c>
      <c r="CV32" s="12">
        <v>671.42532000000006</v>
      </c>
      <c r="CW32" s="13">
        <v>5497616.50208</v>
      </c>
      <c r="CX32" s="13">
        <v>5497616.50208</v>
      </c>
    </row>
    <row r="33" spans="1:102">
      <c r="A33" s="7">
        <f t="shared" ca="1" si="1"/>
        <v>2022</v>
      </c>
      <c r="B33" s="7">
        <f t="shared" ca="1" si="0"/>
        <v>3</v>
      </c>
      <c r="C33" s="8">
        <v>44743</v>
      </c>
      <c r="D33" s="10">
        <v>1477.3433600000001</v>
      </c>
      <c r="E33" s="10">
        <v>14978.823350000002</v>
      </c>
      <c r="F33" s="10">
        <v>13017.691380000006</v>
      </c>
      <c r="G33" s="10">
        <v>1545.5590499999998</v>
      </c>
      <c r="H33" s="10">
        <v>5243.7350800000013</v>
      </c>
      <c r="I33" s="10">
        <v>146767.55982999984</v>
      </c>
      <c r="J33" s="10">
        <v>1884.1726399999991</v>
      </c>
      <c r="K33" s="10">
        <v>92949.944350000078</v>
      </c>
      <c r="L33" s="10">
        <v>394622.51517000014</v>
      </c>
      <c r="M33" s="10">
        <v>34.41798</v>
      </c>
      <c r="N33" s="10">
        <v>8819.0629300000019</v>
      </c>
      <c r="O33" s="10">
        <v>3419.8250699999999</v>
      </c>
      <c r="P33" s="10">
        <v>81.431449999999998</v>
      </c>
      <c r="Q33" s="10">
        <v>106.97864</v>
      </c>
      <c r="R33" s="10">
        <v>127022.55232</v>
      </c>
      <c r="S33" s="10">
        <v>4144.4020399999999</v>
      </c>
      <c r="T33" s="10">
        <v>44948.213959999986</v>
      </c>
      <c r="U33" s="10">
        <v>11458.44778</v>
      </c>
      <c r="V33" s="10">
        <v>15106.500149999996</v>
      </c>
      <c r="W33" s="10">
        <v>11937.930520000002</v>
      </c>
      <c r="X33" s="10">
        <v>45666.766239999997</v>
      </c>
      <c r="Y33" s="10">
        <v>4373.0769899999996</v>
      </c>
      <c r="Z33" s="10">
        <v>7931.4189999999999</v>
      </c>
      <c r="AA33" s="10">
        <v>901.44200999999998</v>
      </c>
      <c r="AB33" s="10">
        <v>2212.9424199999999</v>
      </c>
      <c r="AC33" s="10">
        <v>35535.058949999999</v>
      </c>
      <c r="AD33" s="10">
        <v>3649554.3274399973</v>
      </c>
      <c r="AE33" s="10">
        <v>16483.239550000006</v>
      </c>
      <c r="AF33" s="10">
        <v>14346.922230000006</v>
      </c>
      <c r="AG33" s="10">
        <v>36742.863369999985</v>
      </c>
      <c r="AH33" s="10">
        <v>9608.4872200000009</v>
      </c>
      <c r="AI33" s="10">
        <v>11981.56402</v>
      </c>
      <c r="AJ33" s="10">
        <v>43946.529600000009</v>
      </c>
      <c r="AK33" s="10">
        <v>20096.383589999987</v>
      </c>
      <c r="AL33" s="10">
        <v>5410.9707800000015</v>
      </c>
      <c r="AM33" s="10">
        <v>5.6120000000000001</v>
      </c>
      <c r="AN33" s="10">
        <v>5.4394800000000005</v>
      </c>
      <c r="AO33" s="10">
        <v>55148.983890000018</v>
      </c>
      <c r="AP33" s="10">
        <v>216109.10878999945</v>
      </c>
      <c r="AQ33" s="10">
        <v>13387.498189999991</v>
      </c>
      <c r="AR33" s="10">
        <v>3830.4757600000003</v>
      </c>
      <c r="AS33" s="10">
        <v>4678.6069600000001</v>
      </c>
      <c r="AT33" s="10">
        <v>220.15703999999999</v>
      </c>
      <c r="AU33" s="10">
        <v>3990.0265199999999</v>
      </c>
      <c r="AV33" s="10">
        <v>3.2158000000000002</v>
      </c>
      <c r="AW33" s="10">
        <v>79.306240000000003</v>
      </c>
      <c r="AX33" s="10">
        <v>419.36792999999994</v>
      </c>
      <c r="AY33" s="10">
        <v>29248.562719999984</v>
      </c>
      <c r="AZ33" s="10">
        <v>3876.6449500000012</v>
      </c>
      <c r="BA33" s="10">
        <v>0</v>
      </c>
      <c r="BB33" s="10">
        <v>0.87779999999999991</v>
      </c>
      <c r="BC33" s="10">
        <v>1721.3972800000004</v>
      </c>
      <c r="BD33" s="10">
        <v>82.702629999999999</v>
      </c>
      <c r="BE33" s="10">
        <v>6625.6640100000013</v>
      </c>
      <c r="BF33" s="10">
        <v>954.3531499999998</v>
      </c>
      <c r="BG33" s="10">
        <v>1031.16922</v>
      </c>
      <c r="BH33" s="10">
        <v>379.35638</v>
      </c>
      <c r="BI33" s="10">
        <v>1015.92677</v>
      </c>
      <c r="BJ33" s="10">
        <v>3318.00335</v>
      </c>
      <c r="BK33" s="10">
        <v>3947.9417000000008</v>
      </c>
      <c r="BL33" s="10">
        <v>17580.939769999975</v>
      </c>
      <c r="BM33" s="10">
        <v>25478.270850000034</v>
      </c>
      <c r="BN33" s="10">
        <v>6333.5399000000061</v>
      </c>
      <c r="BO33" s="10">
        <v>3241.0088100000003</v>
      </c>
      <c r="BP33" s="10">
        <v>1038.7421899999999</v>
      </c>
      <c r="BQ33" s="10">
        <v>55.153550000000003</v>
      </c>
      <c r="BR33" s="10">
        <v>14.47753</v>
      </c>
      <c r="BS33" s="10">
        <v>4187.8551800000005</v>
      </c>
      <c r="BT33" s="10">
        <v>7651.2404100000022</v>
      </c>
      <c r="BU33" s="10">
        <v>15930.531049999996</v>
      </c>
      <c r="BV33" s="10">
        <v>312951.59209999989</v>
      </c>
      <c r="BW33" s="10">
        <v>88009.950460000007</v>
      </c>
      <c r="BX33" s="10">
        <v>18686.353309999991</v>
      </c>
      <c r="BY33" s="10">
        <v>28598.866420000009</v>
      </c>
      <c r="BZ33" s="10">
        <v>5.609</v>
      </c>
      <c r="CA33" s="10">
        <v>42707.917400000035</v>
      </c>
      <c r="CB33" s="10">
        <v>67.326459999999997</v>
      </c>
      <c r="CC33" s="10">
        <v>36.825000000000003</v>
      </c>
      <c r="CD33" s="10">
        <v>7.0968999999999998</v>
      </c>
      <c r="CE33" s="10">
        <v>143.95631999999998</v>
      </c>
      <c r="CF33" s="10">
        <v>5226.7130700000016</v>
      </c>
      <c r="CG33" s="10">
        <v>4259.7462999999989</v>
      </c>
      <c r="CH33" s="10">
        <v>41876.290950000024</v>
      </c>
      <c r="CI33" s="10">
        <v>53450.846480000066</v>
      </c>
      <c r="CJ33" s="10">
        <v>169.1061</v>
      </c>
      <c r="CK33" s="10">
        <v>35913.525289999998</v>
      </c>
      <c r="CL33" s="10">
        <v>3029.6053700000002</v>
      </c>
      <c r="CM33" s="10">
        <v>6034.2787500000004</v>
      </c>
      <c r="CN33" s="10">
        <v>8369.1379399999987</v>
      </c>
      <c r="CO33" s="10">
        <v>68.807510000000008</v>
      </c>
      <c r="CP33" s="10">
        <v>81.498720000000006</v>
      </c>
      <c r="CQ33" s="10">
        <v>0</v>
      </c>
      <c r="CR33" s="10">
        <v>11572.605209999991</v>
      </c>
      <c r="CS33" s="10">
        <v>3506.7916499999988</v>
      </c>
      <c r="CT33" s="10">
        <v>11164.690859999997</v>
      </c>
      <c r="CU33" s="10">
        <v>874.24783000000002</v>
      </c>
      <c r="CV33" s="10">
        <v>917.15200000000004</v>
      </c>
      <c r="CW33" s="11">
        <v>5913681.7956599928</v>
      </c>
      <c r="CX33" s="11">
        <v>5913681.7956599928</v>
      </c>
    </row>
    <row r="34" spans="1:102">
      <c r="A34" s="7">
        <f t="shared" ca="1" si="1"/>
        <v>2022</v>
      </c>
      <c r="B34" s="7">
        <f t="shared" ca="1" si="0"/>
        <v>3</v>
      </c>
      <c r="C34" s="9">
        <v>44774</v>
      </c>
      <c r="D34" s="12">
        <v>16924.059860000001</v>
      </c>
      <c r="E34" s="12">
        <v>23625.215540000008</v>
      </c>
      <c r="F34" s="12">
        <v>15138.87442</v>
      </c>
      <c r="G34" s="12">
        <v>2806.0455699999998</v>
      </c>
      <c r="H34" s="12">
        <v>6034.4787099999994</v>
      </c>
      <c r="I34" s="12">
        <v>142231.41910999993</v>
      </c>
      <c r="J34" s="12">
        <v>1696.9937099999995</v>
      </c>
      <c r="K34" s="12">
        <v>112489.78870000011</v>
      </c>
      <c r="L34" s="12">
        <v>323525.42290999991</v>
      </c>
      <c r="M34" s="12">
        <v>79.43325999999999</v>
      </c>
      <c r="N34" s="12">
        <v>5904.1369599999998</v>
      </c>
      <c r="O34" s="12">
        <v>3940.1858299999999</v>
      </c>
      <c r="P34" s="12">
        <v>43.720769999999995</v>
      </c>
      <c r="Q34" s="12">
        <v>76.927660000000003</v>
      </c>
      <c r="R34" s="12">
        <v>50473.052929999991</v>
      </c>
      <c r="S34" s="12">
        <v>5496.1575299999995</v>
      </c>
      <c r="T34" s="12">
        <v>52553.152499999989</v>
      </c>
      <c r="U34" s="12">
        <v>12926.625149999994</v>
      </c>
      <c r="V34" s="12">
        <v>19242.360730000004</v>
      </c>
      <c r="W34" s="12">
        <v>12333.814830000005</v>
      </c>
      <c r="X34" s="12">
        <v>51636.691139999988</v>
      </c>
      <c r="Y34" s="12">
        <v>6738.2023600000011</v>
      </c>
      <c r="Z34" s="12">
        <v>6477.4126699999997</v>
      </c>
      <c r="AA34" s="12">
        <v>10.198</v>
      </c>
      <c r="AB34" s="12">
        <v>2221.5255799999995</v>
      </c>
      <c r="AC34" s="12">
        <v>15703.087320000001</v>
      </c>
      <c r="AD34" s="12">
        <v>2225049.7996</v>
      </c>
      <c r="AE34" s="12">
        <v>21922.391760000002</v>
      </c>
      <c r="AF34" s="12">
        <v>20865.514890000009</v>
      </c>
      <c r="AG34" s="12">
        <v>40209.629710000001</v>
      </c>
      <c r="AH34" s="12">
        <v>6758.9749499999998</v>
      </c>
      <c r="AI34" s="12">
        <v>10640.501259999995</v>
      </c>
      <c r="AJ34" s="12">
        <v>54254.360569999997</v>
      </c>
      <c r="AK34" s="12">
        <v>23394.256519999995</v>
      </c>
      <c r="AL34" s="12">
        <v>7348.9825399999982</v>
      </c>
      <c r="AM34" s="12">
        <v>5.6320000000000002E-2</v>
      </c>
      <c r="AN34" s="12">
        <v>44.853279999999998</v>
      </c>
      <c r="AO34" s="12">
        <v>55462.467540000063</v>
      </c>
      <c r="AP34" s="12">
        <v>200090.36058999971</v>
      </c>
      <c r="AQ34" s="12">
        <v>10010.682760000002</v>
      </c>
      <c r="AR34" s="12">
        <v>3740.1942000000013</v>
      </c>
      <c r="AS34" s="12">
        <v>4759.6897799999997</v>
      </c>
      <c r="AT34" s="12">
        <v>709.6389099999999</v>
      </c>
      <c r="AU34" s="12">
        <v>3797.6427900000003</v>
      </c>
      <c r="AV34" s="12">
        <v>23.828710000000004</v>
      </c>
      <c r="AW34" s="12">
        <v>67.429050000000004</v>
      </c>
      <c r="AX34" s="12">
        <v>54.751649999999998</v>
      </c>
      <c r="AY34" s="12">
        <v>32536.093109999987</v>
      </c>
      <c r="AZ34" s="12">
        <v>3695.6104</v>
      </c>
      <c r="BA34" s="12">
        <v>0</v>
      </c>
      <c r="BB34" s="12">
        <v>0</v>
      </c>
      <c r="BC34" s="12">
        <v>2068.3745400000007</v>
      </c>
      <c r="BD34" s="12">
        <v>101.74053999999998</v>
      </c>
      <c r="BE34" s="12">
        <v>7154.4501399999945</v>
      </c>
      <c r="BF34" s="12">
        <v>768.32817999999986</v>
      </c>
      <c r="BG34" s="12">
        <v>1442.1559299999997</v>
      </c>
      <c r="BH34" s="12">
        <v>58.110059999999997</v>
      </c>
      <c r="BI34" s="12">
        <v>1283.1777499999998</v>
      </c>
      <c r="BJ34" s="12">
        <v>4703.3767600000001</v>
      </c>
      <c r="BK34" s="12">
        <v>8145.5684800000054</v>
      </c>
      <c r="BL34" s="12">
        <v>14558.517830000013</v>
      </c>
      <c r="BM34" s="12">
        <v>26872.960219999972</v>
      </c>
      <c r="BN34" s="12">
        <v>7900.7051000000029</v>
      </c>
      <c r="BO34" s="12">
        <v>4187.8579400000008</v>
      </c>
      <c r="BP34" s="12">
        <v>1683.1460300000003</v>
      </c>
      <c r="BQ34" s="12">
        <v>116.54497000000002</v>
      </c>
      <c r="BR34" s="12">
        <v>8.5050699999999999</v>
      </c>
      <c r="BS34" s="12">
        <v>4520.6376100000007</v>
      </c>
      <c r="BT34" s="12">
        <v>9752.0087199999998</v>
      </c>
      <c r="BU34" s="12">
        <v>16089.182259999996</v>
      </c>
      <c r="BV34" s="12">
        <v>267405.83596999996</v>
      </c>
      <c r="BW34" s="12">
        <v>86017.328099999912</v>
      </c>
      <c r="BX34" s="12">
        <v>27679.47495</v>
      </c>
      <c r="BY34" s="12">
        <v>22346.145110000005</v>
      </c>
      <c r="BZ34" s="12">
        <v>23.719200000000001</v>
      </c>
      <c r="CA34" s="12">
        <v>59608.457289999969</v>
      </c>
      <c r="CB34" s="12">
        <v>13.38</v>
      </c>
      <c r="CC34" s="12">
        <v>1.9991199999999998</v>
      </c>
      <c r="CD34" s="12">
        <v>14.52285</v>
      </c>
      <c r="CE34" s="12">
        <v>181.90508</v>
      </c>
      <c r="CF34" s="12">
        <v>6638.3628300000018</v>
      </c>
      <c r="CG34" s="12">
        <v>6116.6278499999999</v>
      </c>
      <c r="CH34" s="12">
        <v>45866.220319999986</v>
      </c>
      <c r="CI34" s="12">
        <v>52966.991839999959</v>
      </c>
      <c r="CJ34" s="12">
        <v>382.40207000000004</v>
      </c>
      <c r="CK34" s="12">
        <v>38022.130880000019</v>
      </c>
      <c r="CL34" s="12">
        <v>964.68913999999995</v>
      </c>
      <c r="CM34" s="12">
        <v>772.90996999999993</v>
      </c>
      <c r="CN34" s="12">
        <v>7970.8416999999963</v>
      </c>
      <c r="CO34" s="12">
        <v>11.849090000000002</v>
      </c>
      <c r="CP34" s="12">
        <v>0.41</v>
      </c>
      <c r="CQ34" s="12">
        <v>351.75</v>
      </c>
      <c r="CR34" s="12">
        <v>14098.044260000001</v>
      </c>
      <c r="CS34" s="12">
        <v>4048.6263399999993</v>
      </c>
      <c r="CT34" s="12">
        <v>17823.846029999993</v>
      </c>
      <c r="CU34" s="12">
        <v>318.92788999999999</v>
      </c>
      <c r="CV34" s="12">
        <v>1907.2084399999999</v>
      </c>
      <c r="CW34" s="13">
        <v>4388736.6490899995</v>
      </c>
      <c r="CX34" s="13">
        <v>4388736.6490899995</v>
      </c>
    </row>
    <row r="35" spans="1:102">
      <c r="A35" s="7">
        <f t="shared" ca="1" si="1"/>
        <v>2022</v>
      </c>
      <c r="B35" s="7">
        <f t="shared" ref="B35:B63" ca="1" si="2">ROUNDUP(MONTH($B35)/3, 0)</f>
        <v>3</v>
      </c>
      <c r="C35" s="8">
        <v>44805</v>
      </c>
      <c r="D35" s="10">
        <v>24977.030650000001</v>
      </c>
      <c r="E35" s="10">
        <v>24614.921419999999</v>
      </c>
      <c r="F35" s="10">
        <v>12650.799300000001</v>
      </c>
      <c r="G35" s="10">
        <v>2617.3527000000004</v>
      </c>
      <c r="H35" s="10">
        <v>3724.4207200000005</v>
      </c>
      <c r="I35" s="10">
        <v>125432.33871999993</v>
      </c>
      <c r="J35" s="10">
        <v>1931.01638</v>
      </c>
      <c r="K35" s="10">
        <v>150369.31956999993</v>
      </c>
      <c r="L35" s="10">
        <v>339103.65090999968</v>
      </c>
      <c r="M35" s="10">
        <v>70.703670000000017</v>
      </c>
      <c r="N35" s="10">
        <v>7495.4424300000001</v>
      </c>
      <c r="O35" s="10">
        <v>4433.729220000002</v>
      </c>
      <c r="P35" s="10">
        <v>47.921419999999991</v>
      </c>
      <c r="Q35" s="10">
        <v>139.95310999999998</v>
      </c>
      <c r="R35" s="10">
        <v>73913.754259999987</v>
      </c>
      <c r="S35" s="10">
        <v>1863.91301</v>
      </c>
      <c r="T35" s="10">
        <v>58231.553350000002</v>
      </c>
      <c r="U35" s="10">
        <v>11841.498889999997</v>
      </c>
      <c r="V35" s="10">
        <v>19032.929990000011</v>
      </c>
      <c r="W35" s="10">
        <v>12591.815099999994</v>
      </c>
      <c r="X35" s="10">
        <v>51019.946099999965</v>
      </c>
      <c r="Y35" s="10">
        <v>5679.494709999999</v>
      </c>
      <c r="Z35" s="10">
        <v>7648.2926800000014</v>
      </c>
      <c r="AA35" s="10">
        <v>183.14923000000002</v>
      </c>
      <c r="AB35" s="10">
        <v>2336.3393899999996</v>
      </c>
      <c r="AC35" s="10">
        <v>25501.805580000011</v>
      </c>
      <c r="AD35" s="10">
        <v>2590600.9995100009</v>
      </c>
      <c r="AE35" s="10">
        <v>13268.20311</v>
      </c>
      <c r="AF35" s="10">
        <v>20055.546120000003</v>
      </c>
      <c r="AG35" s="10">
        <v>32493.525170000004</v>
      </c>
      <c r="AH35" s="10">
        <v>12696.805200000001</v>
      </c>
      <c r="AI35" s="10">
        <v>10446.016400000004</v>
      </c>
      <c r="AJ35" s="10">
        <v>49012.347160000019</v>
      </c>
      <c r="AK35" s="10">
        <v>22120.57349000001</v>
      </c>
      <c r="AL35" s="10">
        <v>6962.8828300000005</v>
      </c>
      <c r="AM35" s="10">
        <v>11.864090000000001</v>
      </c>
      <c r="AN35" s="10">
        <v>127.09297000000001</v>
      </c>
      <c r="AO35" s="10">
        <v>57588.895950000006</v>
      </c>
      <c r="AP35" s="10">
        <v>160466.15611999991</v>
      </c>
      <c r="AQ35" s="10">
        <v>13771.728379999988</v>
      </c>
      <c r="AR35" s="10">
        <v>3842.2744699999994</v>
      </c>
      <c r="AS35" s="10">
        <v>3660.9845899999982</v>
      </c>
      <c r="AT35" s="10">
        <v>538.88225</v>
      </c>
      <c r="AU35" s="10">
        <v>5368.0946699999968</v>
      </c>
      <c r="AV35" s="10">
        <v>28.889869999999998</v>
      </c>
      <c r="AW35" s="10">
        <v>61.424560000000007</v>
      </c>
      <c r="AX35" s="10">
        <v>116.24364999999999</v>
      </c>
      <c r="AY35" s="10">
        <v>32140.914739999978</v>
      </c>
      <c r="AZ35" s="10">
        <v>3807.0860500000017</v>
      </c>
      <c r="BA35" s="10">
        <v>0</v>
      </c>
      <c r="BB35" s="10">
        <v>1.2891000000000001</v>
      </c>
      <c r="BC35" s="10">
        <v>2116.4650899999988</v>
      </c>
      <c r="BD35" s="10">
        <v>101.44917</v>
      </c>
      <c r="BE35" s="10">
        <v>5659.8557900000005</v>
      </c>
      <c r="BF35" s="10">
        <v>1133.6916500000002</v>
      </c>
      <c r="BG35" s="10">
        <v>1181.3284100000001</v>
      </c>
      <c r="BH35" s="10">
        <v>12.762079999999999</v>
      </c>
      <c r="BI35" s="10">
        <v>1087.4077399999996</v>
      </c>
      <c r="BJ35" s="10">
        <v>3892.1401900000001</v>
      </c>
      <c r="BK35" s="10">
        <v>5981.5985999999957</v>
      </c>
      <c r="BL35" s="10">
        <v>18607.430610000003</v>
      </c>
      <c r="BM35" s="10">
        <v>22007.369150000006</v>
      </c>
      <c r="BN35" s="10">
        <v>7764.7784800000018</v>
      </c>
      <c r="BO35" s="10">
        <v>3792.253949999998</v>
      </c>
      <c r="BP35" s="10">
        <v>1316.2904399999998</v>
      </c>
      <c r="BQ35" s="10">
        <v>38.413930000000001</v>
      </c>
      <c r="BR35" s="10">
        <v>32.475979999999993</v>
      </c>
      <c r="BS35" s="10">
        <v>4047.1933499999986</v>
      </c>
      <c r="BT35" s="10">
        <v>8282.6110200000039</v>
      </c>
      <c r="BU35" s="10">
        <v>16988.247909999991</v>
      </c>
      <c r="BV35" s="10">
        <v>251842.26444000003</v>
      </c>
      <c r="BW35" s="10">
        <v>88807.396960000013</v>
      </c>
      <c r="BX35" s="10">
        <v>22574.277060000008</v>
      </c>
      <c r="BY35" s="10">
        <v>21914.463230000001</v>
      </c>
      <c r="BZ35" s="10">
        <v>39.732080000000003</v>
      </c>
      <c r="CA35" s="10">
        <v>75305.895869999891</v>
      </c>
      <c r="CB35" s="10">
        <v>442.57231000000002</v>
      </c>
      <c r="CC35" s="10">
        <v>0.34399999999999997</v>
      </c>
      <c r="CD35" s="10">
        <v>8.3141300000000005</v>
      </c>
      <c r="CE35" s="10">
        <v>198.17278999999999</v>
      </c>
      <c r="CF35" s="10">
        <v>5962.5646699999998</v>
      </c>
      <c r="CG35" s="10">
        <v>4517.9177600000021</v>
      </c>
      <c r="CH35" s="10">
        <v>41740.134990000006</v>
      </c>
      <c r="CI35" s="10">
        <v>62404.015509999947</v>
      </c>
      <c r="CJ35" s="10">
        <v>324.91292000000004</v>
      </c>
      <c r="CK35" s="10">
        <v>40180.754860000001</v>
      </c>
      <c r="CL35" s="10">
        <v>10167.920159999998</v>
      </c>
      <c r="CM35" s="10">
        <v>208.91200000000001</v>
      </c>
      <c r="CN35" s="10">
        <v>7506.7499299999981</v>
      </c>
      <c r="CO35" s="10">
        <v>22.670620000000003</v>
      </c>
      <c r="CP35" s="10">
        <v>3.4836300000000002</v>
      </c>
      <c r="CQ35" s="10">
        <v>19.896000000000001</v>
      </c>
      <c r="CR35" s="10">
        <v>15384.422139999999</v>
      </c>
      <c r="CS35" s="10">
        <v>1722.8767999999998</v>
      </c>
      <c r="CT35" s="10">
        <v>15477.968599999997</v>
      </c>
      <c r="CU35" s="10">
        <v>180.01499999999999</v>
      </c>
      <c r="CV35" s="10">
        <v>875.35196999999994</v>
      </c>
      <c r="CW35" s="11">
        <v>4778519.5769299995</v>
      </c>
      <c r="CX35" s="11">
        <v>4778519.5769299995</v>
      </c>
    </row>
    <row r="36" spans="1:102">
      <c r="A36" s="7">
        <f t="shared" ca="1" si="1"/>
        <v>2022</v>
      </c>
      <c r="B36" s="7">
        <f t="shared" ca="1" si="2"/>
        <v>4</v>
      </c>
      <c r="C36" s="9">
        <v>44835</v>
      </c>
      <c r="D36" s="12">
        <v>34686.16721</v>
      </c>
      <c r="E36" s="12">
        <v>21286.982500000013</v>
      </c>
      <c r="F36" s="12">
        <v>14351.045259999995</v>
      </c>
      <c r="G36" s="12">
        <v>2015.8553100000001</v>
      </c>
      <c r="H36" s="12">
        <v>5612.9978300000002</v>
      </c>
      <c r="I36" s="12">
        <v>144035.81202999997</v>
      </c>
      <c r="J36" s="12">
        <v>1800.2073899999991</v>
      </c>
      <c r="K36" s="12">
        <v>106316.76623999998</v>
      </c>
      <c r="L36" s="12">
        <v>323641.12318</v>
      </c>
      <c r="M36" s="12">
        <v>57.360399999999991</v>
      </c>
      <c r="N36" s="12">
        <v>5689.8643999999986</v>
      </c>
      <c r="O36" s="12">
        <v>3000.1285199999998</v>
      </c>
      <c r="P36" s="12">
        <v>258.90864999999997</v>
      </c>
      <c r="Q36" s="12">
        <v>116.34214999999999</v>
      </c>
      <c r="R36" s="12">
        <v>32617.227689999992</v>
      </c>
      <c r="S36" s="12">
        <v>3780.5704799999994</v>
      </c>
      <c r="T36" s="12">
        <v>59529.484070000035</v>
      </c>
      <c r="U36" s="12">
        <v>10372.929039999999</v>
      </c>
      <c r="V36" s="12">
        <v>15290.654650000006</v>
      </c>
      <c r="W36" s="12">
        <v>12039.622990000007</v>
      </c>
      <c r="X36" s="12">
        <v>56576.001319999996</v>
      </c>
      <c r="Y36" s="12">
        <v>5033.3768600000012</v>
      </c>
      <c r="Z36" s="12">
        <v>6468.063619999999</v>
      </c>
      <c r="AA36" s="12">
        <v>36.611499999999999</v>
      </c>
      <c r="AB36" s="12">
        <v>2119.1030500000002</v>
      </c>
      <c r="AC36" s="12">
        <v>13845.180659999998</v>
      </c>
      <c r="AD36" s="12">
        <v>2183740.1013300004</v>
      </c>
      <c r="AE36" s="12">
        <v>18222.193360000005</v>
      </c>
      <c r="AF36" s="12">
        <v>13089.198920000008</v>
      </c>
      <c r="AG36" s="12">
        <v>33110.032059999998</v>
      </c>
      <c r="AH36" s="12">
        <v>6056.8543799999998</v>
      </c>
      <c r="AI36" s="12">
        <v>10523.840599999992</v>
      </c>
      <c r="AJ36" s="12">
        <v>44110.27539000001</v>
      </c>
      <c r="AK36" s="12">
        <v>21685.702799999999</v>
      </c>
      <c r="AL36" s="12">
        <v>7479.2389699999985</v>
      </c>
      <c r="AM36" s="12">
        <v>212.22235000000001</v>
      </c>
      <c r="AN36" s="12">
        <v>172.23057999999997</v>
      </c>
      <c r="AO36" s="12">
        <v>56558.15731000001</v>
      </c>
      <c r="AP36" s="12">
        <v>144227.60161000001</v>
      </c>
      <c r="AQ36" s="12">
        <v>10562.565600000002</v>
      </c>
      <c r="AR36" s="12">
        <v>2784.05836</v>
      </c>
      <c r="AS36" s="12">
        <v>3538.9774599999951</v>
      </c>
      <c r="AT36" s="12">
        <v>574.23182000000008</v>
      </c>
      <c r="AU36" s="12">
        <v>3491.9802499999987</v>
      </c>
      <c r="AV36" s="12">
        <v>2.6319699999999999</v>
      </c>
      <c r="AW36" s="12">
        <v>95.69465000000001</v>
      </c>
      <c r="AX36" s="12">
        <v>79.366520000000008</v>
      </c>
      <c r="AY36" s="12">
        <v>30742.918990000013</v>
      </c>
      <c r="AZ36" s="12">
        <v>3380.8388999999997</v>
      </c>
      <c r="BA36" s="12">
        <v>0</v>
      </c>
      <c r="BB36" s="12">
        <v>0.26400000000000001</v>
      </c>
      <c r="BC36" s="12">
        <v>1723.6987300000005</v>
      </c>
      <c r="BD36" s="12">
        <v>71.997350000000012</v>
      </c>
      <c r="BE36" s="12">
        <v>5495.9570400000021</v>
      </c>
      <c r="BF36" s="12">
        <v>1285.4123599999998</v>
      </c>
      <c r="BG36" s="12">
        <v>1288.56628</v>
      </c>
      <c r="BH36" s="12">
        <v>64.322289999999995</v>
      </c>
      <c r="BI36" s="12">
        <v>1118.03287</v>
      </c>
      <c r="BJ36" s="12">
        <v>2894.2805100000005</v>
      </c>
      <c r="BK36" s="12">
        <v>5247.8106399999997</v>
      </c>
      <c r="BL36" s="12">
        <v>18866.898589999997</v>
      </c>
      <c r="BM36" s="12">
        <v>25844.201759999978</v>
      </c>
      <c r="BN36" s="12">
        <v>7000.4574999999977</v>
      </c>
      <c r="BO36" s="12">
        <v>3818.99244</v>
      </c>
      <c r="BP36" s="12">
        <v>1303.4392200000002</v>
      </c>
      <c r="BQ36" s="12">
        <v>11.05875</v>
      </c>
      <c r="BR36" s="12">
        <v>9.3088700000000006</v>
      </c>
      <c r="BS36" s="12">
        <v>4817.6319500000018</v>
      </c>
      <c r="BT36" s="12">
        <v>7758.9590500000013</v>
      </c>
      <c r="BU36" s="12">
        <v>11498.694140000003</v>
      </c>
      <c r="BV36" s="12">
        <v>290034.63427000004</v>
      </c>
      <c r="BW36" s="12">
        <v>53037.272099999995</v>
      </c>
      <c r="BX36" s="12">
        <v>24777.910260000004</v>
      </c>
      <c r="BY36" s="12">
        <v>23778.817450000002</v>
      </c>
      <c r="BZ36" s="12">
        <v>5.4036999999999997</v>
      </c>
      <c r="CA36" s="12">
        <v>53098.562130000028</v>
      </c>
      <c r="CB36" s="12">
        <v>45.6</v>
      </c>
      <c r="CC36" s="12">
        <v>1939.1432100000002</v>
      </c>
      <c r="CD36" s="12">
        <v>16.40484</v>
      </c>
      <c r="CE36" s="12">
        <v>75.014330000000001</v>
      </c>
      <c r="CF36" s="12">
        <v>6883.2415799999999</v>
      </c>
      <c r="CG36" s="12">
        <v>4313.0940799999998</v>
      </c>
      <c r="CH36" s="12">
        <v>39500.654769999943</v>
      </c>
      <c r="CI36" s="12">
        <v>56940.575409999976</v>
      </c>
      <c r="CJ36" s="12">
        <v>57.228000000000002</v>
      </c>
      <c r="CK36" s="12">
        <v>35589.364999999998</v>
      </c>
      <c r="CL36" s="12">
        <v>975.32148000000007</v>
      </c>
      <c r="CM36" s="12">
        <v>444.2611</v>
      </c>
      <c r="CN36" s="12">
        <v>10665.500700000001</v>
      </c>
      <c r="CO36" s="12">
        <v>118.65045000000001</v>
      </c>
      <c r="CP36" s="12">
        <v>90.602360000000004</v>
      </c>
      <c r="CQ36" s="12">
        <v>0</v>
      </c>
      <c r="CR36" s="12">
        <v>15626.166429999999</v>
      </c>
      <c r="CS36" s="12">
        <v>3544.1723999999999</v>
      </c>
      <c r="CT36" s="12">
        <v>15293.214189999999</v>
      </c>
      <c r="CU36" s="12">
        <v>288.12842999999998</v>
      </c>
      <c r="CV36" s="12">
        <v>904.05324999999993</v>
      </c>
      <c r="CW36" s="13">
        <v>4213182.2774399994</v>
      </c>
      <c r="CX36" s="13">
        <v>4213182.2774399994</v>
      </c>
    </row>
    <row r="37" spans="1:102">
      <c r="A37" s="7">
        <f t="shared" ca="1" si="1"/>
        <v>2022</v>
      </c>
      <c r="B37" s="7">
        <f t="shared" ca="1" si="2"/>
        <v>4</v>
      </c>
      <c r="C37" s="8">
        <v>44866</v>
      </c>
      <c r="D37" s="10">
        <v>13422.375040000001</v>
      </c>
      <c r="E37" s="10">
        <v>16251.659730000003</v>
      </c>
      <c r="F37" s="10">
        <v>10848.251749999998</v>
      </c>
      <c r="G37" s="10">
        <v>2039.1469800000002</v>
      </c>
      <c r="H37" s="10">
        <v>4887.1856700000008</v>
      </c>
      <c r="I37" s="10">
        <v>149848.43606999982</v>
      </c>
      <c r="J37" s="10">
        <v>2456.3100499999996</v>
      </c>
      <c r="K37" s="10">
        <v>120862.44882999999</v>
      </c>
      <c r="L37" s="10">
        <v>293141.45220999978</v>
      </c>
      <c r="M37" s="10">
        <v>580.81471999999997</v>
      </c>
      <c r="N37" s="10">
        <v>4470.5359399999998</v>
      </c>
      <c r="O37" s="10">
        <v>3792.9455900000003</v>
      </c>
      <c r="P37" s="10">
        <v>179.20837</v>
      </c>
      <c r="Q37" s="10">
        <v>121.43061999999999</v>
      </c>
      <c r="R37" s="10">
        <v>67866.520600000018</v>
      </c>
      <c r="S37" s="10">
        <v>1475.6294999999998</v>
      </c>
      <c r="T37" s="10">
        <v>61754.230130000033</v>
      </c>
      <c r="U37" s="10">
        <v>9946.1300300000021</v>
      </c>
      <c r="V37" s="10">
        <v>16087.335060000003</v>
      </c>
      <c r="W37" s="10">
        <v>10891.035900000001</v>
      </c>
      <c r="X37" s="10">
        <v>58604.301680000026</v>
      </c>
      <c r="Y37" s="10">
        <v>7442.7786899999992</v>
      </c>
      <c r="Z37" s="10">
        <v>6092.6549100000002</v>
      </c>
      <c r="AA37" s="10">
        <v>312.00132000000002</v>
      </c>
      <c r="AB37" s="10">
        <v>2569.3467799999999</v>
      </c>
      <c r="AC37" s="10">
        <v>22097.137360000001</v>
      </c>
      <c r="AD37" s="10">
        <v>2544083.3880999992</v>
      </c>
      <c r="AE37" s="10">
        <v>17050.852030000002</v>
      </c>
      <c r="AF37" s="10">
        <v>13798.924469999994</v>
      </c>
      <c r="AG37" s="10">
        <v>37845.255270000016</v>
      </c>
      <c r="AH37" s="10">
        <v>4276.9565499999999</v>
      </c>
      <c r="AI37" s="10">
        <v>14114.017010000001</v>
      </c>
      <c r="AJ37" s="10">
        <v>43527.437909999993</v>
      </c>
      <c r="AK37" s="10">
        <v>21030.337039999995</v>
      </c>
      <c r="AL37" s="10">
        <v>7157.4358000000002</v>
      </c>
      <c r="AM37" s="10">
        <v>0</v>
      </c>
      <c r="AN37" s="10">
        <v>21.121599999999997</v>
      </c>
      <c r="AO37" s="10">
        <v>41293.031159999984</v>
      </c>
      <c r="AP37" s="10">
        <v>127457.49918999996</v>
      </c>
      <c r="AQ37" s="10">
        <v>10399.994579999993</v>
      </c>
      <c r="AR37" s="10">
        <v>3570.9570899999999</v>
      </c>
      <c r="AS37" s="10">
        <v>4554.1532699999998</v>
      </c>
      <c r="AT37" s="10">
        <v>730.98138000000006</v>
      </c>
      <c r="AU37" s="10">
        <v>3933.86724</v>
      </c>
      <c r="AV37" s="10">
        <v>16.301970000000001</v>
      </c>
      <c r="AW37" s="10">
        <v>122.86035000000001</v>
      </c>
      <c r="AX37" s="10">
        <v>25.186230000000002</v>
      </c>
      <c r="AY37" s="10">
        <v>29508.377639999999</v>
      </c>
      <c r="AZ37" s="10">
        <v>3147.7586200000001</v>
      </c>
      <c r="BA37" s="10">
        <v>0</v>
      </c>
      <c r="BB37" s="10">
        <v>0.74008000000000007</v>
      </c>
      <c r="BC37" s="10">
        <v>1694.6226100000006</v>
      </c>
      <c r="BD37" s="10">
        <v>105.63151999999999</v>
      </c>
      <c r="BE37" s="10">
        <v>6311.7775399999991</v>
      </c>
      <c r="BF37" s="10">
        <v>1395.08295</v>
      </c>
      <c r="BG37" s="10">
        <v>1095.1522299999999</v>
      </c>
      <c r="BH37" s="10">
        <v>80.045980000000014</v>
      </c>
      <c r="BI37" s="10">
        <v>770.65928000000008</v>
      </c>
      <c r="BJ37" s="10">
        <v>2906.5568699999999</v>
      </c>
      <c r="BK37" s="10">
        <v>5000.7456200000033</v>
      </c>
      <c r="BL37" s="10">
        <v>18611.912219999973</v>
      </c>
      <c r="BM37" s="10">
        <v>27852.396739999975</v>
      </c>
      <c r="BN37" s="10">
        <v>7118.4402299999992</v>
      </c>
      <c r="BO37" s="10">
        <v>5038.0816299999979</v>
      </c>
      <c r="BP37" s="10">
        <v>1414.4495099999992</v>
      </c>
      <c r="BQ37" s="10">
        <v>47.37791</v>
      </c>
      <c r="BR37" s="10">
        <v>5.5011699999999992</v>
      </c>
      <c r="BS37" s="10">
        <v>5167.793099999999</v>
      </c>
      <c r="BT37" s="10">
        <v>7695.8894400000036</v>
      </c>
      <c r="BU37" s="10">
        <v>14933.485520000004</v>
      </c>
      <c r="BV37" s="10">
        <v>258848.66357000003</v>
      </c>
      <c r="BW37" s="10">
        <v>55561.158429999996</v>
      </c>
      <c r="BX37" s="10">
        <v>26496.266390000004</v>
      </c>
      <c r="BY37" s="10">
        <v>25782.243489999997</v>
      </c>
      <c r="BZ37" s="10">
        <v>12.64302</v>
      </c>
      <c r="CA37" s="10">
        <v>65476.516349999991</v>
      </c>
      <c r="CB37" s="10">
        <v>0.42841000000000001</v>
      </c>
      <c r="CC37" s="10">
        <v>724.35437000000002</v>
      </c>
      <c r="CD37" s="10">
        <v>4.4564500000000002</v>
      </c>
      <c r="CE37" s="10">
        <v>141.68774999999999</v>
      </c>
      <c r="CF37" s="10">
        <v>5005.13015</v>
      </c>
      <c r="CG37" s="10">
        <v>4737.6264600000004</v>
      </c>
      <c r="CH37" s="10">
        <v>46489.265069999979</v>
      </c>
      <c r="CI37" s="10">
        <v>58115.537999999993</v>
      </c>
      <c r="CJ37" s="10">
        <v>57.69</v>
      </c>
      <c r="CK37" s="10">
        <v>41355.100230000004</v>
      </c>
      <c r="CL37" s="10">
        <v>9320.4884199999997</v>
      </c>
      <c r="CM37" s="10">
        <v>193.21270999999999</v>
      </c>
      <c r="CN37" s="10">
        <v>7223.0066699999998</v>
      </c>
      <c r="CO37" s="10">
        <v>122.57992999999998</v>
      </c>
      <c r="CP37" s="10">
        <v>15.585370000000003</v>
      </c>
      <c r="CQ37" s="10">
        <v>589.18939999999998</v>
      </c>
      <c r="CR37" s="10">
        <v>13720.330879999996</v>
      </c>
      <c r="CS37" s="10">
        <v>3798.0737799999997</v>
      </c>
      <c r="CT37" s="10">
        <v>13514.876149999986</v>
      </c>
      <c r="CU37" s="10">
        <v>1298.9619599999999</v>
      </c>
      <c r="CV37" s="10">
        <v>688.21622000000002</v>
      </c>
      <c r="CW37" s="11">
        <v>4562247.6298099989</v>
      </c>
      <c r="CX37" s="11">
        <v>4562247.6298099989</v>
      </c>
    </row>
    <row r="38" spans="1:102">
      <c r="A38" s="7">
        <f t="shared" ca="1" si="1"/>
        <v>2022</v>
      </c>
      <c r="B38" s="7">
        <f t="shared" ca="1" si="2"/>
        <v>4</v>
      </c>
      <c r="C38" s="9">
        <v>44896</v>
      </c>
      <c r="D38" s="12">
        <v>26064.469089999995</v>
      </c>
      <c r="E38" s="12">
        <v>12375.728290000001</v>
      </c>
      <c r="F38" s="12">
        <v>21200.403769999997</v>
      </c>
      <c r="G38" s="12">
        <v>3650.1913399999994</v>
      </c>
      <c r="H38" s="12">
        <v>5664.2247900000002</v>
      </c>
      <c r="I38" s="12">
        <v>132492.67771000013</v>
      </c>
      <c r="J38" s="12">
        <v>3360.5058299999996</v>
      </c>
      <c r="K38" s="12">
        <v>130361.16161999991</v>
      </c>
      <c r="L38" s="12">
        <v>348771.01618999994</v>
      </c>
      <c r="M38" s="12">
        <v>14.887570000000002</v>
      </c>
      <c r="N38" s="12">
        <v>6602.1363999999994</v>
      </c>
      <c r="O38" s="12">
        <v>4196.4485999999997</v>
      </c>
      <c r="P38" s="12">
        <v>452.43185</v>
      </c>
      <c r="Q38" s="12">
        <v>117.82460000000002</v>
      </c>
      <c r="R38" s="12">
        <v>50226.080529999977</v>
      </c>
      <c r="S38" s="12">
        <v>2850.1543900000001</v>
      </c>
      <c r="T38" s="12">
        <v>74385.707270000101</v>
      </c>
      <c r="U38" s="12">
        <v>12753.724209999998</v>
      </c>
      <c r="V38" s="12">
        <v>18812.066469999998</v>
      </c>
      <c r="W38" s="12">
        <v>10655.299770000003</v>
      </c>
      <c r="X38" s="12">
        <v>52215.16924000001</v>
      </c>
      <c r="Y38" s="12">
        <v>6310.1615499999998</v>
      </c>
      <c r="Z38" s="12">
        <v>6834.83439</v>
      </c>
      <c r="AA38" s="12">
        <v>825.02665999999999</v>
      </c>
      <c r="AB38" s="12">
        <v>3630.502770000001</v>
      </c>
      <c r="AC38" s="12">
        <v>22961.915529999998</v>
      </c>
      <c r="AD38" s="12">
        <v>2456611.3283399972</v>
      </c>
      <c r="AE38" s="12">
        <v>10836.720790000001</v>
      </c>
      <c r="AF38" s="12">
        <v>18071.662500000013</v>
      </c>
      <c r="AG38" s="12">
        <v>33805.704490000026</v>
      </c>
      <c r="AH38" s="12">
        <v>6275.8736600000002</v>
      </c>
      <c r="AI38" s="12">
        <v>12481.688979999997</v>
      </c>
      <c r="AJ38" s="12">
        <v>47064.397399999965</v>
      </c>
      <c r="AK38" s="12">
        <v>19887.715880000007</v>
      </c>
      <c r="AL38" s="12">
        <v>6651.4536399999997</v>
      </c>
      <c r="AM38" s="12">
        <v>3.9009999999999996E-2</v>
      </c>
      <c r="AN38" s="12">
        <v>56.658040000000007</v>
      </c>
      <c r="AO38" s="12">
        <v>41933.035840000011</v>
      </c>
      <c r="AP38" s="12">
        <v>135879.00685000006</v>
      </c>
      <c r="AQ38" s="12">
        <v>12052.819829999989</v>
      </c>
      <c r="AR38" s="12">
        <v>3446.3842800000002</v>
      </c>
      <c r="AS38" s="12">
        <v>4596.0270099999952</v>
      </c>
      <c r="AT38" s="12">
        <v>577.96322999999995</v>
      </c>
      <c r="AU38" s="12">
        <v>4202.3071000000018</v>
      </c>
      <c r="AV38" s="12">
        <v>21.191440000000004</v>
      </c>
      <c r="AW38" s="12">
        <v>104.55581999999998</v>
      </c>
      <c r="AX38" s="12">
        <v>40.955100000000009</v>
      </c>
      <c r="AY38" s="12">
        <v>32861.107559999989</v>
      </c>
      <c r="AZ38" s="12">
        <v>3945.3466399999993</v>
      </c>
      <c r="BA38" s="12">
        <v>0.06</v>
      </c>
      <c r="BB38" s="12">
        <v>5.0000000000000001E-3</v>
      </c>
      <c r="BC38" s="12">
        <v>2285.4910700000014</v>
      </c>
      <c r="BD38" s="12">
        <v>86.22923999999999</v>
      </c>
      <c r="BE38" s="12">
        <v>6132.4120999999986</v>
      </c>
      <c r="BF38" s="12">
        <v>1234.1085</v>
      </c>
      <c r="BG38" s="12">
        <v>1226.1652400000003</v>
      </c>
      <c r="BH38" s="12">
        <v>68.046559999999999</v>
      </c>
      <c r="BI38" s="12">
        <v>1006.1392700000001</v>
      </c>
      <c r="BJ38" s="12">
        <v>3444.2541400000005</v>
      </c>
      <c r="BK38" s="12">
        <v>6127.185279999997</v>
      </c>
      <c r="BL38" s="12">
        <v>20228.67347999999</v>
      </c>
      <c r="BM38" s="12">
        <v>25143.93578000004</v>
      </c>
      <c r="BN38" s="12">
        <v>6353.8767599999992</v>
      </c>
      <c r="BO38" s="12">
        <v>3824.1816299999996</v>
      </c>
      <c r="BP38" s="12">
        <v>1450.9375500000003</v>
      </c>
      <c r="BQ38" s="12">
        <v>84.596989999999991</v>
      </c>
      <c r="BR38" s="12">
        <v>5.9780099999999994</v>
      </c>
      <c r="BS38" s="12">
        <v>3645.3751999999986</v>
      </c>
      <c r="BT38" s="12">
        <v>8286.9352399999989</v>
      </c>
      <c r="BU38" s="12">
        <v>14823.606339999997</v>
      </c>
      <c r="BV38" s="12">
        <v>323684.67634000001</v>
      </c>
      <c r="BW38" s="12">
        <v>73373.40019</v>
      </c>
      <c r="BX38" s="12">
        <v>22401.123019999999</v>
      </c>
      <c r="BY38" s="12">
        <v>26805.47107</v>
      </c>
      <c r="BZ38" s="12">
        <v>26.937440000000002</v>
      </c>
      <c r="CA38" s="12">
        <v>82005.263720000046</v>
      </c>
      <c r="CB38" s="12">
        <v>26.846209999999999</v>
      </c>
      <c r="CC38" s="12">
        <v>1315.6600100000001</v>
      </c>
      <c r="CD38" s="12">
        <v>4.3615599999999999</v>
      </c>
      <c r="CE38" s="12">
        <v>102.38195</v>
      </c>
      <c r="CF38" s="12">
        <v>5963.5067700000045</v>
      </c>
      <c r="CG38" s="12">
        <v>3790.4720900000011</v>
      </c>
      <c r="CH38" s="12">
        <v>45658.277389999937</v>
      </c>
      <c r="CI38" s="12">
        <v>58844.631219999952</v>
      </c>
      <c r="CJ38" s="12">
        <v>16.884360000000001</v>
      </c>
      <c r="CK38" s="12">
        <v>31118.297540000003</v>
      </c>
      <c r="CL38" s="12">
        <v>4903.06113</v>
      </c>
      <c r="CM38" s="12">
        <v>37.027329999999999</v>
      </c>
      <c r="CN38" s="12">
        <v>7112.0207999999966</v>
      </c>
      <c r="CO38" s="12">
        <v>22.527290000000001</v>
      </c>
      <c r="CP38" s="12">
        <v>102.58264</v>
      </c>
      <c r="CQ38" s="12">
        <v>4170.0460800000001</v>
      </c>
      <c r="CR38" s="12">
        <v>17098.887279999999</v>
      </c>
      <c r="CS38" s="12">
        <v>2525.8244699999996</v>
      </c>
      <c r="CT38" s="12">
        <v>15515.533260000002</v>
      </c>
      <c r="CU38" s="12">
        <v>52.277999999999999</v>
      </c>
      <c r="CV38" s="12">
        <v>758.76080999999999</v>
      </c>
      <c r="CW38" s="13">
        <v>4642083.6272099959</v>
      </c>
      <c r="CX38" s="13">
        <v>4642083.6272099959</v>
      </c>
    </row>
    <row r="39" spans="1:102">
      <c r="A39" s="7">
        <f t="shared" ca="1" si="1"/>
        <v>2023</v>
      </c>
      <c r="B39" s="7">
        <f t="shared" ca="1" si="2"/>
        <v>1</v>
      </c>
      <c r="C39" s="8">
        <v>44927</v>
      </c>
      <c r="D39" s="10">
        <v>23926.182779999999</v>
      </c>
      <c r="E39" s="10">
        <v>12908.983399999997</v>
      </c>
      <c r="F39" s="10">
        <v>10941.200280000001</v>
      </c>
      <c r="G39" s="10">
        <v>1777.1997399999998</v>
      </c>
      <c r="H39" s="10">
        <v>5283.9727700000003</v>
      </c>
      <c r="I39" s="10">
        <v>159105.05202000006</v>
      </c>
      <c r="J39" s="10">
        <v>2522.0638199999999</v>
      </c>
      <c r="K39" s="10">
        <v>53594.923320000074</v>
      </c>
      <c r="L39" s="10">
        <v>250131.82477000018</v>
      </c>
      <c r="M39" s="10">
        <v>26.835530000000002</v>
      </c>
      <c r="N39" s="10">
        <v>4919.1666299999988</v>
      </c>
      <c r="O39" s="10">
        <v>4059.8465700000006</v>
      </c>
      <c r="P39" s="10">
        <v>247.80037000000004</v>
      </c>
      <c r="Q39" s="10">
        <v>93.019899999999993</v>
      </c>
      <c r="R39" s="10">
        <v>63628.917879999979</v>
      </c>
      <c r="S39" s="10">
        <v>5451.8693900000007</v>
      </c>
      <c r="T39" s="10">
        <v>54989.448019999996</v>
      </c>
      <c r="U39" s="10">
        <v>7254.51451</v>
      </c>
      <c r="V39" s="10">
        <v>10198.825849999996</v>
      </c>
      <c r="W39" s="10">
        <v>10223.742099999996</v>
      </c>
      <c r="X39" s="10">
        <v>42551.79993999999</v>
      </c>
      <c r="Y39" s="10">
        <v>4640.7448400000021</v>
      </c>
      <c r="Z39" s="10">
        <v>5032.7100799999989</v>
      </c>
      <c r="AA39" s="10">
        <v>2.8088800000000003</v>
      </c>
      <c r="AB39" s="10">
        <v>1731.7689700000003</v>
      </c>
      <c r="AC39" s="10">
        <v>27256.907519999997</v>
      </c>
      <c r="AD39" s="10">
        <v>1986087.5051999995</v>
      </c>
      <c r="AE39" s="10">
        <v>13266.936849999995</v>
      </c>
      <c r="AF39" s="10">
        <v>9646.3747400000047</v>
      </c>
      <c r="AG39" s="10">
        <v>21225.331249999999</v>
      </c>
      <c r="AH39" s="10">
        <v>17524.253689999998</v>
      </c>
      <c r="AI39" s="10">
        <v>6141.4477199999983</v>
      </c>
      <c r="AJ39" s="10">
        <v>39026.201000000001</v>
      </c>
      <c r="AK39" s="10">
        <v>17256.372410000007</v>
      </c>
      <c r="AL39" s="10">
        <v>6203.3436900000015</v>
      </c>
      <c r="AM39" s="10">
        <v>0</v>
      </c>
      <c r="AN39" s="10">
        <v>66.938969999999998</v>
      </c>
      <c r="AO39" s="10">
        <v>33825.640009999988</v>
      </c>
      <c r="AP39" s="10">
        <v>108354.06315000007</v>
      </c>
      <c r="AQ39" s="10">
        <v>4965.8631400000004</v>
      </c>
      <c r="AR39" s="10">
        <v>2190.6455599999999</v>
      </c>
      <c r="AS39" s="10">
        <v>3761.2905499999983</v>
      </c>
      <c r="AT39" s="10">
        <v>310.38709999999998</v>
      </c>
      <c r="AU39" s="10">
        <v>3315.4500200000007</v>
      </c>
      <c r="AV39" s="10">
        <v>1.03549</v>
      </c>
      <c r="AW39" s="10">
        <v>50.260019999999997</v>
      </c>
      <c r="AX39" s="10">
        <v>48.358029999999999</v>
      </c>
      <c r="AY39" s="10">
        <v>28193.501070000002</v>
      </c>
      <c r="AZ39" s="10">
        <v>2804.3647800000003</v>
      </c>
      <c r="BA39" s="10">
        <v>0.53354999999999997</v>
      </c>
      <c r="BB39" s="10">
        <v>2.3468</v>
      </c>
      <c r="BC39" s="10">
        <v>472.38171000000011</v>
      </c>
      <c r="BD39" s="10">
        <v>15.971329999999998</v>
      </c>
      <c r="BE39" s="10">
        <v>4875.0161899999957</v>
      </c>
      <c r="BF39" s="10">
        <v>670.6048900000003</v>
      </c>
      <c r="BG39" s="10">
        <v>863.08958999999982</v>
      </c>
      <c r="BH39" s="10">
        <v>72.339060000000018</v>
      </c>
      <c r="BI39" s="10">
        <v>523.39793999999995</v>
      </c>
      <c r="BJ39" s="10">
        <v>3884.9402300000002</v>
      </c>
      <c r="BK39" s="10">
        <v>3029.4443899999997</v>
      </c>
      <c r="BL39" s="10">
        <v>14474.632040000002</v>
      </c>
      <c r="BM39" s="10">
        <v>15703.490520000003</v>
      </c>
      <c r="BN39" s="10">
        <v>5434.9760000000024</v>
      </c>
      <c r="BO39" s="10">
        <v>2186.4832600000013</v>
      </c>
      <c r="BP39" s="10">
        <v>813.70155999999997</v>
      </c>
      <c r="BQ39" s="10">
        <v>120.97204000000001</v>
      </c>
      <c r="BR39" s="10">
        <v>1.9917599999999998</v>
      </c>
      <c r="BS39" s="10">
        <v>3368.8996400000001</v>
      </c>
      <c r="BT39" s="10">
        <v>5809.8789000000006</v>
      </c>
      <c r="BU39" s="10">
        <v>11178.498469999999</v>
      </c>
      <c r="BV39" s="10">
        <v>258153.47490000009</v>
      </c>
      <c r="BW39" s="10">
        <v>105402.68367</v>
      </c>
      <c r="BX39" s="10">
        <v>18940.916610000007</v>
      </c>
      <c r="BY39" s="10">
        <v>25193.54422</v>
      </c>
      <c r="BZ39" s="10">
        <v>24.53464</v>
      </c>
      <c r="CA39" s="10">
        <v>59909.171420000006</v>
      </c>
      <c r="CB39" s="10">
        <v>1404.8207299999999</v>
      </c>
      <c r="CC39" s="10">
        <v>204.69924</v>
      </c>
      <c r="CD39" s="10">
        <v>0.29825999999999997</v>
      </c>
      <c r="CE39" s="10">
        <v>152.90883000000002</v>
      </c>
      <c r="CF39" s="10">
        <v>2712.6865099999973</v>
      </c>
      <c r="CG39" s="10">
        <v>2690.5421299999998</v>
      </c>
      <c r="CH39" s="10">
        <v>26276.428049999984</v>
      </c>
      <c r="CI39" s="10">
        <v>45086.194829999971</v>
      </c>
      <c r="CJ39" s="10">
        <v>29.262310000000003</v>
      </c>
      <c r="CK39" s="10">
        <v>10646.50927000001</v>
      </c>
      <c r="CL39" s="10">
        <v>413.74443000000008</v>
      </c>
      <c r="CM39" s="10">
        <v>454.97771999999998</v>
      </c>
      <c r="CN39" s="10">
        <v>5022.5191000000013</v>
      </c>
      <c r="CO39" s="10">
        <v>27.052739999999996</v>
      </c>
      <c r="CP39" s="10">
        <v>3.7349600000000001</v>
      </c>
      <c r="CQ39" s="10">
        <v>0</v>
      </c>
      <c r="CR39" s="10">
        <v>18209.335619999994</v>
      </c>
      <c r="CS39" s="10">
        <v>2418.2403500000009</v>
      </c>
      <c r="CT39" s="10">
        <v>8437.6009300000023</v>
      </c>
      <c r="CU39" s="10">
        <v>10.252000000000001</v>
      </c>
      <c r="CV39" s="10">
        <v>1095.8305399999999</v>
      </c>
      <c r="CW39" s="11">
        <v>3733193.2482000003</v>
      </c>
      <c r="CX39" s="11">
        <v>3733193.2482000003</v>
      </c>
    </row>
    <row r="40" spans="1:102">
      <c r="A40" s="7">
        <f t="shared" ca="1" si="1"/>
        <v>2023</v>
      </c>
      <c r="B40" s="7">
        <f t="shared" ca="1" si="2"/>
        <v>1</v>
      </c>
      <c r="C40" s="9">
        <v>44958</v>
      </c>
      <c r="D40" s="12">
        <v>3887.0888500000001</v>
      </c>
      <c r="E40" s="12">
        <v>14271.256290000001</v>
      </c>
      <c r="F40" s="12">
        <v>11585.119720000001</v>
      </c>
      <c r="G40" s="12">
        <v>2138.7251800000004</v>
      </c>
      <c r="H40" s="12">
        <v>4648.53809</v>
      </c>
      <c r="I40" s="12">
        <v>225436.31913000008</v>
      </c>
      <c r="J40" s="12">
        <v>3571.2044299999993</v>
      </c>
      <c r="K40" s="12">
        <v>90430.657369999943</v>
      </c>
      <c r="L40" s="12">
        <v>261153.29106999992</v>
      </c>
      <c r="M40" s="12">
        <v>49.136740000000003</v>
      </c>
      <c r="N40" s="12">
        <v>7729.1669499999962</v>
      </c>
      <c r="O40" s="12">
        <v>4103.8752000000004</v>
      </c>
      <c r="P40" s="12">
        <v>100.6499</v>
      </c>
      <c r="Q40" s="12">
        <v>60.782740000000004</v>
      </c>
      <c r="R40" s="12">
        <v>80804.064939999967</v>
      </c>
      <c r="S40" s="12">
        <v>2122.4802</v>
      </c>
      <c r="T40" s="12">
        <v>44454.871429999992</v>
      </c>
      <c r="U40" s="12">
        <v>9614.7075200000036</v>
      </c>
      <c r="V40" s="12">
        <v>16320.011560000004</v>
      </c>
      <c r="W40" s="12">
        <v>11410.840110000003</v>
      </c>
      <c r="X40" s="12">
        <v>43543.76744999997</v>
      </c>
      <c r="Y40" s="12">
        <v>5036.1545699999997</v>
      </c>
      <c r="Z40" s="12">
        <v>6087.6197600000005</v>
      </c>
      <c r="AA40" s="12">
        <v>350.2396</v>
      </c>
      <c r="AB40" s="12">
        <v>1913.1877700000005</v>
      </c>
      <c r="AC40" s="12">
        <v>13799.540470000002</v>
      </c>
      <c r="AD40" s="12">
        <v>2314800.3299399996</v>
      </c>
      <c r="AE40" s="12">
        <v>14668.145689999996</v>
      </c>
      <c r="AF40" s="12">
        <v>11684.994449999995</v>
      </c>
      <c r="AG40" s="12">
        <v>32798.149199999985</v>
      </c>
      <c r="AH40" s="12">
        <v>9579.3547800000033</v>
      </c>
      <c r="AI40" s="12">
        <v>10642.554460000003</v>
      </c>
      <c r="AJ40" s="12">
        <v>51668.264109999975</v>
      </c>
      <c r="AK40" s="12">
        <v>18383.532909999998</v>
      </c>
      <c r="AL40" s="12">
        <v>7130.010470000002</v>
      </c>
      <c r="AM40" s="12">
        <v>0</v>
      </c>
      <c r="AN40" s="12">
        <v>37.51417</v>
      </c>
      <c r="AO40" s="12">
        <v>29455.381350000011</v>
      </c>
      <c r="AP40" s="12">
        <v>119966.83255000014</v>
      </c>
      <c r="AQ40" s="12">
        <v>9872.057969999998</v>
      </c>
      <c r="AR40" s="12">
        <v>3371.4111900000003</v>
      </c>
      <c r="AS40" s="12">
        <v>3212.28496</v>
      </c>
      <c r="AT40" s="12">
        <v>543.11110999999994</v>
      </c>
      <c r="AU40" s="12">
        <v>3532.9527499999995</v>
      </c>
      <c r="AV40" s="12">
        <v>12.622159999999997</v>
      </c>
      <c r="AW40" s="12">
        <v>103.40044999999998</v>
      </c>
      <c r="AX40" s="12">
        <v>35.645940000000003</v>
      </c>
      <c r="AY40" s="12">
        <v>27429.053400000012</v>
      </c>
      <c r="AZ40" s="12">
        <v>3499.3138199999999</v>
      </c>
      <c r="BA40" s="12">
        <v>0</v>
      </c>
      <c r="BB40" s="12">
        <v>1.7518699999999998</v>
      </c>
      <c r="BC40" s="12">
        <v>1915.1364300000009</v>
      </c>
      <c r="BD40" s="12">
        <v>37.23621</v>
      </c>
      <c r="BE40" s="12">
        <v>4095.2962600000019</v>
      </c>
      <c r="BF40" s="12">
        <v>709.90521000000012</v>
      </c>
      <c r="BG40" s="12">
        <v>999.90047000000004</v>
      </c>
      <c r="BH40" s="12">
        <v>144.47732999999999</v>
      </c>
      <c r="BI40" s="12">
        <v>623.14599999999996</v>
      </c>
      <c r="BJ40" s="12">
        <v>3773.5638500000014</v>
      </c>
      <c r="BK40" s="12">
        <v>5272.1386700000039</v>
      </c>
      <c r="BL40" s="12">
        <v>17101.079550000024</v>
      </c>
      <c r="BM40" s="12">
        <v>21358.576380000035</v>
      </c>
      <c r="BN40" s="12">
        <v>4936.7971700000044</v>
      </c>
      <c r="BO40" s="12">
        <v>2426.0111799999986</v>
      </c>
      <c r="BP40" s="12">
        <v>1357.8333000000002</v>
      </c>
      <c r="BQ40" s="12">
        <v>28.820520000000002</v>
      </c>
      <c r="BR40" s="12">
        <v>6.1372800000000005</v>
      </c>
      <c r="BS40" s="12">
        <v>3519.1112699999994</v>
      </c>
      <c r="BT40" s="12">
        <v>7832.6493100000007</v>
      </c>
      <c r="BU40" s="12">
        <v>11608.584290000006</v>
      </c>
      <c r="BV40" s="12">
        <v>269931.92745000008</v>
      </c>
      <c r="BW40" s="12">
        <v>46409.512530000029</v>
      </c>
      <c r="BX40" s="12">
        <v>16443.527399999999</v>
      </c>
      <c r="BY40" s="12">
        <v>25414.653099999989</v>
      </c>
      <c r="BZ40" s="12">
        <v>1.5214099999999999</v>
      </c>
      <c r="CA40" s="12">
        <v>93245.527420000159</v>
      </c>
      <c r="CB40" s="12">
        <v>0.38001999999999997</v>
      </c>
      <c r="CC40" s="12">
        <v>481.19984999999991</v>
      </c>
      <c r="CD40" s="12">
        <v>2.3745400000000001</v>
      </c>
      <c r="CE40" s="12">
        <v>179.91079999999999</v>
      </c>
      <c r="CF40" s="12">
        <v>5689.9406399999962</v>
      </c>
      <c r="CG40" s="12">
        <v>4551.386849999999</v>
      </c>
      <c r="CH40" s="12">
        <v>35538.879299999964</v>
      </c>
      <c r="CI40" s="12">
        <v>50558.466929999966</v>
      </c>
      <c r="CJ40" s="12">
        <v>24.856000000000002</v>
      </c>
      <c r="CK40" s="12">
        <v>26119.143130000008</v>
      </c>
      <c r="CL40" s="12">
        <v>392.21548000000001</v>
      </c>
      <c r="CM40" s="12">
        <v>132.256</v>
      </c>
      <c r="CN40" s="12">
        <v>6601.5406000000021</v>
      </c>
      <c r="CO40" s="12">
        <v>44.823730000000005</v>
      </c>
      <c r="CP40" s="12">
        <v>9.0724399999999985</v>
      </c>
      <c r="CQ40" s="12">
        <v>2717.6547500000001</v>
      </c>
      <c r="CR40" s="12">
        <v>11222.32004000001</v>
      </c>
      <c r="CS40" s="12">
        <v>2416.1361799999995</v>
      </c>
      <c r="CT40" s="12">
        <v>13817.288289999999</v>
      </c>
      <c r="CU40" s="12">
        <v>876.16890999999987</v>
      </c>
      <c r="CV40" s="12">
        <v>1073.0192</v>
      </c>
      <c r="CW40" s="13">
        <v>4238694.0704099992</v>
      </c>
      <c r="CX40" s="13">
        <v>4238694.0704099992</v>
      </c>
    </row>
    <row r="41" spans="1:102">
      <c r="A41" s="7">
        <f t="shared" ca="1" si="1"/>
        <v>2023</v>
      </c>
      <c r="B41" s="7">
        <f t="shared" ca="1" si="2"/>
        <v>1</v>
      </c>
      <c r="C41" s="8">
        <v>44986</v>
      </c>
      <c r="D41" s="10">
        <v>25740.670839999999</v>
      </c>
      <c r="E41" s="10">
        <v>11095.35161</v>
      </c>
      <c r="F41" s="10">
        <v>10403.571390000001</v>
      </c>
      <c r="G41" s="10">
        <v>2408.51764</v>
      </c>
      <c r="H41" s="10">
        <v>5583.6055799999995</v>
      </c>
      <c r="I41" s="10">
        <v>215602.71648999999</v>
      </c>
      <c r="J41" s="10">
        <v>3844.64914</v>
      </c>
      <c r="K41" s="10">
        <v>129622.05875000003</v>
      </c>
      <c r="L41" s="10">
        <v>292938.54756000021</v>
      </c>
      <c r="M41" s="10">
        <v>189.80493999999996</v>
      </c>
      <c r="N41" s="10">
        <v>6071.2026099999985</v>
      </c>
      <c r="O41" s="10">
        <v>4365.9556499999999</v>
      </c>
      <c r="P41" s="10">
        <v>452.26497000000001</v>
      </c>
      <c r="Q41" s="10">
        <v>169.57626999999999</v>
      </c>
      <c r="R41" s="10">
        <v>101344.11621000001</v>
      </c>
      <c r="S41" s="10">
        <v>2219.8268199999998</v>
      </c>
      <c r="T41" s="10">
        <v>59892.696259999968</v>
      </c>
      <c r="U41" s="10">
        <v>9955.1085599999951</v>
      </c>
      <c r="V41" s="10">
        <v>19112.563399999995</v>
      </c>
      <c r="W41" s="10">
        <v>13657.034200000002</v>
      </c>
      <c r="X41" s="10">
        <v>53456.321960000074</v>
      </c>
      <c r="Y41" s="10">
        <v>5362.2196599999997</v>
      </c>
      <c r="Z41" s="10">
        <v>7377.3554899999999</v>
      </c>
      <c r="AA41" s="10">
        <v>830.36735999999996</v>
      </c>
      <c r="AB41" s="10">
        <v>2459.5415199999998</v>
      </c>
      <c r="AC41" s="10">
        <v>13258.12463</v>
      </c>
      <c r="AD41" s="10">
        <v>2185495.990900001</v>
      </c>
      <c r="AE41" s="10">
        <v>12000.663550000005</v>
      </c>
      <c r="AF41" s="10">
        <v>18504.274729999994</v>
      </c>
      <c r="AG41" s="10">
        <v>43848.188939999993</v>
      </c>
      <c r="AH41" s="10">
        <v>4852.40139</v>
      </c>
      <c r="AI41" s="10">
        <v>11528.577169999999</v>
      </c>
      <c r="AJ41" s="10">
        <v>45991.274379999981</v>
      </c>
      <c r="AK41" s="10">
        <v>20531.828679999984</v>
      </c>
      <c r="AL41" s="10">
        <v>7080.4530199999999</v>
      </c>
      <c r="AM41" s="10">
        <v>358.08</v>
      </c>
      <c r="AN41" s="10">
        <v>1.6875599999999999</v>
      </c>
      <c r="AO41" s="10">
        <v>41971.222600000023</v>
      </c>
      <c r="AP41" s="10">
        <v>142656.22127000013</v>
      </c>
      <c r="AQ41" s="10">
        <v>11833.409099999997</v>
      </c>
      <c r="AR41" s="10">
        <v>3009.5825799999998</v>
      </c>
      <c r="AS41" s="10">
        <v>3967.6080299999999</v>
      </c>
      <c r="AT41" s="10">
        <v>757.46181000000001</v>
      </c>
      <c r="AU41" s="10">
        <v>5700.6225400000003</v>
      </c>
      <c r="AV41" s="10">
        <v>12.18</v>
      </c>
      <c r="AW41" s="10">
        <v>208.40252000000004</v>
      </c>
      <c r="AX41" s="10">
        <v>74.587649999999996</v>
      </c>
      <c r="AY41" s="10">
        <v>33978.589439999996</v>
      </c>
      <c r="AZ41" s="10">
        <v>4254.2990000000018</v>
      </c>
      <c r="BA41" s="10">
        <v>0</v>
      </c>
      <c r="BB41" s="10">
        <v>0.3</v>
      </c>
      <c r="BC41" s="10">
        <v>1719.7104600000007</v>
      </c>
      <c r="BD41" s="10">
        <v>85.955180000000013</v>
      </c>
      <c r="BE41" s="10">
        <v>6950.6746299999968</v>
      </c>
      <c r="BF41" s="10">
        <v>1323.0311500000012</v>
      </c>
      <c r="BG41" s="10">
        <v>1298.49513</v>
      </c>
      <c r="BH41" s="10">
        <v>190.02851999999999</v>
      </c>
      <c r="BI41" s="10">
        <v>1119.1960299999998</v>
      </c>
      <c r="BJ41" s="10">
        <v>3040.2435099999989</v>
      </c>
      <c r="BK41" s="10">
        <v>4686.1709000000001</v>
      </c>
      <c r="BL41" s="10">
        <v>17623.73038999999</v>
      </c>
      <c r="BM41" s="10">
        <v>23752.616540000017</v>
      </c>
      <c r="BN41" s="10">
        <v>8540.1166299999986</v>
      </c>
      <c r="BO41" s="10">
        <v>2903.3070900000002</v>
      </c>
      <c r="BP41" s="10">
        <v>822.16580999999985</v>
      </c>
      <c r="BQ41" s="10">
        <v>29.390580000000003</v>
      </c>
      <c r="BR41" s="10">
        <v>0</v>
      </c>
      <c r="BS41" s="10">
        <v>5537.3077999999987</v>
      </c>
      <c r="BT41" s="10">
        <v>9248.630589999997</v>
      </c>
      <c r="BU41" s="10">
        <v>16322.311310000001</v>
      </c>
      <c r="BV41" s="10">
        <v>317137.21048000007</v>
      </c>
      <c r="BW41" s="10">
        <v>73544.733590000003</v>
      </c>
      <c r="BX41" s="10">
        <v>24605.092210000024</v>
      </c>
      <c r="BY41" s="10">
        <v>37170.782040000006</v>
      </c>
      <c r="BZ41" s="10">
        <v>3.2904900000000001</v>
      </c>
      <c r="CA41" s="10">
        <v>105826.90218000005</v>
      </c>
      <c r="CB41" s="10">
        <v>389.56022999999999</v>
      </c>
      <c r="CC41" s="10">
        <v>1117.9934900000003</v>
      </c>
      <c r="CD41" s="10">
        <v>25.413</v>
      </c>
      <c r="CE41" s="10">
        <v>194.89826000000002</v>
      </c>
      <c r="CF41" s="10">
        <v>5286.1720600000053</v>
      </c>
      <c r="CG41" s="10">
        <v>4275.7022000000015</v>
      </c>
      <c r="CH41" s="10">
        <v>43770.329560000071</v>
      </c>
      <c r="CI41" s="10">
        <v>68493.101330000034</v>
      </c>
      <c r="CJ41" s="10">
        <v>72.0548</v>
      </c>
      <c r="CK41" s="10">
        <v>37672.036100000041</v>
      </c>
      <c r="CL41" s="10">
        <v>408.67061000000001</v>
      </c>
      <c r="CM41" s="10">
        <v>315.22399999999999</v>
      </c>
      <c r="CN41" s="10">
        <v>8220.5013100000051</v>
      </c>
      <c r="CO41" s="10">
        <v>40.535669999999989</v>
      </c>
      <c r="CP41" s="10">
        <v>2.7850000000000001</v>
      </c>
      <c r="CQ41" s="10">
        <v>107.74995999999999</v>
      </c>
      <c r="CR41" s="10">
        <v>18475.144179999992</v>
      </c>
      <c r="CS41" s="10">
        <v>2253.7386000000006</v>
      </c>
      <c r="CT41" s="10">
        <v>13288.790900000002</v>
      </c>
      <c r="CU41" s="10">
        <v>608.28455000000008</v>
      </c>
      <c r="CV41" s="10">
        <v>840.19772999999998</v>
      </c>
      <c r="CW41" s="11">
        <v>4465371.6531500015</v>
      </c>
      <c r="CX41" s="11">
        <v>4465371.6531500015</v>
      </c>
    </row>
    <row r="42" spans="1:102">
      <c r="A42" s="7">
        <f t="shared" ca="1" si="1"/>
        <v>2023</v>
      </c>
      <c r="B42" s="7">
        <f t="shared" ca="1" si="2"/>
        <v>2</v>
      </c>
      <c r="C42" s="9">
        <v>45017</v>
      </c>
      <c r="D42" s="12">
        <v>17818.040419999998</v>
      </c>
      <c r="E42" s="12">
        <v>9314.2455699999991</v>
      </c>
      <c r="F42" s="12">
        <v>19493.805390000001</v>
      </c>
      <c r="G42" s="12">
        <v>2225.8132500000006</v>
      </c>
      <c r="H42" s="12">
        <v>3580.9298599999997</v>
      </c>
      <c r="I42" s="12">
        <v>146754.82665999985</v>
      </c>
      <c r="J42" s="12">
        <v>2526.8284099999996</v>
      </c>
      <c r="K42" s="12">
        <v>111917.16867999997</v>
      </c>
      <c r="L42" s="12">
        <v>212748.01435000001</v>
      </c>
      <c r="M42" s="12">
        <v>965.45927000000006</v>
      </c>
      <c r="N42" s="12">
        <v>9632.7011800000037</v>
      </c>
      <c r="O42" s="12">
        <v>3585.2485799999999</v>
      </c>
      <c r="P42" s="12">
        <v>530.26678000000004</v>
      </c>
      <c r="Q42" s="12">
        <v>127.63412</v>
      </c>
      <c r="R42" s="12">
        <v>78424.709539999996</v>
      </c>
      <c r="S42" s="12">
        <v>2601.3272400000001</v>
      </c>
      <c r="T42" s="12">
        <v>56043.822689999986</v>
      </c>
      <c r="U42" s="12">
        <v>8501.6636899999994</v>
      </c>
      <c r="V42" s="12">
        <v>17096.045399999995</v>
      </c>
      <c r="W42" s="12">
        <v>12422.421219999995</v>
      </c>
      <c r="X42" s="12">
        <v>40622.25954000005</v>
      </c>
      <c r="Y42" s="12">
        <v>4481.1595800000005</v>
      </c>
      <c r="Z42" s="12">
        <v>4713.4267900000013</v>
      </c>
      <c r="AA42" s="12">
        <v>935.36175000000003</v>
      </c>
      <c r="AB42" s="12">
        <v>2436.2450400000007</v>
      </c>
      <c r="AC42" s="12">
        <v>32425.486949999999</v>
      </c>
      <c r="AD42" s="12">
        <v>1834740.3967900004</v>
      </c>
      <c r="AE42" s="12">
        <v>15561.642360000007</v>
      </c>
      <c r="AF42" s="12">
        <v>15333.940769999999</v>
      </c>
      <c r="AG42" s="12">
        <v>34651.255989999991</v>
      </c>
      <c r="AH42" s="12">
        <v>13777.920710000002</v>
      </c>
      <c r="AI42" s="12">
        <v>9911.0075899999974</v>
      </c>
      <c r="AJ42" s="12">
        <v>47628.292649999916</v>
      </c>
      <c r="AK42" s="12">
        <v>18380.40123000001</v>
      </c>
      <c r="AL42" s="12">
        <v>4614.2564000000002</v>
      </c>
      <c r="AM42" s="12">
        <v>0</v>
      </c>
      <c r="AN42" s="12">
        <v>21.30481</v>
      </c>
      <c r="AO42" s="12">
        <v>40966.56518999995</v>
      </c>
      <c r="AP42" s="12">
        <v>115978.74461000001</v>
      </c>
      <c r="AQ42" s="12">
        <v>8821.4761899999958</v>
      </c>
      <c r="AR42" s="12">
        <v>2988.0117799999994</v>
      </c>
      <c r="AS42" s="12">
        <v>4593.7474499999989</v>
      </c>
      <c r="AT42" s="12">
        <v>380.65978999999999</v>
      </c>
      <c r="AU42" s="12">
        <v>4532.5716199999988</v>
      </c>
      <c r="AV42" s="12">
        <v>7.3807499999999999</v>
      </c>
      <c r="AW42" s="12">
        <v>149.47409999999996</v>
      </c>
      <c r="AX42" s="12">
        <v>423.74549000000007</v>
      </c>
      <c r="AY42" s="12">
        <v>33466.329379999988</v>
      </c>
      <c r="AZ42" s="12">
        <v>3187.7159599999995</v>
      </c>
      <c r="BA42" s="12">
        <v>0.60677000000000003</v>
      </c>
      <c r="BB42" s="12">
        <v>1.0241099999999999</v>
      </c>
      <c r="BC42" s="12">
        <v>1388.8135100000002</v>
      </c>
      <c r="BD42" s="12">
        <v>51.97186</v>
      </c>
      <c r="BE42" s="12">
        <v>4935.3212499999963</v>
      </c>
      <c r="BF42" s="12">
        <v>804.77538000000004</v>
      </c>
      <c r="BG42" s="12">
        <v>1070.95207</v>
      </c>
      <c r="BH42" s="12">
        <v>42.901059999999987</v>
      </c>
      <c r="BI42" s="12">
        <v>931.24248000000046</v>
      </c>
      <c r="BJ42" s="12">
        <v>2852.4196799999986</v>
      </c>
      <c r="BK42" s="12">
        <v>4856.4989799999994</v>
      </c>
      <c r="BL42" s="12">
        <v>17125.94152</v>
      </c>
      <c r="BM42" s="12">
        <v>18954.581849999991</v>
      </c>
      <c r="BN42" s="12">
        <v>6302.7094400000024</v>
      </c>
      <c r="BO42" s="12">
        <v>3083.8590100000019</v>
      </c>
      <c r="BP42" s="12">
        <v>1110.5170699999994</v>
      </c>
      <c r="BQ42" s="12">
        <v>105.52055000000001</v>
      </c>
      <c r="BR42" s="12">
        <v>6.2312200000000004</v>
      </c>
      <c r="BS42" s="12">
        <v>5298.4110400000018</v>
      </c>
      <c r="BT42" s="12">
        <v>8268.2244100000025</v>
      </c>
      <c r="BU42" s="12">
        <v>13558.454280000009</v>
      </c>
      <c r="BV42" s="12">
        <v>260903.9256299999</v>
      </c>
      <c r="BW42" s="12">
        <v>51606.030350000023</v>
      </c>
      <c r="BX42" s="12">
        <v>20791.769229999991</v>
      </c>
      <c r="BY42" s="12">
        <v>21202.112559999994</v>
      </c>
      <c r="BZ42" s="12">
        <v>9.0495200000000011</v>
      </c>
      <c r="CA42" s="12">
        <v>63749.984380000024</v>
      </c>
      <c r="CB42" s="12">
        <v>733.37868999999989</v>
      </c>
      <c r="CC42" s="12">
        <v>1.25424</v>
      </c>
      <c r="CD42" s="12">
        <v>0</v>
      </c>
      <c r="CE42" s="12">
        <v>20.636939999999999</v>
      </c>
      <c r="CF42" s="12">
        <v>5461.4527800000005</v>
      </c>
      <c r="CG42" s="12">
        <v>3122.3128799999986</v>
      </c>
      <c r="CH42" s="12">
        <v>41148.115319999953</v>
      </c>
      <c r="CI42" s="12">
        <v>66362.867709999977</v>
      </c>
      <c r="CJ42" s="12">
        <v>12.184470000000001</v>
      </c>
      <c r="CK42" s="12">
        <v>60030.246619999976</v>
      </c>
      <c r="CL42" s="12">
        <v>3755.4366400000004</v>
      </c>
      <c r="CM42" s="12">
        <v>76.429169999999999</v>
      </c>
      <c r="CN42" s="12">
        <v>7521.6633100000017</v>
      </c>
      <c r="CO42" s="12">
        <v>3.5666499999999997</v>
      </c>
      <c r="CP42" s="12">
        <v>13.884739999999999</v>
      </c>
      <c r="CQ42" s="12">
        <v>395.04399999999998</v>
      </c>
      <c r="CR42" s="12">
        <v>15209.545540000006</v>
      </c>
      <c r="CS42" s="12">
        <v>3136.894690000001</v>
      </c>
      <c r="CT42" s="12">
        <v>10414.608360000002</v>
      </c>
      <c r="CU42" s="12">
        <v>181.88488000000001</v>
      </c>
      <c r="CV42" s="12">
        <v>556.82209</v>
      </c>
      <c r="CW42" s="13">
        <v>3739213.8324900004</v>
      </c>
      <c r="CX42" s="13">
        <v>3739213.8324900004</v>
      </c>
    </row>
    <row r="43" spans="1:102">
      <c r="A43" s="7">
        <f t="shared" ca="1" si="1"/>
        <v>2023</v>
      </c>
      <c r="B43" s="7">
        <f t="shared" ca="1" si="2"/>
        <v>2</v>
      </c>
      <c r="C43" s="8">
        <v>45047</v>
      </c>
      <c r="D43" s="10">
        <v>35387.960860000007</v>
      </c>
      <c r="E43" s="10">
        <v>11915.794529999999</v>
      </c>
      <c r="F43" s="10">
        <v>18360.793550000002</v>
      </c>
      <c r="G43" s="10">
        <v>2402.8147399999998</v>
      </c>
      <c r="H43" s="10">
        <v>4742.0219100000004</v>
      </c>
      <c r="I43" s="10">
        <v>225073.35574999976</v>
      </c>
      <c r="J43" s="10">
        <v>3275.8948200000004</v>
      </c>
      <c r="K43" s="10">
        <v>130359.3225499999</v>
      </c>
      <c r="L43" s="10">
        <v>251607.49657999992</v>
      </c>
      <c r="M43" s="10">
        <v>658.39616999999987</v>
      </c>
      <c r="N43" s="10">
        <v>7176.7276300000021</v>
      </c>
      <c r="O43" s="10">
        <v>4472.0106399999995</v>
      </c>
      <c r="P43" s="10">
        <v>646.38521999999978</v>
      </c>
      <c r="Q43" s="10">
        <v>168.52673999999999</v>
      </c>
      <c r="R43" s="10">
        <v>115051.74796999991</v>
      </c>
      <c r="S43" s="10">
        <v>1333.8666799999999</v>
      </c>
      <c r="T43" s="10">
        <v>64330.785119999971</v>
      </c>
      <c r="U43" s="10">
        <v>10604.154460000002</v>
      </c>
      <c r="V43" s="10">
        <v>21594.645429999997</v>
      </c>
      <c r="W43" s="10">
        <v>14652.529170000002</v>
      </c>
      <c r="X43" s="10">
        <v>53972.166370000021</v>
      </c>
      <c r="Y43" s="10">
        <v>5618.0009200000022</v>
      </c>
      <c r="Z43" s="10">
        <v>7980.0239000000001</v>
      </c>
      <c r="AA43" s="10">
        <v>1000.6024</v>
      </c>
      <c r="AB43" s="10">
        <v>2803.7974800000006</v>
      </c>
      <c r="AC43" s="10">
        <v>62656.909599999992</v>
      </c>
      <c r="AD43" s="10">
        <v>2107092.1475400007</v>
      </c>
      <c r="AE43" s="10">
        <v>11913.83995</v>
      </c>
      <c r="AF43" s="10">
        <v>18904.782440000006</v>
      </c>
      <c r="AG43" s="10">
        <v>39220.183539999984</v>
      </c>
      <c r="AH43" s="10">
        <v>4646.2750000000005</v>
      </c>
      <c r="AI43" s="10">
        <v>12034.654000000011</v>
      </c>
      <c r="AJ43" s="10">
        <v>52207.802479999977</v>
      </c>
      <c r="AK43" s="10">
        <v>23956.670009999983</v>
      </c>
      <c r="AL43" s="10">
        <v>5935.9345199999998</v>
      </c>
      <c r="AM43" s="10">
        <v>0</v>
      </c>
      <c r="AN43" s="10">
        <v>71.10669</v>
      </c>
      <c r="AO43" s="10">
        <v>48678.313170000009</v>
      </c>
      <c r="AP43" s="10">
        <v>129778.7750400001</v>
      </c>
      <c r="AQ43" s="10">
        <v>11948.49777</v>
      </c>
      <c r="AR43" s="10">
        <v>3706.5088699999997</v>
      </c>
      <c r="AS43" s="10">
        <v>4737.5256900000004</v>
      </c>
      <c r="AT43" s="10">
        <v>917.53905999999995</v>
      </c>
      <c r="AU43" s="10">
        <v>6010.7565499999955</v>
      </c>
      <c r="AV43" s="10">
        <v>3.3444099999999999</v>
      </c>
      <c r="AW43" s="10">
        <v>65.021929999999998</v>
      </c>
      <c r="AX43" s="10">
        <v>108.71724</v>
      </c>
      <c r="AY43" s="10">
        <v>41339.232640000002</v>
      </c>
      <c r="AZ43" s="10">
        <v>4868.1977800000022</v>
      </c>
      <c r="BA43" s="10">
        <v>0</v>
      </c>
      <c r="BB43" s="10">
        <v>0.47399999999999998</v>
      </c>
      <c r="BC43" s="10">
        <v>1497.9402299999995</v>
      </c>
      <c r="BD43" s="10">
        <v>83.536810000000003</v>
      </c>
      <c r="BE43" s="10">
        <v>6374.0557900000013</v>
      </c>
      <c r="BF43" s="10">
        <v>1131.1800599999999</v>
      </c>
      <c r="BG43" s="10">
        <v>1602.2155500000001</v>
      </c>
      <c r="BH43" s="10">
        <v>83.639030000000005</v>
      </c>
      <c r="BI43" s="10">
        <v>906.82215000000019</v>
      </c>
      <c r="BJ43" s="10">
        <v>3507.9950400000002</v>
      </c>
      <c r="BK43" s="10">
        <v>4458.4361799999942</v>
      </c>
      <c r="BL43" s="10">
        <v>21098.068449999984</v>
      </c>
      <c r="BM43" s="10">
        <v>25236.484650000013</v>
      </c>
      <c r="BN43" s="10">
        <v>9682.3285100000012</v>
      </c>
      <c r="BO43" s="10">
        <v>4103.1524499999996</v>
      </c>
      <c r="BP43" s="10">
        <v>1327.55627</v>
      </c>
      <c r="BQ43" s="10">
        <v>6.2496599999999995</v>
      </c>
      <c r="BR43" s="10">
        <v>1.11876</v>
      </c>
      <c r="BS43" s="10">
        <v>5914.7797700000028</v>
      </c>
      <c r="BT43" s="10">
        <v>8959.2849600000009</v>
      </c>
      <c r="BU43" s="10">
        <v>18625.414469999996</v>
      </c>
      <c r="BV43" s="10">
        <v>349822.40684999991</v>
      </c>
      <c r="BW43" s="10">
        <v>86681.542260000017</v>
      </c>
      <c r="BX43" s="10">
        <v>18781.222409999991</v>
      </c>
      <c r="BY43" s="10">
        <v>25090.729740000002</v>
      </c>
      <c r="BZ43" s="10">
        <v>15.824309999999999</v>
      </c>
      <c r="CA43" s="10">
        <v>77871.397339999923</v>
      </c>
      <c r="CB43" s="10">
        <v>973.20438999999999</v>
      </c>
      <c r="CC43" s="10">
        <v>84.534230000000022</v>
      </c>
      <c r="CD43" s="10">
        <v>4.5731599999999997</v>
      </c>
      <c r="CE43" s="10">
        <v>213.14283</v>
      </c>
      <c r="CF43" s="10">
        <v>5995.4930199999999</v>
      </c>
      <c r="CG43" s="10">
        <v>4777.8575599999995</v>
      </c>
      <c r="CH43" s="10">
        <v>45418.015769999962</v>
      </c>
      <c r="CI43" s="10">
        <v>68494.469879999975</v>
      </c>
      <c r="CJ43" s="10">
        <v>5.5532800000000009</v>
      </c>
      <c r="CK43" s="10">
        <v>61242.808130000056</v>
      </c>
      <c r="CL43" s="10">
        <v>2887.4370099999996</v>
      </c>
      <c r="CM43" s="10">
        <v>466.79899999999998</v>
      </c>
      <c r="CN43" s="10">
        <v>10444.413560000006</v>
      </c>
      <c r="CO43" s="10">
        <v>43.24776</v>
      </c>
      <c r="CP43" s="10">
        <v>93.134769999999989</v>
      </c>
      <c r="CQ43" s="10">
        <v>1065.6442400000001</v>
      </c>
      <c r="CR43" s="10">
        <v>18034.33850999999</v>
      </c>
      <c r="CS43" s="10">
        <v>3936.4116400000007</v>
      </c>
      <c r="CT43" s="10">
        <v>13758.268659999994</v>
      </c>
      <c r="CU43" s="10">
        <v>133.95729999999998</v>
      </c>
      <c r="CV43" s="10">
        <v>932.69640000000015</v>
      </c>
      <c r="CW43" s="11">
        <v>4497862.4143099999</v>
      </c>
      <c r="CX43" s="11">
        <v>4497862.4143099999</v>
      </c>
    </row>
    <row r="44" spans="1:102">
      <c r="A44" s="7">
        <f t="shared" ca="1" si="1"/>
        <v>2023</v>
      </c>
      <c r="B44" s="7">
        <f t="shared" ca="1" si="2"/>
        <v>2</v>
      </c>
      <c r="C44" s="9">
        <v>45078</v>
      </c>
      <c r="D44" s="12">
        <v>16259.854509999999</v>
      </c>
      <c r="E44" s="12">
        <v>12604.716050000005</v>
      </c>
      <c r="F44" s="12">
        <v>14953.351370000002</v>
      </c>
      <c r="G44" s="12">
        <v>2515.1853899999996</v>
      </c>
      <c r="H44" s="12">
        <v>4698.4652499999993</v>
      </c>
      <c r="I44" s="12">
        <v>175349.03641999984</v>
      </c>
      <c r="J44" s="12">
        <v>2344.0270499999997</v>
      </c>
      <c r="K44" s="12">
        <v>140348.27471</v>
      </c>
      <c r="L44" s="12">
        <v>225461.44398999991</v>
      </c>
      <c r="M44" s="12">
        <v>158.13884000000002</v>
      </c>
      <c r="N44" s="12">
        <v>8061.4215999999988</v>
      </c>
      <c r="O44" s="12">
        <v>3902.0094700000009</v>
      </c>
      <c r="P44" s="12">
        <v>216.43669999999995</v>
      </c>
      <c r="Q44" s="12">
        <v>148.70275000000001</v>
      </c>
      <c r="R44" s="12">
        <v>69372.631560000023</v>
      </c>
      <c r="S44" s="12">
        <v>2741.07357</v>
      </c>
      <c r="T44" s="12">
        <v>41062.230779999976</v>
      </c>
      <c r="U44" s="12">
        <v>11656.232490000002</v>
      </c>
      <c r="V44" s="12">
        <v>21207.914309999989</v>
      </c>
      <c r="W44" s="12">
        <v>15674.434600000002</v>
      </c>
      <c r="X44" s="12">
        <v>40690.111409999998</v>
      </c>
      <c r="Y44" s="12">
        <v>5558.6841399999967</v>
      </c>
      <c r="Z44" s="12">
        <v>7250.9079099999981</v>
      </c>
      <c r="AA44" s="12">
        <v>1268.8833</v>
      </c>
      <c r="AB44" s="12">
        <v>2905.8265900000001</v>
      </c>
      <c r="AC44" s="12">
        <v>30466.759179999997</v>
      </c>
      <c r="AD44" s="12">
        <v>1966557.4401699996</v>
      </c>
      <c r="AE44" s="12">
        <v>10315.93016</v>
      </c>
      <c r="AF44" s="12">
        <v>17623.856669999994</v>
      </c>
      <c r="AG44" s="12">
        <v>37164.144680000012</v>
      </c>
      <c r="AH44" s="12">
        <v>11196.351819999998</v>
      </c>
      <c r="AI44" s="12">
        <v>10853.232110000006</v>
      </c>
      <c r="AJ44" s="12">
        <v>49030.763870000046</v>
      </c>
      <c r="AK44" s="12">
        <v>20816.875539999983</v>
      </c>
      <c r="AL44" s="12">
        <v>5800.9126799999985</v>
      </c>
      <c r="AM44" s="12">
        <v>0</v>
      </c>
      <c r="AN44" s="12">
        <v>1.0535000000000001</v>
      </c>
      <c r="AO44" s="12">
        <v>68276.469160000008</v>
      </c>
      <c r="AP44" s="12">
        <v>128844.84490999972</v>
      </c>
      <c r="AQ44" s="12">
        <v>9583.2044199999982</v>
      </c>
      <c r="AR44" s="12">
        <v>2822.0433100000005</v>
      </c>
      <c r="AS44" s="12">
        <v>5403.5256599999966</v>
      </c>
      <c r="AT44" s="12">
        <v>362.6046</v>
      </c>
      <c r="AU44" s="12">
        <v>3749.7872999999995</v>
      </c>
      <c r="AV44" s="12">
        <v>19.36082</v>
      </c>
      <c r="AW44" s="12">
        <v>73.99251000000001</v>
      </c>
      <c r="AX44" s="12">
        <v>59.089529999999996</v>
      </c>
      <c r="AY44" s="12">
        <v>31965.861829999998</v>
      </c>
      <c r="AZ44" s="12">
        <v>3755.1462900000006</v>
      </c>
      <c r="BA44" s="12">
        <v>0</v>
      </c>
      <c r="BB44" s="12">
        <v>0</v>
      </c>
      <c r="BC44" s="12">
        <v>1940.9464200000011</v>
      </c>
      <c r="BD44" s="12">
        <v>122.39444000000002</v>
      </c>
      <c r="BE44" s="12">
        <v>6077.0484099999976</v>
      </c>
      <c r="BF44" s="12">
        <v>1264.0316299999997</v>
      </c>
      <c r="BG44" s="12">
        <v>1175.8857199999998</v>
      </c>
      <c r="BH44" s="12">
        <v>146.52584999999996</v>
      </c>
      <c r="BI44" s="12">
        <v>1089.0924399999999</v>
      </c>
      <c r="BJ44" s="12">
        <v>3802.8587699999989</v>
      </c>
      <c r="BK44" s="12">
        <v>5411.7138300000051</v>
      </c>
      <c r="BL44" s="12">
        <v>15359.560939999985</v>
      </c>
      <c r="BM44" s="12">
        <v>21023.367949999993</v>
      </c>
      <c r="BN44" s="12">
        <v>7028.5494799999988</v>
      </c>
      <c r="BO44" s="12">
        <v>4251.2552600000017</v>
      </c>
      <c r="BP44" s="12">
        <v>1391.4566300000004</v>
      </c>
      <c r="BQ44" s="12">
        <v>13.046239999999999</v>
      </c>
      <c r="BR44" s="12">
        <v>7.0595400000000001</v>
      </c>
      <c r="BS44" s="12">
        <v>5286.229449999998</v>
      </c>
      <c r="BT44" s="12">
        <v>7690.9875899999979</v>
      </c>
      <c r="BU44" s="12">
        <v>18626.859850000008</v>
      </c>
      <c r="BV44" s="12">
        <v>270336.58182999998</v>
      </c>
      <c r="BW44" s="12">
        <v>56219.261630000037</v>
      </c>
      <c r="BX44" s="12">
        <v>18594.889070000001</v>
      </c>
      <c r="BY44" s="12">
        <v>23329.072900000003</v>
      </c>
      <c r="BZ44" s="12">
        <v>16.05453</v>
      </c>
      <c r="CA44" s="12">
        <v>86624.953980000078</v>
      </c>
      <c r="CB44" s="12">
        <v>811.96325000000002</v>
      </c>
      <c r="CC44" s="12">
        <v>45.899769999999997</v>
      </c>
      <c r="CD44" s="12">
        <v>1.6000000000000001E-3</v>
      </c>
      <c r="CE44" s="12">
        <v>42.32029</v>
      </c>
      <c r="CF44" s="12">
        <v>6181.453419999998</v>
      </c>
      <c r="CG44" s="12">
        <v>4438.8521600000004</v>
      </c>
      <c r="CH44" s="12">
        <v>46001.900650000011</v>
      </c>
      <c r="CI44" s="12">
        <v>61954.147939999966</v>
      </c>
      <c r="CJ44" s="12">
        <v>13.57441</v>
      </c>
      <c r="CK44" s="12">
        <v>63325.919209999978</v>
      </c>
      <c r="CL44" s="12">
        <v>2187.1521299999999</v>
      </c>
      <c r="CM44" s="12">
        <v>270.10073</v>
      </c>
      <c r="CN44" s="12">
        <v>8864.5458699999999</v>
      </c>
      <c r="CO44" s="12">
        <v>17.346919999999997</v>
      </c>
      <c r="CP44" s="12">
        <v>23.568270000000002</v>
      </c>
      <c r="CQ44" s="12">
        <v>2.4358599999999999</v>
      </c>
      <c r="CR44" s="12">
        <v>13873.49832000001</v>
      </c>
      <c r="CS44" s="12">
        <v>2465.4146099999994</v>
      </c>
      <c r="CT44" s="12">
        <v>11904.174710000001</v>
      </c>
      <c r="CU44" s="12">
        <v>50.661000000000001</v>
      </c>
      <c r="CV44" s="12">
        <v>961.34632000000011</v>
      </c>
      <c r="CW44" s="13">
        <v>4021419.2072999976</v>
      </c>
      <c r="CX44" s="13">
        <v>4021419.2072999976</v>
      </c>
    </row>
    <row r="45" spans="1:102">
      <c r="A45" s="7">
        <f t="shared" ca="1" si="1"/>
        <v>2023</v>
      </c>
      <c r="B45" s="7">
        <f t="shared" ca="1" si="2"/>
        <v>3</v>
      </c>
      <c r="C45" s="8">
        <v>45108</v>
      </c>
      <c r="D45" s="10">
        <v>20857.42985</v>
      </c>
      <c r="E45" s="10">
        <v>9567.2271899999996</v>
      </c>
      <c r="F45" s="10">
        <v>12587.222399999997</v>
      </c>
      <c r="G45" s="10">
        <v>1143.7559400000002</v>
      </c>
      <c r="H45" s="10">
        <v>5398.2838800000009</v>
      </c>
      <c r="I45" s="10">
        <v>216667.43506999995</v>
      </c>
      <c r="J45" s="10">
        <v>2592.2877000000012</v>
      </c>
      <c r="K45" s="10">
        <v>87784.193289999908</v>
      </c>
      <c r="L45" s="10">
        <v>227622.00027000014</v>
      </c>
      <c r="M45" s="10">
        <v>343.78079000000002</v>
      </c>
      <c r="N45" s="10">
        <v>7558.0633899999984</v>
      </c>
      <c r="O45" s="10">
        <v>3808.8651800000002</v>
      </c>
      <c r="P45" s="10">
        <v>85.127180000000038</v>
      </c>
      <c r="Q45" s="10">
        <v>153.07033999999999</v>
      </c>
      <c r="R45" s="10">
        <v>69638.727759999994</v>
      </c>
      <c r="S45" s="10">
        <v>3163.3447500000002</v>
      </c>
      <c r="T45" s="10">
        <v>59572.532659999997</v>
      </c>
      <c r="U45" s="10">
        <v>13040.780779999997</v>
      </c>
      <c r="V45" s="10">
        <v>18100.851550000003</v>
      </c>
      <c r="W45" s="10">
        <v>16078.853020000002</v>
      </c>
      <c r="X45" s="10">
        <v>41300.984869999971</v>
      </c>
      <c r="Y45" s="10">
        <v>5461.3609599999982</v>
      </c>
      <c r="Z45" s="10">
        <v>5164.0439299999989</v>
      </c>
      <c r="AA45" s="10">
        <v>177.08975000000001</v>
      </c>
      <c r="AB45" s="10">
        <v>2790.7246700000001</v>
      </c>
      <c r="AC45" s="10">
        <v>34073.230899999995</v>
      </c>
      <c r="AD45" s="10">
        <v>2109701.229259999</v>
      </c>
      <c r="AE45" s="10">
        <v>10498.543620000002</v>
      </c>
      <c r="AF45" s="10">
        <v>14821.051939999994</v>
      </c>
      <c r="AG45" s="10">
        <v>37777.368510000015</v>
      </c>
      <c r="AH45" s="10">
        <v>2672.1900099999993</v>
      </c>
      <c r="AI45" s="10">
        <v>11081.066869999995</v>
      </c>
      <c r="AJ45" s="10">
        <v>48060.584040000002</v>
      </c>
      <c r="AK45" s="10">
        <v>21166.857040000006</v>
      </c>
      <c r="AL45" s="10">
        <v>8340.1327900000015</v>
      </c>
      <c r="AM45" s="10">
        <v>0.83040000000000003</v>
      </c>
      <c r="AN45" s="10">
        <v>2.2879999999999998</v>
      </c>
      <c r="AO45" s="10">
        <v>46729.691369999957</v>
      </c>
      <c r="AP45" s="10">
        <v>121686.11272999998</v>
      </c>
      <c r="AQ45" s="10">
        <v>7119.1788100000022</v>
      </c>
      <c r="AR45" s="10">
        <v>3469.6247000000003</v>
      </c>
      <c r="AS45" s="10">
        <v>3996.8755799999976</v>
      </c>
      <c r="AT45" s="10">
        <v>453.53739000000002</v>
      </c>
      <c r="AU45" s="10">
        <v>4305.3691200000003</v>
      </c>
      <c r="AV45" s="10">
        <v>15.467160000000002</v>
      </c>
      <c r="AW45" s="10">
        <v>71.602230000000006</v>
      </c>
      <c r="AX45" s="10">
        <v>60.030720000000002</v>
      </c>
      <c r="AY45" s="10">
        <v>33017.097140000027</v>
      </c>
      <c r="AZ45" s="10">
        <v>3745.8744400000005</v>
      </c>
      <c r="BA45" s="10">
        <v>3.609</v>
      </c>
      <c r="BB45" s="10">
        <v>0</v>
      </c>
      <c r="BC45" s="10">
        <v>1281.5158200000003</v>
      </c>
      <c r="BD45" s="10">
        <v>230.07342</v>
      </c>
      <c r="BE45" s="10">
        <v>5681.2864399999953</v>
      </c>
      <c r="BF45" s="10">
        <v>939.11464999999998</v>
      </c>
      <c r="BG45" s="10">
        <v>1440.5430199999998</v>
      </c>
      <c r="BH45" s="10">
        <v>52.273639999999993</v>
      </c>
      <c r="BI45" s="10">
        <v>958.04649000000006</v>
      </c>
      <c r="BJ45" s="10">
        <v>3283.6659599999984</v>
      </c>
      <c r="BK45" s="10">
        <v>6402.4724199999991</v>
      </c>
      <c r="BL45" s="10">
        <v>16362.69454</v>
      </c>
      <c r="BM45" s="10">
        <v>20960.844539999973</v>
      </c>
      <c r="BN45" s="10">
        <v>5263.9897100000044</v>
      </c>
      <c r="BO45" s="10">
        <v>3489.6110499999995</v>
      </c>
      <c r="BP45" s="10">
        <v>1566.4884200000004</v>
      </c>
      <c r="BQ45" s="10">
        <v>62.057869999999994</v>
      </c>
      <c r="BR45" s="10">
        <v>9.5175600000000014</v>
      </c>
      <c r="BS45" s="10">
        <v>5296.6469899999993</v>
      </c>
      <c r="BT45" s="10">
        <v>8280.9911299999985</v>
      </c>
      <c r="BU45" s="10">
        <v>14228.738559999998</v>
      </c>
      <c r="BV45" s="10">
        <v>332512.16430000012</v>
      </c>
      <c r="BW45" s="10">
        <v>60368.937800000043</v>
      </c>
      <c r="BX45" s="10">
        <v>17721.463350000002</v>
      </c>
      <c r="BY45" s="10">
        <v>26078.590029999999</v>
      </c>
      <c r="BZ45" s="10">
        <v>9.6175400000000018</v>
      </c>
      <c r="CA45" s="10">
        <v>59022.188580000024</v>
      </c>
      <c r="CB45" s="10">
        <v>520.25747000000013</v>
      </c>
      <c r="CC45" s="10">
        <v>98.294089999999997</v>
      </c>
      <c r="CD45" s="10">
        <v>0.47820000000000001</v>
      </c>
      <c r="CE45" s="10">
        <v>119.23904</v>
      </c>
      <c r="CF45" s="10">
        <v>5760.5472700000037</v>
      </c>
      <c r="CG45" s="10">
        <v>3954.0085899999995</v>
      </c>
      <c r="CH45" s="10">
        <v>41586.34073999992</v>
      </c>
      <c r="CI45" s="10">
        <v>72062.707550000079</v>
      </c>
      <c r="CJ45" s="10">
        <v>50.307769999999998</v>
      </c>
      <c r="CK45" s="10">
        <v>53466.148269999991</v>
      </c>
      <c r="CL45" s="10">
        <v>2620.6097199999999</v>
      </c>
      <c r="CM45" s="10">
        <v>1968.5052000000003</v>
      </c>
      <c r="CN45" s="10">
        <v>4954.6946899999966</v>
      </c>
      <c r="CO45" s="10">
        <v>16.342480000000002</v>
      </c>
      <c r="CP45" s="10">
        <v>1.6067</v>
      </c>
      <c r="CQ45" s="10">
        <v>1062.48</v>
      </c>
      <c r="CR45" s="10">
        <v>14884.730290000009</v>
      </c>
      <c r="CS45" s="10">
        <v>3275.2714400000018</v>
      </c>
      <c r="CT45" s="10">
        <v>14136.726660000006</v>
      </c>
      <c r="CU45" s="10">
        <v>210.41716999999997</v>
      </c>
      <c r="CV45" s="10">
        <v>1460.8903699999998</v>
      </c>
      <c r="CW45" s="11">
        <v>4167241.6184799992</v>
      </c>
      <c r="CX45" s="11">
        <v>4167241.6184799992</v>
      </c>
    </row>
    <row r="46" spans="1:102">
      <c r="A46" s="7">
        <f t="shared" ca="1" si="1"/>
        <v>2023</v>
      </c>
      <c r="B46" s="7">
        <f t="shared" ca="1" si="2"/>
        <v>3</v>
      </c>
      <c r="C46" s="9">
        <v>45139</v>
      </c>
      <c r="D46" s="12">
        <v>911.37216000000001</v>
      </c>
      <c r="E46" s="12">
        <v>6811.8288900000016</v>
      </c>
      <c r="F46" s="12">
        <v>16127.304760000003</v>
      </c>
      <c r="G46" s="12">
        <v>1497.2885799999999</v>
      </c>
      <c r="H46" s="12">
        <v>4766.1687700000002</v>
      </c>
      <c r="I46" s="12">
        <v>132231.00024000011</v>
      </c>
      <c r="J46" s="12">
        <v>2404.5612700000001</v>
      </c>
      <c r="K46" s="12">
        <v>107772.61717999996</v>
      </c>
      <c r="L46" s="12">
        <v>226253.68503000002</v>
      </c>
      <c r="M46" s="12">
        <v>228.36952000000002</v>
      </c>
      <c r="N46" s="12">
        <v>11113.50597</v>
      </c>
      <c r="O46" s="12">
        <v>3059.2668100000001</v>
      </c>
      <c r="P46" s="12">
        <v>189.20282000000003</v>
      </c>
      <c r="Q46" s="12">
        <v>228.19202999999999</v>
      </c>
      <c r="R46" s="12">
        <v>56745.718839999994</v>
      </c>
      <c r="S46" s="12">
        <v>1959.9428000000003</v>
      </c>
      <c r="T46" s="12">
        <v>78671.766919999965</v>
      </c>
      <c r="U46" s="12">
        <v>11814.305139999997</v>
      </c>
      <c r="V46" s="12">
        <v>22651.492890000023</v>
      </c>
      <c r="W46" s="12">
        <v>16402.518120000001</v>
      </c>
      <c r="X46" s="12">
        <v>45234.220979999947</v>
      </c>
      <c r="Y46" s="12">
        <v>5282.1273600000004</v>
      </c>
      <c r="Z46" s="12">
        <v>7901.6074600000011</v>
      </c>
      <c r="AA46" s="12">
        <v>214.00413</v>
      </c>
      <c r="AB46" s="12">
        <v>2756.2066699999996</v>
      </c>
      <c r="AC46" s="12">
        <v>51255.824329999996</v>
      </c>
      <c r="AD46" s="12">
        <v>1921370.0302800015</v>
      </c>
      <c r="AE46" s="12">
        <v>12031.958600000004</v>
      </c>
      <c r="AF46" s="12">
        <v>17407.008770000004</v>
      </c>
      <c r="AG46" s="12">
        <v>36308.787229999994</v>
      </c>
      <c r="AH46" s="12">
        <v>4459.5248799999999</v>
      </c>
      <c r="AI46" s="12">
        <v>12898.888779999997</v>
      </c>
      <c r="AJ46" s="12">
        <v>56133.758920000007</v>
      </c>
      <c r="AK46" s="12">
        <v>21971.329469999971</v>
      </c>
      <c r="AL46" s="12">
        <v>6684.4753200000023</v>
      </c>
      <c r="AM46" s="12">
        <v>176.35410000000002</v>
      </c>
      <c r="AN46" s="12">
        <v>57.700069999999997</v>
      </c>
      <c r="AO46" s="12">
        <v>52146.42768999996</v>
      </c>
      <c r="AP46" s="12">
        <v>129720.15133999991</v>
      </c>
      <c r="AQ46" s="12">
        <v>7897.7452400000029</v>
      </c>
      <c r="AR46" s="12">
        <v>2517.2551100000001</v>
      </c>
      <c r="AS46" s="12">
        <v>4389.4391099999993</v>
      </c>
      <c r="AT46" s="12">
        <v>509.25450000000001</v>
      </c>
      <c r="AU46" s="12">
        <v>4370.6305199999997</v>
      </c>
      <c r="AV46" s="12">
        <v>48.962249999999997</v>
      </c>
      <c r="AW46" s="12">
        <v>84.304699999999997</v>
      </c>
      <c r="AX46" s="12">
        <v>67.412899999999993</v>
      </c>
      <c r="AY46" s="12">
        <v>25945.95918000002</v>
      </c>
      <c r="AZ46" s="12">
        <v>4788.067009999997</v>
      </c>
      <c r="BA46" s="12">
        <v>2.2365999999999997</v>
      </c>
      <c r="BB46" s="12">
        <v>1.8513499999999998</v>
      </c>
      <c r="BC46" s="12">
        <v>1420.4055800000006</v>
      </c>
      <c r="BD46" s="12">
        <v>187.28825999999998</v>
      </c>
      <c r="BE46" s="12">
        <v>6341.068449999997</v>
      </c>
      <c r="BF46" s="12">
        <v>1195.1493399999997</v>
      </c>
      <c r="BG46" s="12">
        <v>967.18145000000015</v>
      </c>
      <c r="BH46" s="12">
        <v>107.16212</v>
      </c>
      <c r="BI46" s="12">
        <v>766.79153000000042</v>
      </c>
      <c r="BJ46" s="12">
        <v>2750.8592699999981</v>
      </c>
      <c r="BK46" s="12">
        <v>4264.7779900000005</v>
      </c>
      <c r="BL46" s="12">
        <v>18909.548409999985</v>
      </c>
      <c r="BM46" s="12">
        <v>20129.324949999987</v>
      </c>
      <c r="BN46" s="12">
        <v>6660.598490000003</v>
      </c>
      <c r="BO46" s="12">
        <v>3382.9255900000016</v>
      </c>
      <c r="BP46" s="12">
        <v>1382.6237800000004</v>
      </c>
      <c r="BQ46" s="12">
        <v>128.14644999999999</v>
      </c>
      <c r="BR46" s="12">
        <v>17.63015</v>
      </c>
      <c r="BS46" s="12">
        <v>5698.5813999999991</v>
      </c>
      <c r="BT46" s="12">
        <v>8817.859290000004</v>
      </c>
      <c r="BU46" s="12">
        <v>18025.662979999986</v>
      </c>
      <c r="BV46" s="12">
        <v>288067.95616</v>
      </c>
      <c r="BW46" s="12">
        <v>71377.860490000035</v>
      </c>
      <c r="BX46" s="12">
        <v>23672.74487000001</v>
      </c>
      <c r="BY46" s="12">
        <v>22379.289849999994</v>
      </c>
      <c r="BZ46" s="12">
        <v>43.902920000000002</v>
      </c>
      <c r="CA46" s="12">
        <v>62659.290340000036</v>
      </c>
      <c r="CB46" s="12">
        <v>1349.5897</v>
      </c>
      <c r="CC46" s="12">
        <v>53.294369999999994</v>
      </c>
      <c r="CD46" s="12">
        <v>0.54174</v>
      </c>
      <c r="CE46" s="12">
        <v>158.51701</v>
      </c>
      <c r="CF46" s="12">
        <v>5813.9624600000052</v>
      </c>
      <c r="CG46" s="12">
        <v>5626.5916099999995</v>
      </c>
      <c r="CH46" s="12">
        <v>51237.758969999995</v>
      </c>
      <c r="CI46" s="12">
        <v>65060.719609999971</v>
      </c>
      <c r="CJ46" s="12">
        <v>27.155999999999999</v>
      </c>
      <c r="CK46" s="12">
        <v>64197.836240000011</v>
      </c>
      <c r="CL46" s="12">
        <v>2745.75594</v>
      </c>
      <c r="CM46" s="12">
        <v>1791.3131899999998</v>
      </c>
      <c r="CN46" s="12">
        <v>7425.7772599999926</v>
      </c>
      <c r="CO46" s="12">
        <v>7.7953400000000004</v>
      </c>
      <c r="CP46" s="12">
        <v>8.17591</v>
      </c>
      <c r="CQ46" s="12">
        <v>118.703</v>
      </c>
      <c r="CR46" s="12">
        <v>14804.051169999993</v>
      </c>
      <c r="CS46" s="12">
        <v>3189.1663500000004</v>
      </c>
      <c r="CT46" s="12">
        <v>12813.204620000002</v>
      </c>
      <c r="CU46" s="12">
        <v>113.22573</v>
      </c>
      <c r="CV46" s="12">
        <v>1523.6704199999999</v>
      </c>
      <c r="CW46" s="13">
        <v>3943895.0503400001</v>
      </c>
      <c r="CX46" s="13">
        <v>3943895.0503400001</v>
      </c>
    </row>
    <row r="47" spans="1:102">
      <c r="A47" s="7">
        <f t="shared" ref="A47:A63" ca="1" si="3">YEAR($B47)</f>
        <v>2023</v>
      </c>
      <c r="B47" s="7">
        <f t="shared" ca="1" si="2"/>
        <v>3</v>
      </c>
      <c r="C47" s="8">
        <v>45170</v>
      </c>
      <c r="D47" s="10">
        <v>12965.069210000001</v>
      </c>
      <c r="E47" s="10">
        <v>716.04279000000008</v>
      </c>
      <c r="F47" s="10">
        <v>12965.81632</v>
      </c>
      <c r="G47" s="10">
        <v>2789.2745200000004</v>
      </c>
      <c r="H47" s="10">
        <v>4239.8708399999996</v>
      </c>
      <c r="I47" s="10">
        <v>138956.58834000013</v>
      </c>
      <c r="J47" s="10">
        <v>2810.6694199999988</v>
      </c>
      <c r="K47" s="10">
        <v>100607.80548</v>
      </c>
      <c r="L47" s="10">
        <v>234930.49335999961</v>
      </c>
      <c r="M47" s="10">
        <v>222.40331</v>
      </c>
      <c r="N47" s="10">
        <v>7703.3790099999978</v>
      </c>
      <c r="O47" s="10">
        <v>4054.7276299999999</v>
      </c>
      <c r="P47" s="10">
        <v>34.152000000000001</v>
      </c>
      <c r="Q47" s="10">
        <v>163.02343999999997</v>
      </c>
      <c r="R47" s="10">
        <v>46819.970669999995</v>
      </c>
      <c r="S47" s="10">
        <v>3142.87932</v>
      </c>
      <c r="T47" s="10">
        <v>75900.311660000007</v>
      </c>
      <c r="U47" s="10">
        <v>13466.294850000006</v>
      </c>
      <c r="V47" s="10">
        <v>21966.080010000001</v>
      </c>
      <c r="W47" s="10">
        <v>15372.930949999998</v>
      </c>
      <c r="X47" s="10">
        <v>49981.894220000053</v>
      </c>
      <c r="Y47" s="10">
        <v>6265.1120000000019</v>
      </c>
      <c r="Z47" s="10">
        <v>5324.0006900000008</v>
      </c>
      <c r="AA47" s="10">
        <v>0.2</v>
      </c>
      <c r="AB47" s="10">
        <v>2926.8283999999994</v>
      </c>
      <c r="AC47" s="10">
        <v>50383.280290000002</v>
      </c>
      <c r="AD47" s="10">
        <v>2176384.5606200015</v>
      </c>
      <c r="AE47" s="10">
        <v>12174.931210000006</v>
      </c>
      <c r="AF47" s="10">
        <v>18257.490140000002</v>
      </c>
      <c r="AG47" s="10">
        <v>38338.459660000037</v>
      </c>
      <c r="AH47" s="10">
        <v>3375.5757099999996</v>
      </c>
      <c r="AI47" s="10">
        <v>10050.564309999998</v>
      </c>
      <c r="AJ47" s="10">
        <v>51326.470230000021</v>
      </c>
      <c r="AK47" s="10">
        <v>20736.60857</v>
      </c>
      <c r="AL47" s="10">
        <v>5798.0741100000014</v>
      </c>
      <c r="AM47" s="10">
        <v>5.1232799999999994</v>
      </c>
      <c r="AN47" s="10">
        <v>1.6484000000000001</v>
      </c>
      <c r="AO47" s="10">
        <v>58892.074329999996</v>
      </c>
      <c r="AP47" s="10">
        <v>130047.99348999998</v>
      </c>
      <c r="AQ47" s="10">
        <v>10519.422179999996</v>
      </c>
      <c r="AR47" s="10">
        <v>2457.7383999999997</v>
      </c>
      <c r="AS47" s="10">
        <v>4752.8786000000009</v>
      </c>
      <c r="AT47" s="10">
        <v>473.05851000000001</v>
      </c>
      <c r="AU47" s="10">
        <v>4229.863150000002</v>
      </c>
      <c r="AV47" s="10">
        <v>16.381040000000002</v>
      </c>
      <c r="AW47" s="10">
        <v>139.87214</v>
      </c>
      <c r="AX47" s="10">
        <v>45.312760000000004</v>
      </c>
      <c r="AY47" s="10">
        <v>30590.40292</v>
      </c>
      <c r="AZ47" s="10">
        <v>4880.0975200000012</v>
      </c>
      <c r="BA47" s="10">
        <v>0.49969999999999998</v>
      </c>
      <c r="BB47" s="10">
        <v>3.27081</v>
      </c>
      <c r="BC47" s="10">
        <v>1661.1333399999999</v>
      </c>
      <c r="BD47" s="10">
        <v>180.80806999999999</v>
      </c>
      <c r="BE47" s="10">
        <v>5566.939800000001</v>
      </c>
      <c r="BF47" s="10">
        <v>935.80289999999991</v>
      </c>
      <c r="BG47" s="10">
        <v>1095.8452999999995</v>
      </c>
      <c r="BH47" s="10">
        <v>82.413579999999996</v>
      </c>
      <c r="BI47" s="10">
        <v>755.54833999999994</v>
      </c>
      <c r="BJ47" s="10">
        <v>2762.0446500000003</v>
      </c>
      <c r="BK47" s="10">
        <v>6081.0389799999957</v>
      </c>
      <c r="BL47" s="10">
        <v>15838.633030000015</v>
      </c>
      <c r="BM47" s="10">
        <v>21801.550600000002</v>
      </c>
      <c r="BN47" s="10">
        <v>8064.009160000006</v>
      </c>
      <c r="BO47" s="10">
        <v>3865.5231500000004</v>
      </c>
      <c r="BP47" s="10">
        <v>1387.5426099999997</v>
      </c>
      <c r="BQ47" s="10">
        <v>14.95894</v>
      </c>
      <c r="BR47" s="10">
        <v>3.9998899999999997</v>
      </c>
      <c r="BS47" s="10">
        <v>5541.2637599999998</v>
      </c>
      <c r="BT47" s="10">
        <v>9570.2161000000015</v>
      </c>
      <c r="BU47" s="10">
        <v>15290.482769999997</v>
      </c>
      <c r="BV47" s="10">
        <v>327607.35415999981</v>
      </c>
      <c r="BW47" s="10">
        <v>30203.554309999996</v>
      </c>
      <c r="BX47" s="10">
        <v>19628.160229999972</v>
      </c>
      <c r="BY47" s="10">
        <v>21961.265130000003</v>
      </c>
      <c r="BZ47" s="10">
        <v>26.157430000000005</v>
      </c>
      <c r="CA47" s="10">
        <v>58031.659249999961</v>
      </c>
      <c r="CB47" s="10">
        <v>645.5284200000001</v>
      </c>
      <c r="CC47" s="10">
        <v>59.263490000000004</v>
      </c>
      <c r="CD47" s="10">
        <v>8.8925000000000001</v>
      </c>
      <c r="CE47" s="10">
        <v>191.58992999999998</v>
      </c>
      <c r="CF47" s="10">
        <v>6000.154899999995</v>
      </c>
      <c r="CG47" s="10">
        <v>5222.0888399999985</v>
      </c>
      <c r="CH47" s="10">
        <v>51350.771630000054</v>
      </c>
      <c r="CI47" s="10">
        <v>65257.964119999961</v>
      </c>
      <c r="CJ47" s="10">
        <v>260.38531</v>
      </c>
      <c r="CK47" s="10">
        <v>41954.217949999984</v>
      </c>
      <c r="CL47" s="10">
        <v>558.16967</v>
      </c>
      <c r="CM47" s="10">
        <v>1266.21957</v>
      </c>
      <c r="CN47" s="10">
        <v>8910.6588599999941</v>
      </c>
      <c r="CO47" s="10">
        <v>202.39158999999998</v>
      </c>
      <c r="CP47" s="10">
        <v>0.12031</v>
      </c>
      <c r="CQ47" s="10">
        <v>0</v>
      </c>
      <c r="CR47" s="10">
        <v>13778.63439999999</v>
      </c>
      <c r="CS47" s="10">
        <v>2270.0470499999992</v>
      </c>
      <c r="CT47" s="10">
        <v>12305.626700000006</v>
      </c>
      <c r="CU47" s="10">
        <v>376.44157000000001</v>
      </c>
      <c r="CV47" s="10">
        <v>934.48770999999999</v>
      </c>
      <c r="CW47" s="11">
        <v>4167719.030520001</v>
      </c>
      <c r="CX47" s="11">
        <v>4167719.030520001</v>
      </c>
    </row>
    <row r="48" spans="1:102">
      <c r="A48" s="7">
        <f t="shared" ca="1" si="3"/>
        <v>2023</v>
      </c>
      <c r="B48" s="7">
        <f t="shared" ca="1" si="2"/>
        <v>4</v>
      </c>
      <c r="C48" s="9">
        <v>45200</v>
      </c>
      <c r="D48" s="12">
        <v>21188.784650000001</v>
      </c>
      <c r="E48" s="12">
        <v>5916.9748500000005</v>
      </c>
      <c r="F48" s="12">
        <v>8217.2684700000009</v>
      </c>
      <c r="G48" s="12">
        <v>1532.21378</v>
      </c>
      <c r="H48" s="12">
        <v>5717.0098499999986</v>
      </c>
      <c r="I48" s="12">
        <v>143965.95742999986</v>
      </c>
      <c r="J48" s="12">
        <v>3082.2345</v>
      </c>
      <c r="K48" s="12">
        <v>118228.72203000008</v>
      </c>
      <c r="L48" s="12">
        <v>188621.87576999998</v>
      </c>
      <c r="M48" s="12">
        <v>328.20839000000001</v>
      </c>
      <c r="N48" s="12">
        <v>6374.7315400000034</v>
      </c>
      <c r="O48" s="12">
        <v>5181.4464600000019</v>
      </c>
      <c r="P48" s="12">
        <v>288.09305000000006</v>
      </c>
      <c r="Q48" s="12">
        <v>93.848510000000005</v>
      </c>
      <c r="R48" s="12">
        <v>44439.345130000009</v>
      </c>
      <c r="S48" s="12">
        <v>2474.85788</v>
      </c>
      <c r="T48" s="12">
        <v>84117.836289999977</v>
      </c>
      <c r="U48" s="12">
        <v>10026.93613</v>
      </c>
      <c r="V48" s="12">
        <v>17974.532279999992</v>
      </c>
      <c r="W48" s="12">
        <v>14915.723179999995</v>
      </c>
      <c r="X48" s="12">
        <v>43122.083840000007</v>
      </c>
      <c r="Y48" s="12">
        <v>6330.0253699999994</v>
      </c>
      <c r="Z48" s="12">
        <v>6618.1656199999998</v>
      </c>
      <c r="AA48" s="12">
        <v>348.42053000000004</v>
      </c>
      <c r="AB48" s="12">
        <v>2966.8786</v>
      </c>
      <c r="AC48" s="12">
        <v>9544.0779900000034</v>
      </c>
      <c r="AD48" s="12">
        <v>2221638.3098000004</v>
      </c>
      <c r="AE48" s="12">
        <v>15524.007459999995</v>
      </c>
      <c r="AF48" s="12">
        <v>18441.577320000004</v>
      </c>
      <c r="AG48" s="12">
        <v>40430.771750000007</v>
      </c>
      <c r="AH48" s="12">
        <v>3309.5427100000002</v>
      </c>
      <c r="AI48" s="12">
        <v>11167.508609999997</v>
      </c>
      <c r="AJ48" s="12">
        <v>50540.366779999953</v>
      </c>
      <c r="AK48" s="12">
        <v>18022.308919999978</v>
      </c>
      <c r="AL48" s="12">
        <v>7524.8102399999952</v>
      </c>
      <c r="AM48" s="12">
        <v>3.9021599999999999</v>
      </c>
      <c r="AN48" s="12">
        <v>41.50526</v>
      </c>
      <c r="AO48" s="12">
        <v>37701.984499999991</v>
      </c>
      <c r="AP48" s="12">
        <v>154925.23844999992</v>
      </c>
      <c r="AQ48" s="12">
        <v>8998.0648799999981</v>
      </c>
      <c r="AR48" s="12">
        <v>2815.2562600000001</v>
      </c>
      <c r="AS48" s="12">
        <v>4778.5155000000032</v>
      </c>
      <c r="AT48" s="12">
        <v>622.79480999999998</v>
      </c>
      <c r="AU48" s="12">
        <v>3640.9555500000006</v>
      </c>
      <c r="AV48" s="12">
        <v>73.109929999999991</v>
      </c>
      <c r="AW48" s="12">
        <v>135.75296999999998</v>
      </c>
      <c r="AX48" s="12">
        <v>86.956649999999996</v>
      </c>
      <c r="AY48" s="12">
        <v>35211.590959999958</v>
      </c>
      <c r="AZ48" s="12">
        <v>4033.3155000000002</v>
      </c>
      <c r="BA48" s="12">
        <v>0.31323000000000001</v>
      </c>
      <c r="BB48" s="12">
        <v>33.878309999999999</v>
      </c>
      <c r="BC48" s="12">
        <v>1625.5096500000002</v>
      </c>
      <c r="BD48" s="12">
        <v>134.99982999999997</v>
      </c>
      <c r="BE48" s="12">
        <v>6209.1357399999924</v>
      </c>
      <c r="BF48" s="12">
        <v>838.83842999999956</v>
      </c>
      <c r="BG48" s="12">
        <v>1374.7382500000001</v>
      </c>
      <c r="BH48" s="12">
        <v>415.05412000000001</v>
      </c>
      <c r="BI48" s="12">
        <v>954.22352999999964</v>
      </c>
      <c r="BJ48" s="12">
        <v>3271.2028900000005</v>
      </c>
      <c r="BK48" s="12">
        <v>4599.5511199999983</v>
      </c>
      <c r="BL48" s="12">
        <v>15921.863229999999</v>
      </c>
      <c r="BM48" s="12">
        <v>22628.287849999975</v>
      </c>
      <c r="BN48" s="12">
        <v>7622.6652100000047</v>
      </c>
      <c r="BO48" s="12">
        <v>4230.1923900000002</v>
      </c>
      <c r="BP48" s="12">
        <v>1499.22102</v>
      </c>
      <c r="BQ48" s="12">
        <v>33.946570000000001</v>
      </c>
      <c r="BR48" s="12">
        <v>2.8166599999999997</v>
      </c>
      <c r="BS48" s="12">
        <v>5304.7099600000001</v>
      </c>
      <c r="BT48" s="12">
        <v>8246.0991599999998</v>
      </c>
      <c r="BU48" s="12">
        <v>17514.052489999995</v>
      </c>
      <c r="BV48" s="12">
        <v>274799.60198000015</v>
      </c>
      <c r="BW48" s="12">
        <v>41664.587329999988</v>
      </c>
      <c r="BX48" s="12">
        <v>20189.386049999983</v>
      </c>
      <c r="BY48" s="12">
        <v>20913.655560000003</v>
      </c>
      <c r="BZ48" s="12">
        <v>34.721979999999995</v>
      </c>
      <c r="CA48" s="12">
        <v>58930.996380000004</v>
      </c>
      <c r="CB48" s="12">
        <v>916.89161999999999</v>
      </c>
      <c r="CC48" s="12">
        <v>46.678530000000002</v>
      </c>
      <c r="CD48" s="12">
        <v>3.3734000000000002</v>
      </c>
      <c r="CE48" s="12">
        <v>203.76521</v>
      </c>
      <c r="CF48" s="12">
        <v>6434.6902400000017</v>
      </c>
      <c r="CG48" s="12">
        <v>5039.7595799999999</v>
      </c>
      <c r="CH48" s="12">
        <v>56474.849610000085</v>
      </c>
      <c r="CI48" s="12">
        <v>75620.231919999918</v>
      </c>
      <c r="CJ48" s="12">
        <v>29.908999999999999</v>
      </c>
      <c r="CK48" s="12">
        <v>51207.929139999935</v>
      </c>
      <c r="CL48" s="12">
        <v>1684.17488</v>
      </c>
      <c r="CM48" s="12">
        <v>204.68869000000001</v>
      </c>
      <c r="CN48" s="12">
        <v>7461.5808200000001</v>
      </c>
      <c r="CO48" s="12">
        <v>13.515599999999999</v>
      </c>
      <c r="CP48" s="12">
        <v>94.628539999999987</v>
      </c>
      <c r="CQ48" s="12">
        <v>1968.2726599999999</v>
      </c>
      <c r="CR48" s="12">
        <v>15692.631500000001</v>
      </c>
      <c r="CS48" s="12">
        <v>5310.3962700000002</v>
      </c>
      <c r="CT48" s="12">
        <v>12620.358670000003</v>
      </c>
      <c r="CU48" s="12">
        <v>90.134</v>
      </c>
      <c r="CV48" s="12">
        <v>751.73900000000003</v>
      </c>
      <c r="CW48" s="13">
        <v>4152148.8468899988</v>
      </c>
      <c r="CX48" s="13">
        <v>4152148.8468899988</v>
      </c>
    </row>
    <row r="49" spans="1:102">
      <c r="A49" s="7">
        <f t="shared" ca="1" si="3"/>
        <v>2023</v>
      </c>
      <c r="B49" s="7">
        <f t="shared" ca="1" si="2"/>
        <v>4</v>
      </c>
      <c r="C49" s="8">
        <v>45231</v>
      </c>
      <c r="D49" s="10">
        <v>33516.798000000003</v>
      </c>
      <c r="E49" s="10">
        <v>11435.632039999997</v>
      </c>
      <c r="F49" s="10">
        <v>20018.051719999999</v>
      </c>
      <c r="G49" s="10">
        <v>2089.8297900000002</v>
      </c>
      <c r="H49" s="10">
        <v>4959.5184400000007</v>
      </c>
      <c r="I49" s="10">
        <v>170021.52689999994</v>
      </c>
      <c r="J49" s="10">
        <v>2546.8159500000002</v>
      </c>
      <c r="K49" s="10">
        <v>138263.52131000001</v>
      </c>
      <c r="L49" s="10">
        <v>251091.22658000019</v>
      </c>
      <c r="M49" s="10">
        <v>101.79471000000001</v>
      </c>
      <c r="N49" s="10">
        <v>5878.6948000000011</v>
      </c>
      <c r="O49" s="10">
        <v>4234.3119500000012</v>
      </c>
      <c r="P49" s="10">
        <v>175.79294999999999</v>
      </c>
      <c r="Q49" s="10">
        <v>174.33866999999998</v>
      </c>
      <c r="R49" s="10">
        <v>76814.225529999952</v>
      </c>
      <c r="S49" s="10">
        <v>2044.3800799999997</v>
      </c>
      <c r="T49" s="10">
        <v>69540.104589999988</v>
      </c>
      <c r="U49" s="10">
        <v>10573.682260000003</v>
      </c>
      <c r="V49" s="10">
        <v>14709.133440000011</v>
      </c>
      <c r="W49" s="10">
        <v>15676.77073</v>
      </c>
      <c r="X49" s="10">
        <v>39120.40174000003</v>
      </c>
      <c r="Y49" s="10">
        <v>7120.7997999999998</v>
      </c>
      <c r="Z49" s="10">
        <v>6167.6390599999995</v>
      </c>
      <c r="AA49" s="10">
        <v>1024.6094000000001</v>
      </c>
      <c r="AB49" s="10">
        <v>2713.698460000001</v>
      </c>
      <c r="AC49" s="10">
        <v>29856.119780000001</v>
      </c>
      <c r="AD49" s="10">
        <v>2087084.6351200007</v>
      </c>
      <c r="AE49" s="10">
        <v>10216.589769999997</v>
      </c>
      <c r="AF49" s="10">
        <v>16768.469540000002</v>
      </c>
      <c r="AG49" s="10">
        <v>31725.26296</v>
      </c>
      <c r="AH49" s="10">
        <v>6694.6723899999997</v>
      </c>
      <c r="AI49" s="10">
        <v>9993.4155900000096</v>
      </c>
      <c r="AJ49" s="10">
        <v>57249.387979999992</v>
      </c>
      <c r="AK49" s="10">
        <v>20669.597320000015</v>
      </c>
      <c r="AL49" s="10">
        <v>5149.7989600000001</v>
      </c>
      <c r="AM49" s="10">
        <v>0.95769999999999988</v>
      </c>
      <c r="AN49" s="10">
        <v>11.28884</v>
      </c>
      <c r="AO49" s="10">
        <v>50087.873950000001</v>
      </c>
      <c r="AP49" s="10">
        <v>125164.17514000002</v>
      </c>
      <c r="AQ49" s="10">
        <v>6692.0389999999943</v>
      </c>
      <c r="AR49" s="10">
        <v>2742.0985000000001</v>
      </c>
      <c r="AS49" s="10">
        <v>5065.1415000000015</v>
      </c>
      <c r="AT49" s="10">
        <v>652.27958999999987</v>
      </c>
      <c r="AU49" s="10">
        <v>3291.0081299999993</v>
      </c>
      <c r="AV49" s="10">
        <v>17.376300000000001</v>
      </c>
      <c r="AW49" s="10">
        <v>93.103170000000006</v>
      </c>
      <c r="AX49" s="10">
        <v>83.065280000000001</v>
      </c>
      <c r="AY49" s="10">
        <v>25395.02717999999</v>
      </c>
      <c r="AZ49" s="10">
        <v>3058.5937800000006</v>
      </c>
      <c r="BA49" s="10">
        <v>0</v>
      </c>
      <c r="BB49" s="10">
        <v>0.34793999999999997</v>
      </c>
      <c r="BC49" s="10">
        <v>978.28616999999974</v>
      </c>
      <c r="BD49" s="10">
        <v>82.318649999999991</v>
      </c>
      <c r="BE49" s="10">
        <v>6476.4406799999979</v>
      </c>
      <c r="BF49" s="10">
        <v>1122.2475200000001</v>
      </c>
      <c r="BG49" s="10">
        <v>1388.5391399999994</v>
      </c>
      <c r="BH49" s="10">
        <v>103.88862</v>
      </c>
      <c r="BI49" s="10">
        <v>872.60458000000006</v>
      </c>
      <c r="BJ49" s="10">
        <v>2301.4343099999992</v>
      </c>
      <c r="BK49" s="10">
        <v>4392.9169399999982</v>
      </c>
      <c r="BL49" s="10">
        <v>15180.989040000006</v>
      </c>
      <c r="BM49" s="10">
        <v>26280.743990000006</v>
      </c>
      <c r="BN49" s="10">
        <v>8853.784450000001</v>
      </c>
      <c r="BO49" s="10">
        <v>4479.8548000000019</v>
      </c>
      <c r="BP49" s="10">
        <v>1631.5100899999998</v>
      </c>
      <c r="BQ49" s="10">
        <v>124.81463000000002</v>
      </c>
      <c r="BR49" s="10">
        <v>6.4672499999999999</v>
      </c>
      <c r="BS49" s="10">
        <v>4656.2141700000002</v>
      </c>
      <c r="BT49" s="10">
        <v>9067.7262200000005</v>
      </c>
      <c r="BU49" s="10">
        <v>15481.785110000013</v>
      </c>
      <c r="BV49" s="10">
        <v>342984.27026000008</v>
      </c>
      <c r="BW49" s="10">
        <v>50832.135749999965</v>
      </c>
      <c r="BX49" s="10">
        <v>17619.381799999996</v>
      </c>
      <c r="BY49" s="10">
        <v>21450.099620000005</v>
      </c>
      <c r="BZ49" s="10">
        <v>38.737539999999996</v>
      </c>
      <c r="CA49" s="10">
        <v>63393.871209999998</v>
      </c>
      <c r="CB49" s="10">
        <v>401.07543999999996</v>
      </c>
      <c r="CC49" s="10">
        <v>35.011710000000008</v>
      </c>
      <c r="CD49" s="10">
        <v>17.885169999999999</v>
      </c>
      <c r="CE49" s="10">
        <v>127.44071</v>
      </c>
      <c r="CF49" s="10">
        <v>5670.4151499999989</v>
      </c>
      <c r="CG49" s="10">
        <v>4308.2264100000002</v>
      </c>
      <c r="CH49" s="10">
        <v>63925.531990000047</v>
      </c>
      <c r="CI49" s="10">
        <v>68222.99930999997</v>
      </c>
      <c r="CJ49" s="10">
        <v>33.589239999999997</v>
      </c>
      <c r="CK49" s="10">
        <v>26028.762289999999</v>
      </c>
      <c r="CL49" s="10">
        <v>1078.1717699999999</v>
      </c>
      <c r="CM49" s="10">
        <v>30.12</v>
      </c>
      <c r="CN49" s="10">
        <v>6790.5513300000021</v>
      </c>
      <c r="CO49" s="10">
        <v>28.75525</v>
      </c>
      <c r="CP49" s="10">
        <v>15.544540000000001</v>
      </c>
      <c r="CQ49" s="10">
        <v>64.677720000000008</v>
      </c>
      <c r="CR49" s="10">
        <v>13933.884509999996</v>
      </c>
      <c r="CS49" s="10">
        <v>2448.7335400000011</v>
      </c>
      <c r="CT49" s="10">
        <v>12474.084210000003</v>
      </c>
      <c r="CU49" s="10">
        <v>500.08699999999999</v>
      </c>
      <c r="CV49" s="10">
        <v>922.17121999999995</v>
      </c>
      <c r="CW49" s="11">
        <v>4194634.4053600011</v>
      </c>
      <c r="CX49" s="11">
        <v>4194634.4053600011</v>
      </c>
    </row>
    <row r="50" spans="1:102">
      <c r="A50" s="7">
        <f t="shared" ca="1" si="3"/>
        <v>2023</v>
      </c>
      <c r="B50" s="7">
        <f t="shared" ca="1" si="2"/>
        <v>4</v>
      </c>
      <c r="C50" s="9">
        <v>45261</v>
      </c>
      <c r="D50" s="12">
        <v>29503.43634</v>
      </c>
      <c r="E50" s="12">
        <v>10541.742460000001</v>
      </c>
      <c r="F50" s="12">
        <v>7739.0463599999994</v>
      </c>
      <c r="G50" s="12">
        <v>2404.0195699999999</v>
      </c>
      <c r="H50" s="12">
        <v>5026.1360000000004</v>
      </c>
      <c r="I50" s="12">
        <v>165986.12734999988</v>
      </c>
      <c r="J50" s="12">
        <v>3917.3097900000002</v>
      </c>
      <c r="K50" s="12">
        <v>141556.88636000038</v>
      </c>
      <c r="L50" s="12">
        <v>306637.15095000016</v>
      </c>
      <c r="M50" s="12">
        <v>218.82732000000001</v>
      </c>
      <c r="N50" s="12">
        <v>6481.8494500000015</v>
      </c>
      <c r="O50" s="12">
        <v>4001.2909900000004</v>
      </c>
      <c r="P50" s="12">
        <v>70.837729999999993</v>
      </c>
      <c r="Q50" s="12">
        <v>232.88634000000002</v>
      </c>
      <c r="R50" s="12">
        <v>47999.695700000011</v>
      </c>
      <c r="S50" s="12">
        <v>2006.4555499999999</v>
      </c>
      <c r="T50" s="12">
        <v>55663.776230000003</v>
      </c>
      <c r="U50" s="12">
        <v>12151.397219999995</v>
      </c>
      <c r="V50" s="12">
        <v>14885.921400000008</v>
      </c>
      <c r="W50" s="12">
        <v>15504.318909999996</v>
      </c>
      <c r="X50" s="12">
        <v>55718.614240000032</v>
      </c>
      <c r="Y50" s="12">
        <v>8310.0657200000023</v>
      </c>
      <c r="Z50" s="12">
        <v>9367.8416400000024</v>
      </c>
      <c r="AA50" s="12">
        <v>342.68615</v>
      </c>
      <c r="AB50" s="12">
        <v>2975.0048299999999</v>
      </c>
      <c r="AC50" s="12">
        <v>12682.926609999999</v>
      </c>
      <c r="AD50" s="12">
        <v>2337004.2535299989</v>
      </c>
      <c r="AE50" s="12">
        <v>11498.587699999993</v>
      </c>
      <c r="AF50" s="12">
        <v>14277.99014</v>
      </c>
      <c r="AG50" s="12">
        <v>41053.853140000021</v>
      </c>
      <c r="AH50" s="12">
        <v>3077.5524299999997</v>
      </c>
      <c r="AI50" s="12">
        <v>11318.300740000006</v>
      </c>
      <c r="AJ50" s="12">
        <v>54593.616640000015</v>
      </c>
      <c r="AK50" s="12">
        <v>16720.565449999998</v>
      </c>
      <c r="AL50" s="12">
        <v>5057.8658900000009</v>
      </c>
      <c r="AM50" s="12">
        <v>3.6037499999999998</v>
      </c>
      <c r="AN50" s="12">
        <v>23.574609999999996</v>
      </c>
      <c r="AO50" s="12">
        <v>45688.022169999975</v>
      </c>
      <c r="AP50" s="12">
        <v>144332.79304000014</v>
      </c>
      <c r="AQ50" s="12">
        <v>10134.059339999998</v>
      </c>
      <c r="AR50" s="12">
        <v>3355.2892300000003</v>
      </c>
      <c r="AS50" s="12">
        <v>5561.6624999999985</v>
      </c>
      <c r="AT50" s="12">
        <v>550.75256999999999</v>
      </c>
      <c r="AU50" s="12">
        <v>3459.5469300000009</v>
      </c>
      <c r="AV50" s="12">
        <v>5.6137499999999996</v>
      </c>
      <c r="AW50" s="12">
        <v>145.03253999999998</v>
      </c>
      <c r="AX50" s="12">
        <v>55.82103</v>
      </c>
      <c r="AY50" s="12">
        <v>26319.397040000029</v>
      </c>
      <c r="AZ50" s="12">
        <v>2898.6031800000005</v>
      </c>
      <c r="BA50" s="12">
        <v>0</v>
      </c>
      <c r="BB50" s="12">
        <v>6.6059999999999999</v>
      </c>
      <c r="BC50" s="12">
        <v>1348.02225</v>
      </c>
      <c r="BD50" s="12">
        <v>136.28370999999999</v>
      </c>
      <c r="BE50" s="12">
        <v>5920.4837699999989</v>
      </c>
      <c r="BF50" s="12">
        <v>475.69398999999987</v>
      </c>
      <c r="BG50" s="12">
        <v>957.87449000000026</v>
      </c>
      <c r="BH50" s="12">
        <v>137.10418999999999</v>
      </c>
      <c r="BI50" s="12">
        <v>676.07696999999996</v>
      </c>
      <c r="BJ50" s="12">
        <v>2413.5909199999992</v>
      </c>
      <c r="BK50" s="12">
        <v>5571.2028300000029</v>
      </c>
      <c r="BL50" s="12">
        <v>17316.345319999993</v>
      </c>
      <c r="BM50" s="12">
        <v>21099.373989999982</v>
      </c>
      <c r="BN50" s="12">
        <v>6527.454080000005</v>
      </c>
      <c r="BO50" s="12">
        <v>4201.6506399999989</v>
      </c>
      <c r="BP50" s="12">
        <v>1927.8024100000002</v>
      </c>
      <c r="BQ50" s="12">
        <v>203.00075999999999</v>
      </c>
      <c r="BR50" s="12">
        <v>16.903120000000001</v>
      </c>
      <c r="BS50" s="12">
        <v>5040.4132700000018</v>
      </c>
      <c r="BT50" s="12">
        <v>8111.1467500000017</v>
      </c>
      <c r="BU50" s="12">
        <v>13312.622739999997</v>
      </c>
      <c r="BV50" s="12">
        <v>330051.86982000008</v>
      </c>
      <c r="BW50" s="12">
        <v>37732.714359999998</v>
      </c>
      <c r="BX50" s="12">
        <v>23001.063100000036</v>
      </c>
      <c r="BY50" s="12">
        <v>18340.08753999999</v>
      </c>
      <c r="BZ50" s="12">
        <v>54.701910000000005</v>
      </c>
      <c r="CA50" s="12">
        <v>53314.88474999999</v>
      </c>
      <c r="CB50" s="12">
        <v>638.70552999999995</v>
      </c>
      <c r="CC50" s="12">
        <v>33.410440000000001</v>
      </c>
      <c r="CD50" s="12">
        <v>5.6189600000000004</v>
      </c>
      <c r="CE50" s="12">
        <v>279.86069999999995</v>
      </c>
      <c r="CF50" s="12">
        <v>6956.3379900000009</v>
      </c>
      <c r="CG50" s="12">
        <v>3827.1117299999987</v>
      </c>
      <c r="CH50" s="12">
        <v>49770.422450000064</v>
      </c>
      <c r="CI50" s="12">
        <v>80512.432000000015</v>
      </c>
      <c r="CJ50" s="12">
        <v>7.5581000000000005</v>
      </c>
      <c r="CK50" s="12">
        <v>31063.588749999992</v>
      </c>
      <c r="CL50" s="12">
        <v>22426.065890000002</v>
      </c>
      <c r="CM50" s="12">
        <v>103.738</v>
      </c>
      <c r="CN50" s="12">
        <v>7033.448489999997</v>
      </c>
      <c r="CO50" s="12">
        <v>13.720860000000002</v>
      </c>
      <c r="CP50" s="12">
        <v>15.325149999999999</v>
      </c>
      <c r="CQ50" s="12">
        <v>5.3710000000000004</v>
      </c>
      <c r="CR50" s="12">
        <v>12830.082970000001</v>
      </c>
      <c r="CS50" s="12">
        <v>2064.9599199999998</v>
      </c>
      <c r="CT50" s="12">
        <v>11894.016000000001</v>
      </c>
      <c r="CU50" s="12">
        <v>460.47926000000001</v>
      </c>
      <c r="CV50" s="12">
        <v>833.1037</v>
      </c>
      <c r="CW50" s="13">
        <v>4447732.9401200004</v>
      </c>
      <c r="CX50" s="13">
        <v>4447732.9401200004</v>
      </c>
    </row>
    <row r="51" spans="1:102">
      <c r="A51" s="7">
        <f t="shared" ca="1" si="3"/>
        <v>2024</v>
      </c>
      <c r="B51" s="7">
        <f t="shared" ca="1" si="2"/>
        <v>1</v>
      </c>
      <c r="C51" s="8">
        <v>45292</v>
      </c>
      <c r="D51" s="10">
        <v>17111.510979999999</v>
      </c>
      <c r="E51" s="10">
        <v>6449.0962499999996</v>
      </c>
      <c r="F51" s="10">
        <v>20008.963080000001</v>
      </c>
      <c r="G51" s="10">
        <v>3520.3578299999999</v>
      </c>
      <c r="H51" s="10">
        <v>3978.1759499999998</v>
      </c>
      <c r="I51" s="10">
        <v>168251.14027999999</v>
      </c>
      <c r="J51" s="10">
        <v>4206.5626199999997</v>
      </c>
      <c r="K51" s="10">
        <v>154145.97740999999</v>
      </c>
      <c r="L51" s="10">
        <v>231800.56789999999</v>
      </c>
      <c r="M51" s="10">
        <v>47.128979999999999</v>
      </c>
      <c r="N51" s="10">
        <v>6311.7205599999998</v>
      </c>
      <c r="O51" s="10">
        <v>5757.2482200000004</v>
      </c>
      <c r="P51" s="10">
        <v>742.22933999999998</v>
      </c>
      <c r="Q51" s="10">
        <v>120.37297</v>
      </c>
      <c r="R51" s="10">
        <v>49600.413789999999</v>
      </c>
      <c r="S51" s="10">
        <v>1548.1782700000001</v>
      </c>
      <c r="T51" s="10">
        <v>50748.423609999998</v>
      </c>
      <c r="U51" s="10">
        <v>11126.458140000001</v>
      </c>
      <c r="V51" s="10">
        <v>12512.1556</v>
      </c>
      <c r="W51" s="10">
        <v>14547.486929999999</v>
      </c>
      <c r="X51" s="10">
        <v>27438.000230000001</v>
      </c>
      <c r="Y51" s="10">
        <v>4989.9395999999997</v>
      </c>
      <c r="Z51" s="10">
        <v>3766.2471399999999</v>
      </c>
      <c r="AA51" s="10">
        <v>549.52959999999996</v>
      </c>
      <c r="AB51" s="10">
        <v>2960.2694000000001</v>
      </c>
      <c r="AC51" s="10">
        <v>25088.38452</v>
      </c>
      <c r="AD51" s="10">
        <v>1758565.40928</v>
      </c>
      <c r="AE51" s="10">
        <v>10783.33272</v>
      </c>
      <c r="AF51" s="10">
        <v>13845.529140000001</v>
      </c>
      <c r="AG51" s="10">
        <v>27035.483240000001</v>
      </c>
      <c r="AH51" s="10">
        <v>4600.0247200000003</v>
      </c>
      <c r="AI51" s="10">
        <v>9944.0153100000098</v>
      </c>
      <c r="AJ51" s="10">
        <v>50557.0935500001</v>
      </c>
      <c r="AK51" s="10">
        <v>15937.98791</v>
      </c>
      <c r="AL51" s="10">
        <v>5541.7581300000002</v>
      </c>
      <c r="AM51" s="10"/>
      <c r="AN51" s="10">
        <v>6.3605400000000003</v>
      </c>
      <c r="AO51" s="10">
        <v>39177.78009</v>
      </c>
      <c r="AP51" s="10">
        <v>121064.07414</v>
      </c>
      <c r="AQ51" s="10">
        <v>7418.5096599999997</v>
      </c>
      <c r="AR51" s="10">
        <v>1845.0080800000001</v>
      </c>
      <c r="AS51" s="10">
        <v>2669.4011599999899</v>
      </c>
      <c r="AT51" s="10">
        <v>262.62351000000001</v>
      </c>
      <c r="AU51" s="10">
        <v>4483.3138600000002</v>
      </c>
      <c r="AV51" s="10"/>
      <c r="AW51" s="10">
        <v>84.695400000000006</v>
      </c>
      <c r="AX51" s="10">
        <v>34.617179999999998</v>
      </c>
      <c r="AY51" s="10">
        <v>26200.91675</v>
      </c>
      <c r="AZ51" s="10">
        <v>3651.1055900000001</v>
      </c>
      <c r="BA51" s="10"/>
      <c r="BB51" s="10">
        <v>1.9579899999999999</v>
      </c>
      <c r="BC51" s="10">
        <v>1162.82366</v>
      </c>
      <c r="BD51" s="10">
        <v>104.19298000000001</v>
      </c>
      <c r="BE51" s="10">
        <v>4643.7762599999996</v>
      </c>
      <c r="BF51" s="10">
        <v>383.20242999999999</v>
      </c>
      <c r="BG51" s="10">
        <v>999.42111</v>
      </c>
      <c r="BH51" s="10">
        <v>193.63999000000001</v>
      </c>
      <c r="BI51" s="10">
        <v>541.20473000000004</v>
      </c>
      <c r="BJ51" s="10">
        <v>1863.2445600000001</v>
      </c>
      <c r="BK51" s="10">
        <v>3514.3189299999999</v>
      </c>
      <c r="BL51" s="10">
        <v>13318.93628</v>
      </c>
      <c r="BM51" s="10">
        <v>12687.75758</v>
      </c>
      <c r="BN51" s="10">
        <v>6882.7584999999999</v>
      </c>
      <c r="BO51" s="10">
        <v>1977.1281100000001</v>
      </c>
      <c r="BP51" s="10">
        <v>1024.39374</v>
      </c>
      <c r="BQ51" s="10">
        <v>125.70232</v>
      </c>
      <c r="BR51" s="10"/>
      <c r="BS51" s="10">
        <v>4111.8203600000097</v>
      </c>
      <c r="BT51" s="10">
        <v>6802.6020900000003</v>
      </c>
      <c r="BU51" s="10">
        <v>11658.752979999999</v>
      </c>
      <c r="BV51" s="10">
        <v>279058.18014999997</v>
      </c>
      <c r="BW51" s="10">
        <v>42033.73371</v>
      </c>
      <c r="BX51" s="10">
        <v>14767.9303</v>
      </c>
      <c r="BY51" s="10">
        <v>29082.144970000001</v>
      </c>
      <c r="BZ51" s="10">
        <v>20.21762</v>
      </c>
      <c r="CA51" s="10">
        <v>59730.317499999997</v>
      </c>
      <c r="CB51" s="10">
        <v>1027.8865699999999</v>
      </c>
      <c r="CC51" s="10">
        <v>8.3932800000000007</v>
      </c>
      <c r="CD51" s="10"/>
      <c r="CE51" s="10">
        <v>162.94434000000001</v>
      </c>
      <c r="CF51" s="10">
        <v>3700.4149200000002</v>
      </c>
      <c r="CG51" s="10">
        <v>4429.1650799999998</v>
      </c>
      <c r="CH51" s="10">
        <v>37059.1180300001</v>
      </c>
      <c r="CI51" s="10">
        <v>71496.965360000002</v>
      </c>
      <c r="CJ51" s="10">
        <v>51.052950000000003</v>
      </c>
      <c r="CK51" s="10">
        <v>43841.469369999999</v>
      </c>
      <c r="CL51" s="10">
        <v>1337.93643</v>
      </c>
      <c r="CM51" s="10">
        <v>122.804</v>
      </c>
      <c r="CN51" s="10">
        <v>7254.0422199999903</v>
      </c>
      <c r="CO51" s="10">
        <v>5.35663</v>
      </c>
      <c r="CP51" s="10">
        <v>8.4440299999999997</v>
      </c>
      <c r="CQ51" s="10">
        <v>7.4871600000000003</v>
      </c>
      <c r="CR51" s="10">
        <v>11679.562169999999</v>
      </c>
      <c r="CS51" s="10">
        <v>1377.2857799999999</v>
      </c>
      <c r="CT51" s="10">
        <v>8898.3249399999895</v>
      </c>
      <c r="CU51" s="10">
        <v>82.708960000000005</v>
      </c>
      <c r="CV51" s="10">
        <v>846.89184999999998</v>
      </c>
      <c r="CW51" s="11">
        <v>3621123.9920799993</v>
      </c>
      <c r="CX51" s="11">
        <v>3621123.9920799993</v>
      </c>
    </row>
    <row r="52" spans="1:102">
      <c r="A52" s="7">
        <f t="shared" ca="1" si="3"/>
        <v>2024</v>
      </c>
      <c r="B52" s="7">
        <f t="shared" ca="1" si="2"/>
        <v>1</v>
      </c>
      <c r="C52" s="9">
        <v>45323</v>
      </c>
      <c r="D52" s="12">
        <v>14598.7202</v>
      </c>
      <c r="E52" s="12">
        <v>7075.18451</v>
      </c>
      <c r="F52" s="12">
        <v>11500.740589999999</v>
      </c>
      <c r="G52" s="12">
        <v>4029.88456</v>
      </c>
      <c r="H52" s="12">
        <v>4916.9628899999998</v>
      </c>
      <c r="I52" s="12">
        <v>255049.755479999</v>
      </c>
      <c r="J52" s="12">
        <v>4011.4740900000002</v>
      </c>
      <c r="K52" s="12">
        <v>160244.83973000001</v>
      </c>
      <c r="L52" s="12">
        <v>258106.49728000001</v>
      </c>
      <c r="M52" s="12">
        <v>29.35097</v>
      </c>
      <c r="N52" s="12">
        <v>8495.0527899999997</v>
      </c>
      <c r="O52" s="12">
        <v>4682.5563599999996</v>
      </c>
      <c r="P52" s="12">
        <v>91.179569999999998</v>
      </c>
      <c r="Q52" s="12">
        <v>216.22138000000001</v>
      </c>
      <c r="R52" s="12">
        <v>63503.623610000002</v>
      </c>
      <c r="S52" s="12">
        <v>1250.7564500000001</v>
      </c>
      <c r="T52" s="12">
        <v>58847.967429999997</v>
      </c>
      <c r="U52" s="12">
        <v>19172.873780000002</v>
      </c>
      <c r="V52" s="12">
        <v>14148.70752</v>
      </c>
      <c r="W52" s="12">
        <v>15373.22399</v>
      </c>
      <c r="X52" s="12">
        <v>41087.681600000004</v>
      </c>
      <c r="Y52" s="12">
        <v>6069.6001499999902</v>
      </c>
      <c r="Z52" s="12">
        <v>6280.9634699999997</v>
      </c>
      <c r="AA52" s="12">
        <v>211.24309</v>
      </c>
      <c r="AB52" s="12">
        <v>5063.1983</v>
      </c>
      <c r="AC52" s="12">
        <v>5716.1658699999998</v>
      </c>
      <c r="AD52" s="12">
        <v>1767110.14493</v>
      </c>
      <c r="AE52" s="12">
        <v>14227.18885</v>
      </c>
      <c r="AF52" s="12">
        <v>13902.997289999999</v>
      </c>
      <c r="AG52" s="12">
        <v>32147.69642</v>
      </c>
      <c r="AH52" s="12">
        <v>6096.20255</v>
      </c>
      <c r="AI52" s="12">
        <v>12175.575129999999</v>
      </c>
      <c r="AJ52" s="12">
        <v>54860.889139999897</v>
      </c>
      <c r="AK52" s="12">
        <v>19345.421279999999</v>
      </c>
      <c r="AL52" s="12">
        <v>5443.84879</v>
      </c>
      <c r="AM52" s="12">
        <v>399.56639999999999</v>
      </c>
      <c r="AN52" s="12">
        <v>31.89442</v>
      </c>
      <c r="AO52" s="12">
        <v>36188.872269999898</v>
      </c>
      <c r="AP52" s="12">
        <v>134058.15734000001</v>
      </c>
      <c r="AQ52" s="12">
        <v>8771.7941800000008</v>
      </c>
      <c r="AR52" s="12">
        <v>2308.9897999999998</v>
      </c>
      <c r="AS52" s="12">
        <v>4469.1394300000002</v>
      </c>
      <c r="AT52" s="12">
        <v>641.28425000000004</v>
      </c>
      <c r="AU52" s="12">
        <v>3769.8045000000002</v>
      </c>
      <c r="AV52" s="12">
        <v>22.450980000000001</v>
      </c>
      <c r="AW52" s="12">
        <v>111.32467</v>
      </c>
      <c r="AX52" s="12">
        <v>52.959829999999997</v>
      </c>
      <c r="AY52" s="12">
        <v>28816.541319999898</v>
      </c>
      <c r="AZ52" s="12">
        <v>3992.4757</v>
      </c>
      <c r="BA52" s="12"/>
      <c r="BB52" s="12">
        <v>0.24915999999999999</v>
      </c>
      <c r="BC52" s="12">
        <v>952.36810999999898</v>
      </c>
      <c r="BD52" s="12">
        <v>148.60124999999999</v>
      </c>
      <c r="BE52" s="12">
        <v>4970.45298</v>
      </c>
      <c r="BF52" s="12">
        <v>1089.65796</v>
      </c>
      <c r="BG52" s="12">
        <v>1362.72129</v>
      </c>
      <c r="BH52" s="12">
        <v>126.73233999999999</v>
      </c>
      <c r="BI52" s="12">
        <v>670.08181000000002</v>
      </c>
      <c r="BJ52" s="12">
        <v>2098.19947</v>
      </c>
      <c r="BK52" s="12">
        <v>5498.6053300000003</v>
      </c>
      <c r="BL52" s="12">
        <v>18301.796679999999</v>
      </c>
      <c r="BM52" s="12">
        <v>17639.450570000001</v>
      </c>
      <c r="BN52" s="12">
        <v>6459.0066699999998</v>
      </c>
      <c r="BO52" s="12">
        <v>3232.9164999999998</v>
      </c>
      <c r="BP52" s="12">
        <v>1353.9243899999999</v>
      </c>
      <c r="BQ52" s="12">
        <v>85.649720000000002</v>
      </c>
      <c r="BR52" s="12">
        <v>7.891</v>
      </c>
      <c r="BS52" s="12">
        <v>5809.4874399999999</v>
      </c>
      <c r="BT52" s="12">
        <v>8307.4782200000009</v>
      </c>
      <c r="BU52" s="12">
        <v>13338.601049999999</v>
      </c>
      <c r="BV52" s="12">
        <v>248400.01282</v>
      </c>
      <c r="BW52" s="12">
        <v>37060.102749999998</v>
      </c>
      <c r="BX52" s="12">
        <v>32251.80459</v>
      </c>
      <c r="BY52" s="12">
        <v>25663.85742</v>
      </c>
      <c r="BZ52" s="12">
        <v>7.9713500000000002</v>
      </c>
      <c r="CA52" s="12">
        <v>58809.090920000002</v>
      </c>
      <c r="CB52" s="12">
        <v>336.59935999999999</v>
      </c>
      <c r="CC52" s="12">
        <v>24.087340000000001</v>
      </c>
      <c r="CD52" s="12">
        <v>8.8921799999999998</v>
      </c>
      <c r="CE52" s="12">
        <v>118.01888</v>
      </c>
      <c r="CF52" s="12">
        <v>5863.7578899999899</v>
      </c>
      <c r="CG52" s="12">
        <v>2951.86616</v>
      </c>
      <c r="CH52" s="12">
        <v>52872.1826</v>
      </c>
      <c r="CI52" s="12">
        <v>70686.339340000093</v>
      </c>
      <c r="CJ52" s="12">
        <v>34.07264</v>
      </c>
      <c r="CK52" s="12">
        <v>29071.140149999999</v>
      </c>
      <c r="CL52" s="12">
        <v>1480.1402800000001</v>
      </c>
      <c r="CM52" s="12">
        <v>1002.01106</v>
      </c>
      <c r="CN52" s="12">
        <v>8105.5616200000004</v>
      </c>
      <c r="CO52" s="12">
        <v>0.99634</v>
      </c>
      <c r="CP52" s="12">
        <v>1.0036799999999999</v>
      </c>
      <c r="CQ52" s="12">
        <v>1179.77359</v>
      </c>
      <c r="CR52" s="12">
        <v>12757.882519999999</v>
      </c>
      <c r="CS52" s="12">
        <v>1372.7956899999999</v>
      </c>
      <c r="CT52" s="12">
        <v>9588.6347100000003</v>
      </c>
      <c r="CU52" s="12">
        <v>252.42345</v>
      </c>
      <c r="CV52" s="12">
        <v>876.52715999999998</v>
      </c>
      <c r="CW52" s="13">
        <v>3810951.0635599964</v>
      </c>
      <c r="CX52" s="13">
        <v>3810951.0635599964</v>
      </c>
    </row>
    <row r="53" spans="1:102">
      <c r="A53" s="7">
        <f t="shared" ca="1" si="3"/>
        <v>2024</v>
      </c>
      <c r="B53" s="7">
        <f t="shared" ca="1" si="2"/>
        <v>1</v>
      </c>
      <c r="C53" s="8">
        <v>45352</v>
      </c>
      <c r="D53" s="10">
        <v>47586.066149999999</v>
      </c>
      <c r="E53" s="10">
        <v>7357.5972599999996</v>
      </c>
      <c r="F53" s="10">
        <v>9244.3821199999893</v>
      </c>
      <c r="G53" s="10">
        <v>3561.4232900000002</v>
      </c>
      <c r="H53" s="10">
        <v>4538.2970800000003</v>
      </c>
      <c r="I53" s="10">
        <v>223584.44920999999</v>
      </c>
      <c r="J53" s="10">
        <v>3712.9497000000001</v>
      </c>
      <c r="K53" s="10">
        <v>127680.57137000001</v>
      </c>
      <c r="L53" s="10">
        <v>238506.47748999999</v>
      </c>
      <c r="M53" s="10">
        <v>592.72145</v>
      </c>
      <c r="N53" s="10">
        <v>6016.2557800000004</v>
      </c>
      <c r="O53" s="10">
        <v>5960.4847399999999</v>
      </c>
      <c r="P53" s="10">
        <v>232.51148000000001</v>
      </c>
      <c r="Q53" s="10">
        <v>150.72110000000001</v>
      </c>
      <c r="R53" s="10">
        <v>70303.313550000006</v>
      </c>
      <c r="S53" s="10">
        <v>2121.5572900000002</v>
      </c>
      <c r="T53" s="10">
        <v>63213.812420000097</v>
      </c>
      <c r="U53" s="10">
        <v>21492.893319999999</v>
      </c>
      <c r="V53" s="10">
        <v>12799.09158</v>
      </c>
      <c r="W53" s="10">
        <v>15489.29574</v>
      </c>
      <c r="X53" s="10">
        <v>43818.664689999998</v>
      </c>
      <c r="Y53" s="10">
        <v>4732.68995</v>
      </c>
      <c r="Z53" s="10">
        <v>6268.6810400000004</v>
      </c>
      <c r="AA53" s="10">
        <v>474.77170000000001</v>
      </c>
      <c r="AB53" s="10">
        <v>2597.5251699999999</v>
      </c>
      <c r="AC53" s="10">
        <v>18770.179820000001</v>
      </c>
      <c r="AD53" s="10">
        <v>1880150.3256099999</v>
      </c>
      <c r="AE53" s="10">
        <v>10132.192639999999</v>
      </c>
      <c r="AF53" s="10">
        <v>14190.067010000001</v>
      </c>
      <c r="AG53" s="10">
        <v>31530.171429999999</v>
      </c>
      <c r="AH53" s="10">
        <v>7814.8590100000001</v>
      </c>
      <c r="AI53" s="10">
        <v>12479.07337</v>
      </c>
      <c r="AJ53" s="10">
        <v>49383.9251699999</v>
      </c>
      <c r="AK53" s="10">
        <v>21502.994259999999</v>
      </c>
      <c r="AL53" s="10">
        <v>4502.9330099999997</v>
      </c>
      <c r="AM53" s="10">
        <v>7.6079999999999995E-2</v>
      </c>
      <c r="AN53" s="10">
        <v>31.54485</v>
      </c>
      <c r="AO53" s="10">
        <v>30144.181039999999</v>
      </c>
      <c r="AP53" s="10">
        <v>119223.42809</v>
      </c>
      <c r="AQ53" s="10">
        <v>7659.29486</v>
      </c>
      <c r="AR53" s="10">
        <v>2649.3278500000001</v>
      </c>
      <c r="AS53" s="10">
        <v>3533.9872500000001</v>
      </c>
      <c r="AT53" s="10">
        <v>270.60631000000001</v>
      </c>
      <c r="AU53" s="10">
        <v>4661.4341700000004</v>
      </c>
      <c r="AV53" s="10">
        <v>7.1779999999999999</v>
      </c>
      <c r="AW53" s="10">
        <v>97.29665</v>
      </c>
      <c r="AX53" s="10">
        <v>33.259680000000003</v>
      </c>
      <c r="AY53" s="10">
        <v>31193.55024</v>
      </c>
      <c r="AZ53" s="10">
        <v>4053.0783499999998</v>
      </c>
      <c r="BA53" s="10"/>
      <c r="BB53" s="10">
        <v>1.3220000000000001</v>
      </c>
      <c r="BC53" s="10">
        <v>985.40168000000097</v>
      </c>
      <c r="BD53" s="10">
        <v>57.320169999999997</v>
      </c>
      <c r="BE53" s="10">
        <v>5924.3740500000004</v>
      </c>
      <c r="BF53" s="10">
        <v>637.45198000000005</v>
      </c>
      <c r="BG53" s="10">
        <v>831.14670999999998</v>
      </c>
      <c r="BH53" s="10">
        <v>378.64164</v>
      </c>
      <c r="BI53" s="10">
        <v>940.10476000000006</v>
      </c>
      <c r="BJ53" s="10">
        <v>3162.8775900000001</v>
      </c>
      <c r="BK53" s="10">
        <v>5606.6081599999898</v>
      </c>
      <c r="BL53" s="10">
        <v>14608.05559</v>
      </c>
      <c r="BM53" s="10">
        <v>18327.306530000002</v>
      </c>
      <c r="BN53" s="10">
        <v>6692.5105799999901</v>
      </c>
      <c r="BO53" s="10">
        <v>3308.4791399999999</v>
      </c>
      <c r="BP53" s="10">
        <v>1003.30435</v>
      </c>
      <c r="BQ53" s="10">
        <v>300.12936000000002</v>
      </c>
      <c r="BR53" s="10">
        <v>1.98441</v>
      </c>
      <c r="BS53" s="10">
        <v>4411.71677</v>
      </c>
      <c r="BT53" s="10">
        <v>7515.9432200000001</v>
      </c>
      <c r="BU53" s="10">
        <v>12032.3</v>
      </c>
      <c r="BV53" s="10">
        <v>242633.82981</v>
      </c>
      <c r="BW53" s="10">
        <v>33937.217400000001</v>
      </c>
      <c r="BX53" s="10">
        <v>24447.247770000002</v>
      </c>
      <c r="BY53" s="10">
        <v>29274.568230000001</v>
      </c>
      <c r="BZ53" s="10">
        <v>13.03647</v>
      </c>
      <c r="CA53" s="10">
        <v>64156.771070000003</v>
      </c>
      <c r="CB53" s="10">
        <v>218.98287999999999</v>
      </c>
      <c r="CC53" s="10">
        <v>7.63246</v>
      </c>
      <c r="CD53" s="10"/>
      <c r="CE53" s="10">
        <v>282.37099999999998</v>
      </c>
      <c r="CF53" s="10">
        <v>5099.1289699999998</v>
      </c>
      <c r="CG53" s="10">
        <v>4070.2110299999999</v>
      </c>
      <c r="CH53" s="10">
        <v>49212.047620000099</v>
      </c>
      <c r="CI53" s="10">
        <v>69959.806100000002</v>
      </c>
      <c r="CJ53" s="10">
        <v>81.175079999999994</v>
      </c>
      <c r="CK53" s="10">
        <v>42857.68477</v>
      </c>
      <c r="CL53" s="10">
        <v>752.86860000000001</v>
      </c>
      <c r="CM53" s="10">
        <v>708.14936999999998</v>
      </c>
      <c r="CN53" s="10">
        <v>10370.08346</v>
      </c>
      <c r="CO53" s="10">
        <v>24.050270000000001</v>
      </c>
      <c r="CP53" s="10">
        <v>4.0052000000000003</v>
      </c>
      <c r="CQ53" s="10"/>
      <c r="CR53" s="10">
        <v>11671.29977</v>
      </c>
      <c r="CS53" s="10">
        <v>2061.3676700000001</v>
      </c>
      <c r="CT53" s="10">
        <v>11467.735140000001</v>
      </c>
      <c r="CU53" s="10">
        <v>319.77999999999997</v>
      </c>
      <c r="CV53" s="10">
        <v>535.27376000000004</v>
      </c>
      <c r="CW53" s="11">
        <v>3866945.4720099987</v>
      </c>
      <c r="CX53" s="11">
        <v>3866945.4720099987</v>
      </c>
    </row>
    <row r="54" spans="1:102">
      <c r="A54" s="7">
        <f t="shared" ca="1" si="3"/>
        <v>2024</v>
      </c>
      <c r="B54" s="7">
        <f t="shared" ca="1" si="2"/>
        <v>2</v>
      </c>
      <c r="C54" s="9">
        <v>45383</v>
      </c>
      <c r="D54" s="12">
        <v>11186.360839999999</v>
      </c>
      <c r="E54" s="12">
        <v>5869.7453999999998</v>
      </c>
      <c r="F54" s="12">
        <v>16065.828079999999</v>
      </c>
      <c r="G54" s="12">
        <v>4353.0904300000002</v>
      </c>
      <c r="H54" s="12">
        <v>5182.07917</v>
      </c>
      <c r="I54" s="12">
        <v>180109.03335000001</v>
      </c>
      <c r="J54" s="12">
        <v>3947.8559100000002</v>
      </c>
      <c r="K54" s="12">
        <v>188475.02156999899</v>
      </c>
      <c r="L54" s="12">
        <v>261112.47263</v>
      </c>
      <c r="M54" s="12">
        <v>808.57698000000005</v>
      </c>
      <c r="N54" s="12">
        <v>7222.3618500000002</v>
      </c>
      <c r="O54" s="12">
        <v>4255.3882700000004</v>
      </c>
      <c r="P54" s="12">
        <v>268.27855</v>
      </c>
      <c r="Q54" s="12">
        <v>161.3022</v>
      </c>
      <c r="R54" s="12">
        <v>74154.054220000005</v>
      </c>
      <c r="S54" s="12">
        <v>1992.17749</v>
      </c>
      <c r="T54" s="12">
        <v>65965.994070000001</v>
      </c>
      <c r="U54" s="12">
        <v>23765.364229999999</v>
      </c>
      <c r="V54" s="12">
        <v>16562.735820000002</v>
      </c>
      <c r="W54" s="12">
        <v>16957.79205</v>
      </c>
      <c r="X54" s="12">
        <v>43247.678310000003</v>
      </c>
      <c r="Y54" s="12">
        <v>4464.1716299999998</v>
      </c>
      <c r="Z54" s="12">
        <v>7545.7091700000001</v>
      </c>
      <c r="AA54" s="12">
        <v>972.65714000000003</v>
      </c>
      <c r="AB54" s="12">
        <v>3143.8250400000002</v>
      </c>
      <c r="AC54" s="12">
        <v>29961.85944</v>
      </c>
      <c r="AD54" s="12">
        <v>2053557.1250700001</v>
      </c>
      <c r="AE54" s="12">
        <v>14500.89207</v>
      </c>
      <c r="AF54" s="12">
        <v>21106.492429999998</v>
      </c>
      <c r="AG54" s="12">
        <v>32096.558249999998</v>
      </c>
      <c r="AH54" s="12">
        <v>12857.6582</v>
      </c>
      <c r="AI54" s="12">
        <v>10940.919519999999</v>
      </c>
      <c r="AJ54" s="12">
        <v>69382.107740000007</v>
      </c>
      <c r="AK54" s="12">
        <v>23539.0807000001</v>
      </c>
      <c r="AL54" s="12">
        <v>6302.4091200000003</v>
      </c>
      <c r="AM54" s="12"/>
      <c r="AN54" s="12">
        <v>29.609030000000001</v>
      </c>
      <c r="AO54" s="12">
        <v>43834.319439999999</v>
      </c>
      <c r="AP54" s="12">
        <v>155654.67608999999</v>
      </c>
      <c r="AQ54" s="12">
        <v>8745.8517400000001</v>
      </c>
      <c r="AR54" s="12">
        <v>2342.50765</v>
      </c>
      <c r="AS54" s="12">
        <v>3442.5608099999999</v>
      </c>
      <c r="AT54" s="12">
        <v>411.85196000000002</v>
      </c>
      <c r="AU54" s="12">
        <v>4211.5106999999998</v>
      </c>
      <c r="AV54" s="12">
        <v>1.5539499999999999</v>
      </c>
      <c r="AW54" s="12">
        <v>114.22346</v>
      </c>
      <c r="AX54" s="12">
        <v>303.40991000000002</v>
      </c>
      <c r="AY54" s="12">
        <v>35107.939900000099</v>
      </c>
      <c r="AZ54" s="12">
        <v>4107.6564099999996</v>
      </c>
      <c r="BA54" s="12">
        <v>2.0979999999999999E-2</v>
      </c>
      <c r="BB54" s="12"/>
      <c r="BC54" s="12">
        <v>1226.4278899999999</v>
      </c>
      <c r="BD54" s="12">
        <v>147.45821000000001</v>
      </c>
      <c r="BE54" s="12">
        <v>5811.7626399999999</v>
      </c>
      <c r="BF54" s="12">
        <v>1716.3652199999999</v>
      </c>
      <c r="BG54" s="12">
        <v>1145.1765800000001</v>
      </c>
      <c r="BH54" s="12">
        <v>174.86904000000001</v>
      </c>
      <c r="BI54" s="12">
        <v>1115.3233399999999</v>
      </c>
      <c r="BJ54" s="12">
        <v>2664.7083299999999</v>
      </c>
      <c r="BK54" s="12">
        <v>5376.9401600000001</v>
      </c>
      <c r="BL54" s="12">
        <v>16163.929249999999</v>
      </c>
      <c r="BM54" s="12">
        <v>20659.408390000001</v>
      </c>
      <c r="BN54" s="12">
        <v>7638.9545799999896</v>
      </c>
      <c r="BO54" s="12">
        <v>3195.5896299999999</v>
      </c>
      <c r="BP54" s="12">
        <v>1856.0266799999999</v>
      </c>
      <c r="BQ54" s="12">
        <v>57.580210000000001</v>
      </c>
      <c r="BR54" s="12">
        <v>5.5039899999999999</v>
      </c>
      <c r="BS54" s="12">
        <v>6334.2229900000002</v>
      </c>
      <c r="BT54" s="12">
        <v>11773.052089999999</v>
      </c>
      <c r="BU54" s="12">
        <v>13310.915660000001</v>
      </c>
      <c r="BV54" s="12">
        <v>390568.87053999997</v>
      </c>
      <c r="BW54" s="12">
        <v>59533.144289999997</v>
      </c>
      <c r="BX54" s="12">
        <v>32780.173119999999</v>
      </c>
      <c r="BY54" s="12">
        <v>31053.5743</v>
      </c>
      <c r="BZ54" s="12">
        <v>16.54372</v>
      </c>
      <c r="CA54" s="12">
        <v>64587.5779700001</v>
      </c>
      <c r="CB54" s="12">
        <v>470.36824999999999</v>
      </c>
      <c r="CC54" s="12">
        <v>89.868110000000001</v>
      </c>
      <c r="CD54" s="12">
        <v>0.42959999999999998</v>
      </c>
      <c r="CE54" s="12">
        <v>179.52892</v>
      </c>
      <c r="CF54" s="12">
        <v>6402.2440999999999</v>
      </c>
      <c r="CG54" s="12">
        <v>4768.3420900000001</v>
      </c>
      <c r="CH54" s="12">
        <v>45646.848050000001</v>
      </c>
      <c r="CI54" s="12">
        <v>96673.498180000097</v>
      </c>
      <c r="CJ54" s="12">
        <v>143.26759000000001</v>
      </c>
      <c r="CK54" s="12">
        <v>41391.057789999999</v>
      </c>
      <c r="CL54" s="12">
        <v>10541.335349999999</v>
      </c>
      <c r="CM54" s="12">
        <v>170.63683</v>
      </c>
      <c r="CN54" s="12">
        <v>12292.965389999999</v>
      </c>
      <c r="CO54" s="12">
        <v>8.8893400000000007</v>
      </c>
      <c r="CP54" s="12">
        <v>1.5168999999999999</v>
      </c>
      <c r="CQ54" s="12">
        <v>2252.2103900000002</v>
      </c>
      <c r="CR54" s="12">
        <v>14654.52981</v>
      </c>
      <c r="CS54" s="12">
        <v>1891.7484099999999</v>
      </c>
      <c r="CT54" s="12">
        <v>11165.28105</v>
      </c>
      <c r="CU54" s="12">
        <v>195.57621</v>
      </c>
      <c r="CV54" s="12">
        <v>629.43394000000001</v>
      </c>
      <c r="CW54" s="13">
        <v>4408826.0240900004</v>
      </c>
      <c r="CX54" s="13">
        <v>4408826.0240900004</v>
      </c>
    </row>
    <row r="55" spans="1:102">
      <c r="A55" s="7">
        <f t="shared" ca="1" si="3"/>
        <v>2024</v>
      </c>
      <c r="B55" s="7">
        <f t="shared" ca="1" si="2"/>
        <v>2</v>
      </c>
      <c r="C55" s="8">
        <v>45413</v>
      </c>
      <c r="D55" s="10">
        <v>5137.0636500000001</v>
      </c>
      <c r="E55" s="10">
        <v>5177.1577100000004</v>
      </c>
      <c r="F55" s="10">
        <v>10523.806699999999</v>
      </c>
      <c r="G55" s="10">
        <v>5969.7967399999998</v>
      </c>
      <c r="H55" s="10">
        <v>5596.2974199999999</v>
      </c>
      <c r="I55" s="10">
        <v>257444.57824000099</v>
      </c>
      <c r="J55" s="10">
        <v>3245.7943599999999</v>
      </c>
      <c r="K55" s="10">
        <v>203945.08180000001</v>
      </c>
      <c r="L55" s="10">
        <v>268005.60411999997</v>
      </c>
      <c r="M55" s="10">
        <v>269.44810000000001</v>
      </c>
      <c r="N55" s="10">
        <v>7070.7197900000101</v>
      </c>
      <c r="O55" s="10">
        <v>4445.6974899999996</v>
      </c>
      <c r="P55" s="10">
        <v>844.22501</v>
      </c>
      <c r="Q55" s="10">
        <v>223.53038000000001</v>
      </c>
      <c r="R55" s="10">
        <v>96468.865950000094</v>
      </c>
      <c r="S55" s="10">
        <v>1509.5199600000001</v>
      </c>
      <c r="T55" s="10">
        <v>43924.389879999901</v>
      </c>
      <c r="U55" s="10">
        <v>24227.272150000001</v>
      </c>
      <c r="V55" s="10">
        <v>18438.41905</v>
      </c>
      <c r="W55" s="10">
        <v>16702.87442</v>
      </c>
      <c r="X55" s="10">
        <v>48921.809630000003</v>
      </c>
      <c r="Y55" s="10">
        <v>5237.0982800000002</v>
      </c>
      <c r="Z55" s="10">
        <v>6606.4621900000002</v>
      </c>
      <c r="AA55" s="10">
        <v>1341.5179900000001</v>
      </c>
      <c r="AB55" s="10">
        <v>2653.9415600000002</v>
      </c>
      <c r="AC55" s="10">
        <v>8257.73488</v>
      </c>
      <c r="AD55" s="10">
        <v>2065070.9200200001</v>
      </c>
      <c r="AE55" s="10">
        <v>12783.68295</v>
      </c>
      <c r="AF55" s="10">
        <v>20950.92253</v>
      </c>
      <c r="AG55" s="10">
        <v>31396.608840000001</v>
      </c>
      <c r="AH55" s="10">
        <v>8600.4657800000004</v>
      </c>
      <c r="AI55" s="10">
        <v>11509.27023</v>
      </c>
      <c r="AJ55" s="10">
        <v>65774.32574</v>
      </c>
      <c r="AK55" s="10">
        <v>23464.630369999999</v>
      </c>
      <c r="AL55" s="10">
        <v>5296.5588200000002</v>
      </c>
      <c r="AM55" s="10"/>
      <c r="AN55" s="10">
        <v>184.51755</v>
      </c>
      <c r="AO55" s="10">
        <v>42025.909609999901</v>
      </c>
      <c r="AP55" s="10">
        <v>139224.27059</v>
      </c>
      <c r="AQ55" s="10">
        <v>7976.3114100000003</v>
      </c>
      <c r="AR55" s="10">
        <v>2608.3929499999999</v>
      </c>
      <c r="AS55" s="10">
        <v>4265.6265299999995</v>
      </c>
      <c r="AT55" s="10">
        <v>552.57925</v>
      </c>
      <c r="AU55" s="10">
        <v>4401.8331900000003</v>
      </c>
      <c r="AV55" s="10">
        <v>13.958970000000001</v>
      </c>
      <c r="AW55" s="10">
        <v>83.59357</v>
      </c>
      <c r="AX55" s="10">
        <v>280.56799000000001</v>
      </c>
      <c r="AY55" s="10">
        <v>33361.734299999996</v>
      </c>
      <c r="AZ55" s="10">
        <v>5056.1473100000103</v>
      </c>
      <c r="BA55" s="10"/>
      <c r="BB55" s="10">
        <v>0.30941999999999997</v>
      </c>
      <c r="BC55" s="10">
        <v>700.28899999999999</v>
      </c>
      <c r="BD55" s="10">
        <v>81.894360000000006</v>
      </c>
      <c r="BE55" s="10">
        <v>5671.6730699999998</v>
      </c>
      <c r="BF55" s="10">
        <v>849.17828999999995</v>
      </c>
      <c r="BG55" s="10">
        <v>1887.7214899999999</v>
      </c>
      <c r="BH55" s="10">
        <v>440.28701999999998</v>
      </c>
      <c r="BI55" s="10">
        <v>741.24417000000005</v>
      </c>
      <c r="BJ55" s="10">
        <v>3388.7694900000001</v>
      </c>
      <c r="BK55" s="10">
        <v>4995.4615299999996</v>
      </c>
      <c r="BL55" s="10">
        <v>16615.820669999899</v>
      </c>
      <c r="BM55" s="10">
        <v>20642.622210000001</v>
      </c>
      <c r="BN55" s="10">
        <v>9980.5138799999895</v>
      </c>
      <c r="BO55" s="10">
        <v>3947.7650100000001</v>
      </c>
      <c r="BP55" s="10">
        <v>1631.4845700000001</v>
      </c>
      <c r="BQ55" s="10">
        <v>33.090159999999997</v>
      </c>
      <c r="BR55" s="10">
        <v>2.6783999999999999</v>
      </c>
      <c r="BS55" s="10">
        <v>6661.1885199999997</v>
      </c>
      <c r="BT55" s="10">
        <v>8987.7857200000108</v>
      </c>
      <c r="BU55" s="10">
        <v>13712.3622</v>
      </c>
      <c r="BV55" s="10">
        <v>349993.83545000001</v>
      </c>
      <c r="BW55" s="10">
        <v>73895.860520000002</v>
      </c>
      <c r="BX55" s="10">
        <v>25494.924439999999</v>
      </c>
      <c r="BY55" s="10">
        <v>34378.120130000003</v>
      </c>
      <c r="BZ55" s="10">
        <v>12.20947</v>
      </c>
      <c r="CA55" s="10">
        <v>77869.781659999906</v>
      </c>
      <c r="CB55" s="10">
        <v>280.96339999999998</v>
      </c>
      <c r="CC55" s="10">
        <v>82.792010000000005</v>
      </c>
      <c r="CD55" s="10">
        <v>16.195879999999999</v>
      </c>
      <c r="CE55" s="10">
        <v>92.065759999999997</v>
      </c>
      <c r="CF55" s="10">
        <v>5712.7456100000099</v>
      </c>
      <c r="CG55" s="10">
        <v>4660.0108600000003</v>
      </c>
      <c r="CH55" s="10">
        <v>57043.782359999997</v>
      </c>
      <c r="CI55" s="10">
        <v>88902.057849999997</v>
      </c>
      <c r="CJ55" s="10">
        <v>19.579999999999998</v>
      </c>
      <c r="CK55" s="10">
        <v>49234.28703</v>
      </c>
      <c r="CL55" s="10">
        <v>395.90010000000001</v>
      </c>
      <c r="CM55" s="10">
        <v>305.91329000000002</v>
      </c>
      <c r="CN55" s="10">
        <v>10568.559499999999</v>
      </c>
      <c r="CO55" s="10">
        <v>200.41978</v>
      </c>
      <c r="CP55" s="10">
        <v>10.076750000000001</v>
      </c>
      <c r="CQ55" s="10">
        <v>219.88</v>
      </c>
      <c r="CR55" s="10">
        <v>17819.46732</v>
      </c>
      <c r="CS55" s="10">
        <v>1665.38545</v>
      </c>
      <c r="CT55" s="10">
        <v>12809.32726</v>
      </c>
      <c r="CU55" s="10">
        <v>409.23241000000002</v>
      </c>
      <c r="CV55" s="10">
        <v>775.92767000000003</v>
      </c>
      <c r="CW55" s="11">
        <v>4450912.9770899992</v>
      </c>
      <c r="CX55" s="11">
        <v>4450912.9770899992</v>
      </c>
    </row>
    <row r="56" spans="1:102">
      <c r="A56" s="7">
        <f t="shared" ca="1" si="3"/>
        <v>2024</v>
      </c>
      <c r="B56" s="7">
        <f t="shared" ca="1" si="2"/>
        <v>2</v>
      </c>
      <c r="C56" s="9">
        <v>45444</v>
      </c>
      <c r="D56" s="12">
        <v>10814.019410000001</v>
      </c>
      <c r="E56" s="12">
        <v>7951.0640599999997</v>
      </c>
      <c r="F56" s="12">
        <v>8215.7922699999999</v>
      </c>
      <c r="G56" s="12">
        <v>6721.9482099999996</v>
      </c>
      <c r="H56" s="12">
        <v>4049.6961500000002</v>
      </c>
      <c r="I56" s="12">
        <v>204488.78042999899</v>
      </c>
      <c r="J56" s="12">
        <v>2449.6023300000002</v>
      </c>
      <c r="K56" s="12">
        <v>137686.26261000001</v>
      </c>
      <c r="L56" s="12">
        <v>285915.89841999998</v>
      </c>
      <c r="M56" s="12">
        <v>116.72596</v>
      </c>
      <c r="N56" s="12">
        <v>5766.1414299999997</v>
      </c>
      <c r="O56" s="12">
        <v>4914.7115199999998</v>
      </c>
      <c r="P56" s="12">
        <v>42.435169999999999</v>
      </c>
      <c r="Q56" s="12">
        <v>124.74704</v>
      </c>
      <c r="R56" s="12">
        <v>66849.578680000006</v>
      </c>
      <c r="S56" s="12">
        <v>2045.34085</v>
      </c>
      <c r="T56" s="12">
        <v>44514.927510000001</v>
      </c>
      <c r="U56" s="12">
        <v>20825.596140000001</v>
      </c>
      <c r="V56" s="12">
        <v>16962.475880000002</v>
      </c>
      <c r="W56" s="12">
        <v>16239.490040000001</v>
      </c>
      <c r="X56" s="12">
        <v>39234.743060000001</v>
      </c>
      <c r="Y56" s="12">
        <v>5579.1270700000096</v>
      </c>
      <c r="Z56" s="12">
        <v>5246.6721299999999</v>
      </c>
      <c r="AA56" s="12">
        <v>1678.6823199999999</v>
      </c>
      <c r="AB56" s="12">
        <v>2770.3704600000001</v>
      </c>
      <c r="AC56" s="12">
        <v>6058.2212399999999</v>
      </c>
      <c r="AD56" s="12">
        <v>1786374.35956</v>
      </c>
      <c r="AE56" s="12">
        <v>16542.144270000001</v>
      </c>
      <c r="AF56" s="12">
        <v>18285.50144</v>
      </c>
      <c r="AG56" s="12">
        <v>30654.326150000001</v>
      </c>
      <c r="AH56" s="12">
        <v>4683.45748</v>
      </c>
      <c r="AI56" s="12">
        <v>12533.50747</v>
      </c>
      <c r="AJ56" s="12">
        <v>56895.0159099999</v>
      </c>
      <c r="AK56" s="12">
        <v>19485.924869999999</v>
      </c>
      <c r="AL56" s="12">
        <v>7576.1074699999999</v>
      </c>
      <c r="AM56" s="12"/>
      <c r="AN56" s="12">
        <v>5.9927000000000001</v>
      </c>
      <c r="AO56" s="12">
        <v>52710.231169999999</v>
      </c>
      <c r="AP56" s="12">
        <v>144058.86037000001</v>
      </c>
      <c r="AQ56" s="12">
        <v>9111.7667199999996</v>
      </c>
      <c r="AR56" s="12">
        <v>3256.0895500000001</v>
      </c>
      <c r="AS56" s="12">
        <v>3959.0979499999999</v>
      </c>
      <c r="AT56" s="12">
        <v>216.96266</v>
      </c>
      <c r="AU56" s="12">
        <v>3902.5418199999999</v>
      </c>
      <c r="AV56" s="12">
        <v>39.216450000000002</v>
      </c>
      <c r="AW56" s="12">
        <v>57.802120000000002</v>
      </c>
      <c r="AX56" s="12">
        <v>159.38482999999999</v>
      </c>
      <c r="AY56" s="12">
        <v>36356.550949999997</v>
      </c>
      <c r="AZ56" s="12">
        <v>3729.8148099999999</v>
      </c>
      <c r="BA56" s="12"/>
      <c r="BB56" s="12">
        <v>1.1049599999999999</v>
      </c>
      <c r="BC56" s="12">
        <v>967.13814000000002</v>
      </c>
      <c r="BD56" s="12">
        <v>37.470440000000004</v>
      </c>
      <c r="BE56" s="12">
        <v>5341.1468500000001</v>
      </c>
      <c r="BF56" s="12">
        <v>531.22636</v>
      </c>
      <c r="BG56" s="12">
        <v>930.18010000000004</v>
      </c>
      <c r="BH56" s="12">
        <v>268.55844999999999</v>
      </c>
      <c r="BI56" s="12">
        <v>817.23446000000001</v>
      </c>
      <c r="BJ56" s="12">
        <v>3163.2473199999999</v>
      </c>
      <c r="BK56" s="12">
        <v>6092.0663699999996</v>
      </c>
      <c r="BL56" s="12">
        <v>14095.99857</v>
      </c>
      <c r="BM56" s="12">
        <v>17036.085029999998</v>
      </c>
      <c r="BN56" s="12">
        <v>7274.7243500000004</v>
      </c>
      <c r="BO56" s="12">
        <v>3327.6632500000001</v>
      </c>
      <c r="BP56" s="12">
        <v>1827.3213499999999</v>
      </c>
      <c r="BQ56" s="12">
        <v>57.605110000000003</v>
      </c>
      <c r="BR56" s="12">
        <v>2.29142</v>
      </c>
      <c r="BS56" s="12">
        <v>5075.2137899999998</v>
      </c>
      <c r="BT56" s="12">
        <v>6849.0964199999798</v>
      </c>
      <c r="BU56" s="12">
        <v>12183.066720000001</v>
      </c>
      <c r="BV56" s="12">
        <v>282200.42616999999</v>
      </c>
      <c r="BW56" s="12">
        <v>36488.036489999999</v>
      </c>
      <c r="BX56" s="12">
        <v>22096.20031</v>
      </c>
      <c r="BY56" s="12">
        <v>40241.38538</v>
      </c>
      <c r="BZ56" s="12">
        <v>53.855429999999998</v>
      </c>
      <c r="CA56" s="12">
        <v>67828.206530000098</v>
      </c>
      <c r="CB56" s="12">
        <v>627.66597000000002</v>
      </c>
      <c r="CC56" s="12">
        <v>48.303899999999999</v>
      </c>
      <c r="CD56" s="12">
        <v>10.903549999999999</v>
      </c>
      <c r="CE56" s="12">
        <v>170.94988000000001</v>
      </c>
      <c r="CF56" s="12">
        <v>5019.34908</v>
      </c>
      <c r="CG56" s="12">
        <v>3863.3129600000002</v>
      </c>
      <c r="CH56" s="12">
        <v>44610.236349999897</v>
      </c>
      <c r="CI56" s="12">
        <v>65566.500279999993</v>
      </c>
      <c r="CJ56" s="12">
        <v>55.645220000000002</v>
      </c>
      <c r="CK56" s="12">
        <v>37605.95983</v>
      </c>
      <c r="CL56" s="12">
        <v>10534.33864</v>
      </c>
      <c r="CM56" s="12">
        <v>73.5732</v>
      </c>
      <c r="CN56" s="12">
        <v>6627.8993899999996</v>
      </c>
      <c r="CO56" s="12">
        <v>24.870989999999999</v>
      </c>
      <c r="CP56" s="12">
        <v>68.140960000000007</v>
      </c>
      <c r="CQ56" s="12">
        <v>1197.335</v>
      </c>
      <c r="CR56" s="12">
        <v>15411.22134</v>
      </c>
      <c r="CS56" s="12">
        <v>1181.2917600000001</v>
      </c>
      <c r="CT56" s="12">
        <v>12887.258449999999</v>
      </c>
      <c r="CU56" s="12">
        <v>249.79037</v>
      </c>
      <c r="CV56" s="12">
        <v>851.00811999999996</v>
      </c>
      <c r="CW56" s="13">
        <v>3859329.8121199994</v>
      </c>
      <c r="CX56" s="13">
        <v>3859329.8121199994</v>
      </c>
    </row>
    <row r="57" spans="1:102">
      <c r="A57" s="7">
        <f t="shared" ca="1" si="3"/>
        <v>2024</v>
      </c>
      <c r="B57" s="7">
        <f t="shared" ca="1" si="2"/>
        <v>3</v>
      </c>
      <c r="C57" s="8">
        <v>45474</v>
      </c>
      <c r="D57" s="10">
        <v>17916.292079999999</v>
      </c>
      <c r="E57" s="10">
        <v>8067.4722400000001</v>
      </c>
      <c r="F57" s="10">
        <v>24945.04638</v>
      </c>
      <c r="G57" s="10">
        <v>7762.8554599999998</v>
      </c>
      <c r="H57" s="10">
        <v>6096.7590899999996</v>
      </c>
      <c r="I57" s="10">
        <v>216369.61178999901</v>
      </c>
      <c r="J57" s="10">
        <v>2666.6637599999999</v>
      </c>
      <c r="K57" s="10">
        <v>129277.1572</v>
      </c>
      <c r="L57" s="10">
        <v>291114.43706000003</v>
      </c>
      <c r="M57" s="10">
        <v>47.731119999999997</v>
      </c>
      <c r="N57" s="10">
        <v>6794.3434900000002</v>
      </c>
      <c r="O57" s="10">
        <v>4110.8885700000001</v>
      </c>
      <c r="P57" s="10">
        <v>247.44918999999999</v>
      </c>
      <c r="Q57" s="10">
        <v>207.0393</v>
      </c>
      <c r="R57" s="10">
        <v>50199.051529999902</v>
      </c>
      <c r="S57" s="10">
        <v>1537.09763</v>
      </c>
      <c r="T57" s="10">
        <v>57855.981189999999</v>
      </c>
      <c r="U57" s="10">
        <v>27441.85385</v>
      </c>
      <c r="V57" s="10">
        <v>17762.35007</v>
      </c>
      <c r="W57" s="10">
        <v>17987.127100000002</v>
      </c>
      <c r="X57" s="10">
        <v>38600.212059999998</v>
      </c>
      <c r="Y57" s="10">
        <v>7005.47235</v>
      </c>
      <c r="Z57" s="10">
        <v>6761.6138499999997</v>
      </c>
      <c r="AA57" s="10">
        <v>535.21094000000005</v>
      </c>
      <c r="AB57" s="10">
        <v>1901.9074700000001</v>
      </c>
      <c r="AC57" s="10">
        <v>31051.735049999999</v>
      </c>
      <c r="AD57" s="10">
        <v>2227329.8615099899</v>
      </c>
      <c r="AE57" s="10">
        <v>16637.276129999998</v>
      </c>
      <c r="AF57" s="10">
        <v>16177.951010000001</v>
      </c>
      <c r="AG57" s="10">
        <v>37280.948729999996</v>
      </c>
      <c r="AH57" s="10">
        <v>4476.1241600000003</v>
      </c>
      <c r="AI57" s="10">
        <v>11234.499889999999</v>
      </c>
      <c r="AJ57" s="10">
        <v>57901.140589999901</v>
      </c>
      <c r="AK57" s="10">
        <v>23916.471389999999</v>
      </c>
      <c r="AL57" s="10">
        <v>4947.2527399999999</v>
      </c>
      <c r="AM57" s="10"/>
      <c r="AN57" s="10">
        <v>21.92914</v>
      </c>
      <c r="AO57" s="10">
        <v>76205.315479999903</v>
      </c>
      <c r="AP57" s="10">
        <v>154100.31031999999</v>
      </c>
      <c r="AQ57" s="10">
        <v>9590.1792999999998</v>
      </c>
      <c r="AR57" s="10">
        <v>2636.22037</v>
      </c>
      <c r="AS57" s="10">
        <v>3328.0731300000002</v>
      </c>
      <c r="AT57" s="10">
        <v>485.81378000000001</v>
      </c>
      <c r="AU57" s="10">
        <v>5922.3393299999998</v>
      </c>
      <c r="AV57" s="10">
        <v>3.9519500000000001</v>
      </c>
      <c r="AW57" s="10">
        <v>84.755340000000004</v>
      </c>
      <c r="AX57" s="10">
        <v>273.56763999999998</v>
      </c>
      <c r="AY57" s="10">
        <v>39312.4081800001</v>
      </c>
      <c r="AZ57" s="10">
        <v>6507.3626900000099</v>
      </c>
      <c r="BA57" s="10">
        <v>1.5915900000000001</v>
      </c>
      <c r="BB57" s="10">
        <v>0.54</v>
      </c>
      <c r="BC57" s="10">
        <v>1267.20795</v>
      </c>
      <c r="BD57" s="10">
        <v>90.095960000000005</v>
      </c>
      <c r="BE57" s="10">
        <v>6378.7591000000002</v>
      </c>
      <c r="BF57" s="10">
        <v>917.63544000000002</v>
      </c>
      <c r="BG57" s="10">
        <v>1261.61132</v>
      </c>
      <c r="BH57" s="10">
        <v>134.93985000000001</v>
      </c>
      <c r="BI57" s="10">
        <v>756.18344999999999</v>
      </c>
      <c r="BJ57" s="10">
        <v>3507.6423100000002</v>
      </c>
      <c r="BK57" s="10">
        <v>6013.6242300000004</v>
      </c>
      <c r="BL57" s="10">
        <v>15799.587649999999</v>
      </c>
      <c r="BM57" s="10">
        <v>20448.1181</v>
      </c>
      <c r="BN57" s="10">
        <v>8121.73423</v>
      </c>
      <c r="BO57" s="10">
        <v>3337.8749400000002</v>
      </c>
      <c r="BP57" s="10">
        <v>1658.7619400000001</v>
      </c>
      <c r="BQ57" s="10">
        <v>126.07098000000001</v>
      </c>
      <c r="BR57" s="10">
        <v>20.641400000000001</v>
      </c>
      <c r="BS57" s="10">
        <v>5954.5777499999904</v>
      </c>
      <c r="BT57" s="10">
        <v>9568.3675800000092</v>
      </c>
      <c r="BU57" s="10">
        <v>15796.09094</v>
      </c>
      <c r="BV57" s="10">
        <v>416363.0797</v>
      </c>
      <c r="BW57" s="10">
        <v>55360.124539999997</v>
      </c>
      <c r="BX57" s="10">
        <v>23373.91157</v>
      </c>
      <c r="BY57" s="10">
        <v>43370.098389999999</v>
      </c>
      <c r="BZ57" s="10">
        <v>1.1811199999999999</v>
      </c>
      <c r="CA57" s="10">
        <v>76870.005630000102</v>
      </c>
      <c r="CB57" s="10">
        <v>121.81807000000001</v>
      </c>
      <c r="CC57" s="10">
        <v>61.989440000000002</v>
      </c>
      <c r="CD57" s="10">
        <v>7.1268500000000001</v>
      </c>
      <c r="CE57" s="10">
        <v>128.02297999999999</v>
      </c>
      <c r="CF57" s="10">
        <v>5485.4460800000097</v>
      </c>
      <c r="CG57" s="10">
        <v>3354.22795</v>
      </c>
      <c r="CH57" s="10">
        <v>48803.595829999897</v>
      </c>
      <c r="CI57" s="10">
        <v>86102.788109999994</v>
      </c>
      <c r="CJ57" s="10">
        <v>46.978000000000002</v>
      </c>
      <c r="CK57" s="10">
        <v>33367.417970000002</v>
      </c>
      <c r="CL57" s="10">
        <v>5181.9753600000004</v>
      </c>
      <c r="CM57" s="10">
        <v>1185.9329</v>
      </c>
      <c r="CN57" s="10">
        <v>13380.087</v>
      </c>
      <c r="CO57" s="10">
        <v>315.53922999999998</v>
      </c>
      <c r="CP57" s="10">
        <v>26.42765</v>
      </c>
      <c r="CQ57" s="10">
        <v>220.42500000000001</v>
      </c>
      <c r="CR57" s="10">
        <v>13774.064689999999</v>
      </c>
      <c r="CS57" s="10">
        <v>1652.9657</v>
      </c>
      <c r="CT57" s="10">
        <v>14790.81978</v>
      </c>
      <c r="CU57" s="10">
        <v>75.541049999999998</v>
      </c>
      <c r="CV57" s="10">
        <v>1064.81132</v>
      </c>
      <c r="CW57" s="11">
        <v>4618285.1712399907</v>
      </c>
      <c r="CX57" s="11">
        <v>4618285.1712399907</v>
      </c>
    </row>
    <row r="58" spans="1:102">
      <c r="A58" s="7">
        <f t="shared" ca="1" si="3"/>
        <v>2024</v>
      </c>
      <c r="B58" s="7">
        <f t="shared" ca="1" si="2"/>
        <v>3</v>
      </c>
      <c r="C58" s="9">
        <v>45505</v>
      </c>
      <c r="D58" s="12">
        <v>7097.2612799999997</v>
      </c>
      <c r="E58" s="12">
        <v>8803.4954500000003</v>
      </c>
      <c r="F58" s="12">
        <v>5697.1953199999998</v>
      </c>
      <c r="G58" s="12">
        <v>5217.37075</v>
      </c>
      <c r="H58" s="12">
        <v>6734.68995</v>
      </c>
      <c r="I58" s="12">
        <v>152906.27445999999</v>
      </c>
      <c r="J58" s="12">
        <v>2617.3448899999999</v>
      </c>
      <c r="K58" s="12">
        <v>104381.89133</v>
      </c>
      <c r="L58" s="12">
        <v>318115.41146999999</v>
      </c>
      <c r="M58" s="12">
        <v>398.86561</v>
      </c>
      <c r="N58" s="12">
        <v>5402.6520899999996</v>
      </c>
      <c r="O58" s="12">
        <v>4387.3049000000001</v>
      </c>
      <c r="P58" s="12">
        <v>251.31443999999999</v>
      </c>
      <c r="Q58" s="12">
        <v>80.327969999999993</v>
      </c>
      <c r="R58" s="12">
        <v>54469.952149999997</v>
      </c>
      <c r="S58" s="12">
        <v>1538.30637</v>
      </c>
      <c r="T58" s="12">
        <v>51061.023899999898</v>
      </c>
      <c r="U58" s="12">
        <v>19899.209080000001</v>
      </c>
      <c r="V58" s="12">
        <v>16765.78155</v>
      </c>
      <c r="W58" s="12">
        <v>17513.021079999999</v>
      </c>
      <c r="X58" s="12">
        <v>48497.556940000002</v>
      </c>
      <c r="Y58" s="12">
        <v>6922.5827399999998</v>
      </c>
      <c r="Z58" s="12">
        <v>7403.4901600000003</v>
      </c>
      <c r="AA58" s="12">
        <v>272.20542999999998</v>
      </c>
      <c r="AB58" s="12">
        <v>2035.5709300000001</v>
      </c>
      <c r="AC58" s="12">
        <v>9503.4749599999996</v>
      </c>
      <c r="AD58" s="12">
        <v>1656952.7415100001</v>
      </c>
      <c r="AE58" s="12">
        <v>14067.666789999999</v>
      </c>
      <c r="AF58" s="12">
        <v>20728.976849999999</v>
      </c>
      <c r="AG58" s="12">
        <v>31479.791639999999</v>
      </c>
      <c r="AH58" s="12">
        <v>2710.28836</v>
      </c>
      <c r="AI58" s="12">
        <v>11106.782929999999</v>
      </c>
      <c r="AJ58" s="12">
        <v>64187.361349999803</v>
      </c>
      <c r="AK58" s="12">
        <v>21798.51281</v>
      </c>
      <c r="AL58" s="12">
        <v>7629.8777899999995</v>
      </c>
      <c r="AM58" s="12"/>
      <c r="AN58" s="12">
        <v>26.453250000000001</v>
      </c>
      <c r="AO58" s="12">
        <v>56968.770450000098</v>
      </c>
      <c r="AP58" s="12">
        <v>152377.83467000001</v>
      </c>
      <c r="AQ58" s="12">
        <v>11619.838659999999</v>
      </c>
      <c r="AR58" s="12">
        <v>3181.0050000000001</v>
      </c>
      <c r="AS58" s="12">
        <v>3769.2392399999999</v>
      </c>
      <c r="AT58" s="12">
        <v>500.17313999999999</v>
      </c>
      <c r="AU58" s="12">
        <v>3243.6331399999999</v>
      </c>
      <c r="AV58" s="12">
        <v>46.931640000000002</v>
      </c>
      <c r="AW58" s="12">
        <v>66.981849999999994</v>
      </c>
      <c r="AX58" s="12">
        <v>133.38164</v>
      </c>
      <c r="AY58" s="12">
        <v>30926.992460000001</v>
      </c>
      <c r="AZ58" s="12">
        <v>4483.3028700000004</v>
      </c>
      <c r="BA58" s="12">
        <v>0.54744000000000004</v>
      </c>
      <c r="BB58" s="12">
        <v>0</v>
      </c>
      <c r="BC58" s="12">
        <v>736.15332000000001</v>
      </c>
      <c r="BD58" s="12">
        <v>120.58165</v>
      </c>
      <c r="BE58" s="12">
        <v>5397.6673099999998</v>
      </c>
      <c r="BF58" s="12">
        <v>467.81704000000002</v>
      </c>
      <c r="BG58" s="12">
        <v>894.81524000000002</v>
      </c>
      <c r="BH58" s="12">
        <v>123.76266</v>
      </c>
      <c r="BI58" s="12">
        <v>1108.5881300000001</v>
      </c>
      <c r="BJ58" s="12">
        <v>2505.2844300000002</v>
      </c>
      <c r="BK58" s="12">
        <v>5901.14443999999</v>
      </c>
      <c r="BL58" s="12">
        <v>14966.67252</v>
      </c>
      <c r="BM58" s="12">
        <v>19100.8665</v>
      </c>
      <c r="BN58" s="12">
        <v>7712.77592</v>
      </c>
      <c r="BO58" s="12">
        <v>3220.0454599999998</v>
      </c>
      <c r="BP58" s="12">
        <v>1779.3333299999999</v>
      </c>
      <c r="BQ58" s="12">
        <v>32.967559999999999</v>
      </c>
      <c r="BR58" s="12">
        <v>1.73881</v>
      </c>
      <c r="BS58" s="12">
        <v>6769.6878800000004</v>
      </c>
      <c r="BT58" s="12">
        <v>8165.09249000001</v>
      </c>
      <c r="BU58" s="12">
        <v>14405.96371</v>
      </c>
      <c r="BV58" s="12">
        <v>331497.26983</v>
      </c>
      <c r="BW58" s="12">
        <v>71761.484530000002</v>
      </c>
      <c r="BX58" s="12">
        <v>23113.092260000001</v>
      </c>
      <c r="BY58" s="12">
        <v>36960.066879999998</v>
      </c>
      <c r="BZ58" s="12">
        <v>108.67232</v>
      </c>
      <c r="CA58" s="12">
        <v>79091.322119999997</v>
      </c>
      <c r="CB58" s="12">
        <v>688.96425999999997</v>
      </c>
      <c r="CC58" s="12">
        <v>182.50265999999999</v>
      </c>
      <c r="CD58" s="12">
        <v>2.7819500000000001</v>
      </c>
      <c r="CE58" s="12">
        <v>343.18853999999999</v>
      </c>
      <c r="CF58" s="12">
        <v>5580.71432</v>
      </c>
      <c r="CG58" s="12">
        <v>4197.5466299999998</v>
      </c>
      <c r="CH58" s="12">
        <v>50203.5130299999</v>
      </c>
      <c r="CI58" s="12">
        <v>91685.894709999804</v>
      </c>
      <c r="CJ58" s="12">
        <v>53.283999999999999</v>
      </c>
      <c r="CK58" s="12">
        <v>52002.783040000097</v>
      </c>
      <c r="CL58" s="12">
        <v>5663.6478900000002</v>
      </c>
      <c r="CM58" s="12">
        <v>687.54399999999998</v>
      </c>
      <c r="CN58" s="12">
        <v>8923.3039900000094</v>
      </c>
      <c r="CO58" s="12">
        <v>724.33560999999997</v>
      </c>
      <c r="CP58" s="12">
        <v>1.6731</v>
      </c>
      <c r="CQ58" s="12">
        <v>298.654</v>
      </c>
      <c r="CR58" s="12">
        <v>14984.3145</v>
      </c>
      <c r="CS58" s="12">
        <v>2248.85176</v>
      </c>
      <c r="CT58" s="12">
        <v>12387.82475</v>
      </c>
      <c r="CU58" s="12">
        <v>1806.4694500000001</v>
      </c>
      <c r="CV58" s="12">
        <v>1119.25847</v>
      </c>
      <c r="CW58" s="13">
        <v>3845710.5776799996</v>
      </c>
      <c r="CX58" s="13">
        <v>3845710.5776799996</v>
      </c>
    </row>
    <row r="59" spans="1:102">
      <c r="A59" s="7">
        <f t="shared" ca="1" si="3"/>
        <v>2024</v>
      </c>
      <c r="B59" s="7">
        <f t="shared" ca="1" si="2"/>
        <v>3</v>
      </c>
      <c r="C59" s="8">
        <v>45536</v>
      </c>
      <c r="D59" s="10">
        <v>2259.88958</v>
      </c>
      <c r="E59" s="10">
        <v>15045.69224</v>
      </c>
      <c r="F59" s="10">
        <v>11423.575059999999</v>
      </c>
      <c r="G59" s="10">
        <v>2950.64984</v>
      </c>
      <c r="H59" s="10">
        <v>4679.0449600000002</v>
      </c>
      <c r="I59" s="10">
        <v>173478.156140001</v>
      </c>
      <c r="J59" s="10">
        <v>2406.2882500000001</v>
      </c>
      <c r="K59" s="10">
        <v>171397.61378000001</v>
      </c>
      <c r="L59" s="10">
        <v>284093.58779999998</v>
      </c>
      <c r="M59" s="10">
        <v>10508.039989999999</v>
      </c>
      <c r="N59" s="10">
        <v>5168.74863</v>
      </c>
      <c r="O59" s="10">
        <v>4023.3340899999998</v>
      </c>
      <c r="P59" s="10">
        <v>436.42757</v>
      </c>
      <c r="Q59" s="10">
        <v>272.57799999999997</v>
      </c>
      <c r="R59" s="10">
        <v>60387.972820000003</v>
      </c>
      <c r="S59" s="10">
        <v>2591.6226200000001</v>
      </c>
      <c r="T59" s="10">
        <v>72987.829509999996</v>
      </c>
      <c r="U59" s="10">
        <v>27394.00143</v>
      </c>
      <c r="V59" s="10">
        <v>18431.662189999999</v>
      </c>
      <c r="W59" s="10">
        <v>16697.557629999999</v>
      </c>
      <c r="X59" s="10">
        <v>51190.880899999996</v>
      </c>
      <c r="Y59" s="10">
        <v>5444.23225</v>
      </c>
      <c r="Z59" s="10">
        <v>6825.8437100000001</v>
      </c>
      <c r="AA59" s="10">
        <v>307.39868999999999</v>
      </c>
      <c r="AB59" s="10">
        <v>2058.6742800000002</v>
      </c>
      <c r="AC59" s="10">
        <v>25104.182990000001</v>
      </c>
      <c r="AD59" s="10">
        <v>1791341.14047</v>
      </c>
      <c r="AE59" s="10">
        <v>14819.214749999999</v>
      </c>
      <c r="AF59" s="10">
        <v>18158.8783</v>
      </c>
      <c r="AG59" s="10">
        <v>35679.898719999997</v>
      </c>
      <c r="AH59" s="10">
        <v>4853.2711600000002</v>
      </c>
      <c r="AI59" s="10">
        <v>14776.576279999999</v>
      </c>
      <c r="AJ59" s="10">
        <v>61021.630219999999</v>
      </c>
      <c r="AK59" s="10">
        <v>22553.709699999999</v>
      </c>
      <c r="AL59" s="10">
        <v>5421.1503300000004</v>
      </c>
      <c r="AM59" s="10"/>
      <c r="AN59" s="10">
        <v>124.52378</v>
      </c>
      <c r="AO59" s="10">
        <v>56620.290899999898</v>
      </c>
      <c r="AP59" s="10">
        <v>127052.44331000101</v>
      </c>
      <c r="AQ59" s="10">
        <v>8567.8562100000108</v>
      </c>
      <c r="AR59" s="10">
        <v>2015.53126</v>
      </c>
      <c r="AS59" s="10">
        <v>3438.4612499999998</v>
      </c>
      <c r="AT59" s="10">
        <v>562.13689999999997</v>
      </c>
      <c r="AU59" s="10">
        <v>3669.6193899999998</v>
      </c>
      <c r="AV59" s="10">
        <v>15.68881</v>
      </c>
      <c r="AW59" s="10">
        <v>65.089690000000004</v>
      </c>
      <c r="AX59" s="10">
        <v>43.958860000000001</v>
      </c>
      <c r="AY59" s="10">
        <v>27733.5792</v>
      </c>
      <c r="AZ59" s="10">
        <v>6548.96965</v>
      </c>
      <c r="BA59" s="10">
        <v>2.6618900000000001</v>
      </c>
      <c r="BB59" s="10">
        <v>0.66068000000000005</v>
      </c>
      <c r="BC59" s="10">
        <v>1233.32745</v>
      </c>
      <c r="BD59" s="10">
        <v>71.325220000000002</v>
      </c>
      <c r="BE59" s="10">
        <v>5997.3421799999996</v>
      </c>
      <c r="BF59" s="10">
        <v>530.30885999999998</v>
      </c>
      <c r="BG59" s="10">
        <v>1385.17617</v>
      </c>
      <c r="BH59" s="10">
        <v>156.63624999999999</v>
      </c>
      <c r="BI59" s="10">
        <v>823.54588999999999</v>
      </c>
      <c r="BJ59" s="10">
        <v>2895.78766</v>
      </c>
      <c r="BK59" s="10">
        <v>5039.8733199999997</v>
      </c>
      <c r="BL59" s="10">
        <v>13998.14198</v>
      </c>
      <c r="BM59" s="10">
        <v>16168.862450000001</v>
      </c>
      <c r="BN59" s="10">
        <v>8511.6948600000105</v>
      </c>
      <c r="BO59" s="10">
        <v>3270.5983500000002</v>
      </c>
      <c r="BP59" s="10">
        <v>1383.2255600000001</v>
      </c>
      <c r="BQ59" s="10">
        <v>160.03588999999999</v>
      </c>
      <c r="BR59" s="10">
        <v>1.657</v>
      </c>
      <c r="BS59" s="10">
        <v>4571.20532</v>
      </c>
      <c r="BT59" s="10">
        <v>9239.9037100000096</v>
      </c>
      <c r="BU59" s="10">
        <v>14562.174150000001</v>
      </c>
      <c r="BV59" s="10">
        <v>449429.69968000002</v>
      </c>
      <c r="BW59" s="10">
        <v>62850.170559999999</v>
      </c>
      <c r="BX59" s="10">
        <v>19655.60785</v>
      </c>
      <c r="BY59" s="10">
        <v>35837.187290000002</v>
      </c>
      <c r="BZ59" s="10">
        <v>29.058250000000001</v>
      </c>
      <c r="CA59" s="10">
        <v>71956.613869999899</v>
      </c>
      <c r="CB59" s="10">
        <v>980.25748999999996</v>
      </c>
      <c r="CC59" s="10">
        <v>46.338120000000004</v>
      </c>
      <c r="CD59" s="10"/>
      <c r="CE59" s="10">
        <v>91.258250000000004</v>
      </c>
      <c r="CF59" s="10">
        <v>4686.4638699999996</v>
      </c>
      <c r="CG59" s="10">
        <v>3729.2456499999998</v>
      </c>
      <c r="CH59" s="10">
        <v>51688.209929999801</v>
      </c>
      <c r="CI59" s="10">
        <v>92927.722329999902</v>
      </c>
      <c r="CJ59" s="10">
        <v>155.31988999999999</v>
      </c>
      <c r="CK59" s="10">
        <v>39942.0841</v>
      </c>
      <c r="CL59" s="10">
        <v>2760.8417399999998</v>
      </c>
      <c r="CM59" s="10">
        <v>258.7944</v>
      </c>
      <c r="CN59" s="10">
        <v>13642.49418</v>
      </c>
      <c r="CO59" s="10">
        <v>759.40489000000002</v>
      </c>
      <c r="CP59" s="10">
        <v>10.328849999999999</v>
      </c>
      <c r="CQ59" s="10">
        <v>1233.40741</v>
      </c>
      <c r="CR59" s="10">
        <v>15827.564630000001</v>
      </c>
      <c r="CS59" s="10">
        <v>2652.3378899999998</v>
      </c>
      <c r="CT59" s="10">
        <v>13825.4504</v>
      </c>
      <c r="CU59" s="10">
        <v>31.101990000000001</v>
      </c>
      <c r="CV59" s="10">
        <v>1031.70751</v>
      </c>
      <c r="CW59" s="11">
        <v>4158691.9199500023</v>
      </c>
      <c r="CX59" s="11">
        <v>4158691.9199500023</v>
      </c>
    </row>
    <row r="60" spans="1:102">
      <c r="A60" s="7">
        <f t="shared" ca="1" si="3"/>
        <v>2024</v>
      </c>
      <c r="B60" s="7">
        <f t="shared" ca="1" si="2"/>
        <v>4</v>
      </c>
      <c r="C60" s="9">
        <v>45566</v>
      </c>
      <c r="D60" s="12">
        <v>26048.72481</v>
      </c>
      <c r="E60" s="12">
        <v>12044.28275</v>
      </c>
      <c r="F60" s="12">
        <v>11624.673140000001</v>
      </c>
      <c r="G60" s="12">
        <v>5334.9827999999998</v>
      </c>
      <c r="H60" s="12">
        <v>2031.38156</v>
      </c>
      <c r="I60" s="12">
        <v>176824.98473</v>
      </c>
      <c r="J60" s="12">
        <v>3949.1274600000002</v>
      </c>
      <c r="K60" s="12">
        <v>140235.52075</v>
      </c>
      <c r="L60" s="12">
        <v>338376.87316999998</v>
      </c>
      <c r="M60" s="12">
        <v>10786.880590000001</v>
      </c>
      <c r="N60" s="12">
        <v>7054.0950400000002</v>
      </c>
      <c r="O60" s="12">
        <v>3993.8768700000001</v>
      </c>
      <c r="P60" s="12">
        <v>344.90872999999999</v>
      </c>
      <c r="Q60" s="12">
        <v>179.58107999999999</v>
      </c>
      <c r="R60" s="12">
        <v>47096.406199999998</v>
      </c>
      <c r="S60" s="12">
        <v>1886.3124499999999</v>
      </c>
      <c r="T60" s="12">
        <v>83910.009130000093</v>
      </c>
      <c r="U60" s="12">
        <v>21462.997149999999</v>
      </c>
      <c r="V60" s="12">
        <v>19080.31223</v>
      </c>
      <c r="W60" s="12">
        <v>17042.955389999999</v>
      </c>
      <c r="X60" s="12">
        <v>46365.178879999898</v>
      </c>
      <c r="Y60" s="12">
        <v>10243.504559999999</v>
      </c>
      <c r="Z60" s="12">
        <v>9850.1044700000002</v>
      </c>
      <c r="AA60" s="12">
        <v>350.52685000000002</v>
      </c>
      <c r="AB60" s="12">
        <v>3472.4684600000001</v>
      </c>
      <c r="AC60" s="12">
        <v>33432.018539999997</v>
      </c>
      <c r="AD60" s="12">
        <v>1767167.62861</v>
      </c>
      <c r="AE60" s="12">
        <v>14572.9293</v>
      </c>
      <c r="AF60" s="12">
        <v>17528.846890000001</v>
      </c>
      <c r="AG60" s="12">
        <v>32718.01741</v>
      </c>
      <c r="AH60" s="12">
        <v>3651.5501300000001</v>
      </c>
      <c r="AI60" s="12">
        <v>12804.956120000001</v>
      </c>
      <c r="AJ60" s="12">
        <v>56811.210129999898</v>
      </c>
      <c r="AK60" s="12">
        <v>23240.047750000002</v>
      </c>
      <c r="AL60" s="12">
        <v>6659.4360699999997</v>
      </c>
      <c r="AM60" s="12">
        <v>0.1875</v>
      </c>
      <c r="AN60" s="12">
        <v>61.888509999999997</v>
      </c>
      <c r="AO60" s="12">
        <v>69856.714919999999</v>
      </c>
      <c r="AP60" s="12">
        <v>171291.70465999999</v>
      </c>
      <c r="AQ60" s="12">
        <v>9522.2259600000107</v>
      </c>
      <c r="AR60" s="12">
        <v>4004.2468800000001</v>
      </c>
      <c r="AS60" s="12">
        <v>5251.6383500000002</v>
      </c>
      <c r="AT60" s="12">
        <v>570.79558999999995</v>
      </c>
      <c r="AU60" s="12">
        <v>3256.7276400000001</v>
      </c>
      <c r="AV60" s="12">
        <v>15.636189999999999</v>
      </c>
      <c r="AW60" s="12">
        <v>53.906709999999997</v>
      </c>
      <c r="AX60" s="12">
        <v>184.67683</v>
      </c>
      <c r="AY60" s="12">
        <v>38867.552389999903</v>
      </c>
      <c r="AZ60" s="12">
        <v>5333.7772699999896</v>
      </c>
      <c r="BA60" s="12">
        <v>2.2364700000000002</v>
      </c>
      <c r="BB60" s="12">
        <v>2.22601</v>
      </c>
      <c r="BC60" s="12">
        <v>1245.19903</v>
      </c>
      <c r="BD60" s="12">
        <v>52.713419999999999</v>
      </c>
      <c r="BE60" s="12">
        <v>5137.1245799999997</v>
      </c>
      <c r="BF60" s="12">
        <v>867.13076999999998</v>
      </c>
      <c r="BG60" s="12">
        <v>1244.4708499999999</v>
      </c>
      <c r="BH60" s="12">
        <v>214.32776999999999</v>
      </c>
      <c r="BI60" s="12">
        <v>684.17250999999999</v>
      </c>
      <c r="BJ60" s="12">
        <v>2842.7180699999999</v>
      </c>
      <c r="BK60" s="12">
        <v>5462.1378800000002</v>
      </c>
      <c r="BL60" s="12">
        <v>17187.290799999901</v>
      </c>
      <c r="BM60" s="12">
        <v>18923.26744</v>
      </c>
      <c r="BN60" s="12">
        <v>9744.1172400000105</v>
      </c>
      <c r="BO60" s="12">
        <v>3469.9534800000001</v>
      </c>
      <c r="BP60" s="12">
        <v>1252.66086</v>
      </c>
      <c r="BQ60" s="12">
        <v>24.457799999999999</v>
      </c>
      <c r="BR60" s="12">
        <v>8.3290699999999998</v>
      </c>
      <c r="BS60" s="12">
        <v>4745.6455800000003</v>
      </c>
      <c r="BT60" s="12">
        <v>7130.5081100000098</v>
      </c>
      <c r="BU60" s="12">
        <v>13565.68773</v>
      </c>
      <c r="BV60" s="12">
        <v>515368.41937000002</v>
      </c>
      <c r="BW60" s="12">
        <v>51511.70448</v>
      </c>
      <c r="BX60" s="12">
        <v>16681.24814</v>
      </c>
      <c r="BY60" s="12">
        <v>34864.143839999997</v>
      </c>
      <c r="BZ60" s="12">
        <v>0.65829000000000004</v>
      </c>
      <c r="CA60" s="12">
        <v>72817.036450000101</v>
      </c>
      <c r="CB60" s="12">
        <v>1924.1709000000001</v>
      </c>
      <c r="CC60" s="12">
        <v>35.150100000000002</v>
      </c>
      <c r="CD60" s="12">
        <v>1.39916</v>
      </c>
      <c r="CE60" s="12">
        <v>86.092060000000004</v>
      </c>
      <c r="CF60" s="12">
        <v>6721.7734399999999</v>
      </c>
      <c r="CG60" s="12">
        <v>3712.14939</v>
      </c>
      <c r="CH60" s="12">
        <v>62942.991449999899</v>
      </c>
      <c r="CI60" s="12">
        <v>89380.057410000096</v>
      </c>
      <c r="CJ60" s="12">
        <v>127.51566</v>
      </c>
      <c r="CK60" s="12">
        <v>34597.755899999996</v>
      </c>
      <c r="CL60" s="12">
        <v>2691.6229699999999</v>
      </c>
      <c r="CM60" s="12">
        <v>590.83842000000004</v>
      </c>
      <c r="CN60" s="12">
        <v>8667.5359000000008</v>
      </c>
      <c r="CO60" s="12">
        <v>381.06975</v>
      </c>
      <c r="CP60" s="12">
        <v>2.1396000000000002</v>
      </c>
      <c r="CQ60" s="12">
        <v>1248.1681000000001</v>
      </c>
      <c r="CR60" s="12">
        <v>17400.22609</v>
      </c>
      <c r="CS60" s="12">
        <v>2353.56979</v>
      </c>
      <c r="CT60" s="12">
        <v>13542.417949999999</v>
      </c>
      <c r="CU60" s="12">
        <v>107.66009</v>
      </c>
      <c r="CV60" s="12">
        <v>1123.2630200000001</v>
      </c>
      <c r="CW60" s="13">
        <v>4309136.14279</v>
      </c>
      <c r="CX60" s="13">
        <v>4309136.14279</v>
      </c>
    </row>
    <row r="61" spans="1:102">
      <c r="A61" s="7">
        <f t="shared" ca="1" si="3"/>
        <v>2024</v>
      </c>
      <c r="B61" s="7">
        <f t="shared" ca="1" si="2"/>
        <v>4</v>
      </c>
      <c r="C61" s="8">
        <v>45597</v>
      </c>
      <c r="D61" s="10">
        <v>12225.368119999999</v>
      </c>
      <c r="E61" s="10">
        <v>20492.768050000006</v>
      </c>
      <c r="F61" s="10">
        <v>7878.7665299999999</v>
      </c>
      <c r="G61" s="10">
        <v>3877.0441899999996</v>
      </c>
      <c r="H61" s="10">
        <v>3200.1059100000007</v>
      </c>
      <c r="I61" s="10">
        <v>174182.08826000002</v>
      </c>
      <c r="J61" s="10">
        <v>3292.0973599999993</v>
      </c>
      <c r="K61" s="10">
        <v>145042.86973000001</v>
      </c>
      <c r="L61" s="10">
        <v>325234.85845000035</v>
      </c>
      <c r="M61" s="10">
        <v>400.30703999999992</v>
      </c>
      <c r="N61" s="10">
        <v>6240.4210200000025</v>
      </c>
      <c r="O61" s="10">
        <v>3823.1051900000002</v>
      </c>
      <c r="P61" s="10">
        <v>764.84848000000022</v>
      </c>
      <c r="Q61" s="10">
        <v>39.913779999999996</v>
      </c>
      <c r="R61" s="10">
        <v>73630.559770000036</v>
      </c>
      <c r="S61" s="10">
        <v>2492.92517</v>
      </c>
      <c r="T61" s="10">
        <v>61962.815650000019</v>
      </c>
      <c r="U61" s="10">
        <v>22769.103939999986</v>
      </c>
      <c r="V61" s="10">
        <v>16755.992089999996</v>
      </c>
      <c r="W61" s="10">
        <v>16754.626569999993</v>
      </c>
      <c r="X61" s="10">
        <v>47447.982989999982</v>
      </c>
      <c r="Y61" s="10">
        <v>7212.0090800000016</v>
      </c>
      <c r="Z61" s="10">
        <v>7747.5704299999998</v>
      </c>
      <c r="AA61" s="10">
        <v>250.82072000000002</v>
      </c>
      <c r="AB61" s="10">
        <v>2693.3089799999989</v>
      </c>
      <c r="AC61" s="10">
        <v>11767.478309999999</v>
      </c>
      <c r="AD61" s="10">
        <v>1849219.818680001</v>
      </c>
      <c r="AE61" s="10">
        <v>12903.152829999992</v>
      </c>
      <c r="AF61" s="10">
        <v>15017.858740000003</v>
      </c>
      <c r="AG61" s="10">
        <v>31849.443240000008</v>
      </c>
      <c r="AH61" s="10">
        <v>2924.13366</v>
      </c>
      <c r="AI61" s="10">
        <v>13630.231360000003</v>
      </c>
      <c r="AJ61" s="10">
        <v>60613.440350000041</v>
      </c>
      <c r="AK61" s="10">
        <v>22192.062089999992</v>
      </c>
      <c r="AL61" s="10">
        <v>8297.032900000002</v>
      </c>
      <c r="AM61" s="10">
        <v>1.5012000000000001</v>
      </c>
      <c r="AN61" s="10">
        <v>2.6128400000000003</v>
      </c>
      <c r="AO61" s="10">
        <v>51376.646950000031</v>
      </c>
      <c r="AP61" s="10">
        <v>117688.52279999998</v>
      </c>
      <c r="AQ61" s="10">
        <v>10593.862319999997</v>
      </c>
      <c r="AR61" s="10">
        <v>2880.1148200000002</v>
      </c>
      <c r="AS61" s="10">
        <v>4260.8789300000017</v>
      </c>
      <c r="AT61" s="10">
        <v>381.09851999999995</v>
      </c>
      <c r="AU61" s="10">
        <v>2402.8367000000012</v>
      </c>
      <c r="AV61" s="10">
        <v>16.952510000000004</v>
      </c>
      <c r="AW61" s="10">
        <v>163.53554000000003</v>
      </c>
      <c r="AX61" s="10">
        <v>399.47005999999999</v>
      </c>
      <c r="AY61" s="10">
        <v>38601.100100000025</v>
      </c>
      <c r="AZ61" s="10">
        <v>3646.8408599999989</v>
      </c>
      <c r="BA61" s="10">
        <v>0</v>
      </c>
      <c r="BB61" s="10">
        <v>1.34205</v>
      </c>
      <c r="BC61" s="10">
        <v>899.15082000000029</v>
      </c>
      <c r="BD61" s="10">
        <v>23.61345</v>
      </c>
      <c r="BE61" s="10">
        <v>5125.8007099999995</v>
      </c>
      <c r="BF61" s="10">
        <v>1276.0368899999996</v>
      </c>
      <c r="BG61" s="10">
        <v>1303.7796899999998</v>
      </c>
      <c r="BH61" s="10">
        <v>342.5219699999999</v>
      </c>
      <c r="BI61" s="10">
        <v>846.85640999999998</v>
      </c>
      <c r="BJ61" s="10">
        <v>2063.0607999999993</v>
      </c>
      <c r="BK61" s="10">
        <v>5799.9530599999971</v>
      </c>
      <c r="BL61" s="10">
        <v>15554.788589999986</v>
      </c>
      <c r="BM61" s="10">
        <v>22151.313590000009</v>
      </c>
      <c r="BN61" s="10">
        <v>8013.5538399999987</v>
      </c>
      <c r="BO61" s="10">
        <v>4143.7136999999993</v>
      </c>
      <c r="BP61" s="10">
        <v>1714.4622300000003</v>
      </c>
      <c r="BQ61" s="10">
        <v>36.259420000000006</v>
      </c>
      <c r="BR61" s="10">
        <v>13.85826</v>
      </c>
      <c r="BS61" s="10">
        <v>5130.2682399999994</v>
      </c>
      <c r="BT61" s="10">
        <v>7990.1740500000005</v>
      </c>
      <c r="BU61" s="10">
        <v>13378.207159999996</v>
      </c>
      <c r="BV61" s="10">
        <v>421141.9340200001</v>
      </c>
      <c r="BW61" s="10">
        <v>41269.184749999971</v>
      </c>
      <c r="BX61" s="10">
        <v>22843.807659999991</v>
      </c>
      <c r="BY61" s="10">
        <v>35732.983390000001</v>
      </c>
      <c r="BZ61" s="10">
        <v>23.811420000000002</v>
      </c>
      <c r="CA61" s="10">
        <v>63543.821199999998</v>
      </c>
      <c r="CB61" s="10">
        <v>787.37922999999989</v>
      </c>
      <c r="CC61" s="10">
        <v>65.48057</v>
      </c>
      <c r="CD61" s="10">
        <v>54.075300000000006</v>
      </c>
      <c r="CE61" s="10">
        <v>219.18729000000002</v>
      </c>
      <c r="CF61" s="10">
        <v>6400.2591600000005</v>
      </c>
      <c r="CG61" s="10">
        <v>4556.8712799999985</v>
      </c>
      <c r="CH61" s="10">
        <v>39842.009589999921</v>
      </c>
      <c r="CI61" s="10">
        <v>88876.759160000031</v>
      </c>
      <c r="CJ61" s="10">
        <v>108.18660000000001</v>
      </c>
      <c r="CK61" s="10">
        <v>32366.394720000015</v>
      </c>
      <c r="CL61" s="10">
        <v>1868.2193500000001</v>
      </c>
      <c r="CM61" s="10">
        <v>2445.1528599999997</v>
      </c>
      <c r="CN61" s="10">
        <v>9232.8407299999981</v>
      </c>
      <c r="CO61" s="10">
        <v>508.14253000000002</v>
      </c>
      <c r="CP61" s="10">
        <v>16.154949999999999</v>
      </c>
      <c r="CQ61" s="10">
        <v>2.036</v>
      </c>
      <c r="CR61" s="10">
        <v>17280.430660000002</v>
      </c>
      <c r="CS61" s="10">
        <v>1591.5274499999996</v>
      </c>
      <c r="CT61" s="10">
        <v>11595.732459999994</v>
      </c>
      <c r="CU61" s="10">
        <v>68.895750000000007</v>
      </c>
      <c r="CV61" s="10">
        <v>606.78666999999996</v>
      </c>
      <c r="CW61" s="11">
        <v>4126099.6834900025</v>
      </c>
      <c r="CX61" s="11">
        <v>4126099.6834900025</v>
      </c>
    </row>
    <row r="62" spans="1:102">
      <c r="A62" s="7">
        <f t="shared" ca="1" si="3"/>
        <v>2024</v>
      </c>
      <c r="B62" s="7">
        <f t="shared" ca="1" si="2"/>
        <v>4</v>
      </c>
      <c r="C62" s="9">
        <v>45627</v>
      </c>
      <c r="D62" s="12">
        <v>27700.992979999999</v>
      </c>
      <c r="E62" s="12">
        <v>17622.980789999998</v>
      </c>
      <c r="F62" s="12">
        <v>7255.2776399999975</v>
      </c>
      <c r="G62" s="12">
        <v>5032.0755999999992</v>
      </c>
      <c r="H62" s="12">
        <v>5225.9356199999993</v>
      </c>
      <c r="I62" s="12">
        <v>203156.91096999982</v>
      </c>
      <c r="J62" s="12">
        <v>3531.0017699999994</v>
      </c>
      <c r="K62" s="12">
        <v>159694.2236</v>
      </c>
      <c r="L62" s="12">
        <v>462940.06249999977</v>
      </c>
      <c r="M62" s="12">
        <v>4665.4794800000018</v>
      </c>
      <c r="N62" s="12">
        <v>5818.3474800000031</v>
      </c>
      <c r="O62" s="12">
        <v>4913.3134400000017</v>
      </c>
      <c r="P62" s="12">
        <v>471.73669999999998</v>
      </c>
      <c r="Q62" s="12">
        <v>62.697989999999997</v>
      </c>
      <c r="R62" s="12">
        <v>74547.89791</v>
      </c>
      <c r="S62" s="12">
        <v>3237.0459899999996</v>
      </c>
      <c r="T62" s="12">
        <v>60231.854190000013</v>
      </c>
      <c r="U62" s="12">
        <v>25534.630969999995</v>
      </c>
      <c r="V62" s="12">
        <v>18453.877359999995</v>
      </c>
      <c r="W62" s="12">
        <v>16756.795040000001</v>
      </c>
      <c r="X62" s="12">
        <v>42684.939030000009</v>
      </c>
      <c r="Y62" s="12">
        <v>11917.727709999997</v>
      </c>
      <c r="Z62" s="12">
        <v>9978.6049400000011</v>
      </c>
      <c r="AA62" s="12">
        <v>748.96326999999997</v>
      </c>
      <c r="AB62" s="12">
        <v>2318.7257899999995</v>
      </c>
      <c r="AC62" s="12">
        <v>33436.158859999996</v>
      </c>
      <c r="AD62" s="12">
        <v>1857556.3868799994</v>
      </c>
      <c r="AE62" s="12">
        <v>14868.727869999993</v>
      </c>
      <c r="AF62" s="12">
        <v>17053.918030000001</v>
      </c>
      <c r="AG62" s="12">
        <v>42099.303510000034</v>
      </c>
      <c r="AH62" s="12">
        <v>5112.4386800000002</v>
      </c>
      <c r="AI62" s="12">
        <v>14561.809429999999</v>
      </c>
      <c r="AJ62" s="12">
        <v>65674.071029999948</v>
      </c>
      <c r="AK62" s="12">
        <v>25562.409399999993</v>
      </c>
      <c r="AL62" s="12">
        <v>6903.8811700000006</v>
      </c>
      <c r="AM62" s="12">
        <v>9.1374999999999993</v>
      </c>
      <c r="AN62" s="12">
        <v>51.50562</v>
      </c>
      <c r="AO62" s="12">
        <v>49595.136389999971</v>
      </c>
      <c r="AP62" s="12">
        <v>141123.46172999972</v>
      </c>
      <c r="AQ62" s="12">
        <v>12393.729070000003</v>
      </c>
      <c r="AR62" s="12">
        <v>2707.090369999999</v>
      </c>
      <c r="AS62" s="12">
        <v>4444.2661500000004</v>
      </c>
      <c r="AT62" s="12">
        <v>482.23593</v>
      </c>
      <c r="AU62" s="12">
        <v>3209.4401900000003</v>
      </c>
      <c r="AV62" s="12">
        <v>0.93103999999999998</v>
      </c>
      <c r="AW62" s="12">
        <v>56.654639999999993</v>
      </c>
      <c r="AX62" s="12">
        <v>158.38082</v>
      </c>
      <c r="AY62" s="12">
        <v>31696.396839999976</v>
      </c>
      <c r="AZ62" s="12">
        <v>7159.6977700000007</v>
      </c>
      <c r="BA62" s="12">
        <v>0</v>
      </c>
      <c r="BB62" s="12">
        <v>0.20426</v>
      </c>
      <c r="BC62" s="12">
        <v>1069.1872200000007</v>
      </c>
      <c r="BD62" s="12">
        <v>68.178730000000016</v>
      </c>
      <c r="BE62" s="12">
        <v>4912.7367299999978</v>
      </c>
      <c r="BF62" s="12">
        <v>1059.0354600000005</v>
      </c>
      <c r="BG62" s="12">
        <v>1282.9665</v>
      </c>
      <c r="BH62" s="12">
        <v>314.23104000000001</v>
      </c>
      <c r="BI62" s="12">
        <v>715.4919900000001</v>
      </c>
      <c r="BJ62" s="12">
        <v>2054.2647299999999</v>
      </c>
      <c r="BK62" s="12">
        <v>5272.9148599999971</v>
      </c>
      <c r="BL62" s="12">
        <v>18094.986550000005</v>
      </c>
      <c r="BM62" s="12">
        <v>21439.281400000025</v>
      </c>
      <c r="BN62" s="12">
        <v>9608.6183899999942</v>
      </c>
      <c r="BO62" s="12">
        <v>4023.4347199999993</v>
      </c>
      <c r="BP62" s="12">
        <v>2234.6529800000008</v>
      </c>
      <c r="BQ62" s="12">
        <v>32.169420000000002</v>
      </c>
      <c r="BR62" s="12">
        <v>3.91669</v>
      </c>
      <c r="BS62" s="12">
        <v>4575.5247899999995</v>
      </c>
      <c r="BT62" s="12">
        <v>9727.6323699999994</v>
      </c>
      <c r="BU62" s="12">
        <v>13533.578620000009</v>
      </c>
      <c r="BV62" s="12">
        <v>398510.23309000005</v>
      </c>
      <c r="BW62" s="12">
        <v>64660.96007000003</v>
      </c>
      <c r="BX62" s="12">
        <v>29481.115709999973</v>
      </c>
      <c r="BY62" s="12">
        <v>37108.796200000004</v>
      </c>
      <c r="BZ62" s="12">
        <v>10.14086</v>
      </c>
      <c r="CA62" s="12">
        <v>69618.810179999913</v>
      </c>
      <c r="CB62" s="12">
        <v>1249.9661100000001</v>
      </c>
      <c r="CC62" s="12">
        <v>13.37326</v>
      </c>
      <c r="CD62" s="12">
        <v>0</v>
      </c>
      <c r="CE62" s="12">
        <v>116.89592</v>
      </c>
      <c r="CF62" s="12">
        <v>6946.4399599999979</v>
      </c>
      <c r="CG62" s="12">
        <v>3767.8114799999994</v>
      </c>
      <c r="CH62" s="12">
        <v>68182.243459999983</v>
      </c>
      <c r="CI62" s="12">
        <v>93107.178799999921</v>
      </c>
      <c r="CJ62" s="12">
        <v>170.81111999999999</v>
      </c>
      <c r="CK62" s="12">
        <v>49150.650899999986</v>
      </c>
      <c r="CL62" s="12">
        <v>2792.3838100000003</v>
      </c>
      <c r="CM62" s="12">
        <v>3953.1669999999999</v>
      </c>
      <c r="CN62" s="12">
        <v>10151.86428999999</v>
      </c>
      <c r="CO62" s="12">
        <v>1068.8735999999999</v>
      </c>
      <c r="CP62" s="12">
        <v>26.581679999999999</v>
      </c>
      <c r="CQ62" s="12">
        <v>78.911799999999999</v>
      </c>
      <c r="CR62" s="12">
        <v>14588.488090000017</v>
      </c>
      <c r="CS62" s="12">
        <v>1134.6067000000003</v>
      </c>
      <c r="CT62" s="12">
        <v>13382.566719999999</v>
      </c>
      <c r="CU62" s="12">
        <v>124.621</v>
      </c>
      <c r="CV62" s="12">
        <v>668.58118999999999</v>
      </c>
      <c r="CW62" s="13">
        <v>4480508.348129997</v>
      </c>
      <c r="CX62" s="13">
        <v>4480508.348129997</v>
      </c>
    </row>
    <row r="63" spans="1:102">
      <c r="A63" s="7">
        <f t="shared" ca="1" si="3"/>
        <v>2025</v>
      </c>
      <c r="B63" s="7">
        <f t="shared" ca="1" si="2"/>
        <v>1</v>
      </c>
      <c r="C63" s="8">
        <v>45658</v>
      </c>
      <c r="D63" s="10">
        <v>31982.796480000001</v>
      </c>
      <c r="E63" s="10">
        <v>19411.131970000002</v>
      </c>
      <c r="F63" s="10">
        <v>7200.2609899999979</v>
      </c>
      <c r="G63" s="10">
        <v>4545.7216800000006</v>
      </c>
      <c r="H63" s="10">
        <v>3100.4694000000004</v>
      </c>
      <c r="I63" s="10">
        <v>192730.53167000008</v>
      </c>
      <c r="J63" s="10">
        <v>3290.2557599999991</v>
      </c>
      <c r="K63" s="10">
        <v>146117.02693000028</v>
      </c>
      <c r="L63" s="10">
        <v>474078.64474999992</v>
      </c>
      <c r="M63" s="10">
        <v>778.55499999999984</v>
      </c>
      <c r="N63" s="10">
        <v>5111.99352</v>
      </c>
      <c r="O63" s="10">
        <v>4747.0854099999988</v>
      </c>
      <c r="P63" s="10">
        <v>314.86763000000002</v>
      </c>
      <c r="Q63" s="10">
        <v>98.535479999999993</v>
      </c>
      <c r="R63" s="10">
        <v>67504.301390000008</v>
      </c>
      <c r="S63" s="10">
        <v>3657.8184300000003</v>
      </c>
      <c r="T63" s="10">
        <v>64528.096020000005</v>
      </c>
      <c r="U63" s="10">
        <v>29046.637810000007</v>
      </c>
      <c r="V63" s="10">
        <v>14626.925579999994</v>
      </c>
      <c r="W63" s="10">
        <v>14377.920480000008</v>
      </c>
      <c r="X63" s="10">
        <v>39668.942639999965</v>
      </c>
      <c r="Y63" s="10">
        <v>6045.9202300000006</v>
      </c>
      <c r="Z63" s="10">
        <v>6148.1419000000014</v>
      </c>
      <c r="AA63" s="10">
        <v>547.27796000000001</v>
      </c>
      <c r="AB63" s="10">
        <v>1970.7245000000005</v>
      </c>
      <c r="AC63" s="10">
        <v>26948.502309999996</v>
      </c>
      <c r="AD63" s="10">
        <v>1479980.4739800005</v>
      </c>
      <c r="AE63" s="10">
        <v>11031.962040000002</v>
      </c>
      <c r="AF63" s="10">
        <v>15259.128109999992</v>
      </c>
      <c r="AG63" s="10">
        <v>21067.482210000009</v>
      </c>
      <c r="AH63" s="10">
        <v>3503.6188199999992</v>
      </c>
      <c r="AI63" s="10">
        <v>10047.589619999999</v>
      </c>
      <c r="AJ63" s="10">
        <v>56686.867949999942</v>
      </c>
      <c r="AK63" s="10">
        <v>15893.363020000004</v>
      </c>
      <c r="AL63" s="10">
        <v>4854.6456999999982</v>
      </c>
      <c r="AM63" s="10">
        <v>2.8798000000000004</v>
      </c>
      <c r="AN63" s="10">
        <v>19.712389999999999</v>
      </c>
      <c r="AO63" s="10">
        <v>45806.665870000012</v>
      </c>
      <c r="AP63" s="10">
        <v>133508.12163999971</v>
      </c>
      <c r="AQ63" s="10">
        <v>4801.0190900000025</v>
      </c>
      <c r="AR63" s="10">
        <v>2736.7194800000002</v>
      </c>
      <c r="AS63" s="10">
        <v>3533.6706200000003</v>
      </c>
      <c r="AT63" s="10">
        <v>439.56612000000001</v>
      </c>
      <c r="AU63" s="10">
        <v>3445.2005100000006</v>
      </c>
      <c r="AV63" s="10">
        <v>17.9877</v>
      </c>
      <c r="AW63" s="10">
        <v>126.71375999999998</v>
      </c>
      <c r="AX63" s="10">
        <v>179.67892000000001</v>
      </c>
      <c r="AY63" s="10">
        <v>27991.91686999999</v>
      </c>
      <c r="AZ63" s="10">
        <v>4254.4755699999978</v>
      </c>
      <c r="BA63" s="10">
        <v>0</v>
      </c>
      <c r="BB63" s="10">
        <v>0.78073999999999999</v>
      </c>
      <c r="BC63" s="10">
        <v>1085.7661300000002</v>
      </c>
      <c r="BD63" s="10">
        <v>19.898989999999998</v>
      </c>
      <c r="BE63" s="10">
        <v>2845.3095299999968</v>
      </c>
      <c r="BF63" s="10">
        <v>1219.7290300000002</v>
      </c>
      <c r="BG63" s="10">
        <v>719.6439899999998</v>
      </c>
      <c r="BH63" s="10">
        <v>6.5275600000000003</v>
      </c>
      <c r="BI63" s="10">
        <v>523.93710999999996</v>
      </c>
      <c r="BJ63" s="10">
        <v>1978.6127500000002</v>
      </c>
      <c r="BK63" s="10">
        <v>3690.7693600000025</v>
      </c>
      <c r="BL63" s="10">
        <v>11777.288460000011</v>
      </c>
      <c r="BM63" s="10">
        <v>12814.87646000001</v>
      </c>
      <c r="BN63" s="10">
        <v>10122.382000000005</v>
      </c>
      <c r="BO63" s="10">
        <v>2573.0536299999994</v>
      </c>
      <c r="BP63" s="10">
        <v>1540.5636600000005</v>
      </c>
      <c r="BQ63" s="10">
        <v>269.21254999999996</v>
      </c>
      <c r="BR63" s="10">
        <v>6.3881199999999998</v>
      </c>
      <c r="BS63" s="10">
        <v>5038.6277700000046</v>
      </c>
      <c r="BT63" s="10">
        <v>6469.9746799999975</v>
      </c>
      <c r="BU63" s="10">
        <v>10533.140590000001</v>
      </c>
      <c r="BV63" s="10">
        <v>341543.54308999999</v>
      </c>
      <c r="BW63" s="10">
        <v>43272.399429999998</v>
      </c>
      <c r="BX63" s="10">
        <v>19015.668810000006</v>
      </c>
      <c r="BY63" s="10">
        <v>36078.93051999998</v>
      </c>
      <c r="BZ63" s="10">
        <v>2.62921</v>
      </c>
      <c r="CA63" s="10">
        <v>71788.155719999952</v>
      </c>
      <c r="CB63" s="10">
        <v>949.77726999999993</v>
      </c>
      <c r="CC63" s="10">
        <v>63.482539999999993</v>
      </c>
      <c r="CD63" s="10">
        <v>54.18</v>
      </c>
      <c r="CE63" s="10">
        <v>91.242320000000007</v>
      </c>
      <c r="CF63" s="10">
        <v>3603.9748599999989</v>
      </c>
      <c r="CG63" s="10">
        <v>3864.7801000000009</v>
      </c>
      <c r="CH63" s="10">
        <v>48976.30917000003</v>
      </c>
      <c r="CI63" s="10">
        <v>77682.635120000035</v>
      </c>
      <c r="CJ63" s="10">
        <v>12.738</v>
      </c>
      <c r="CK63" s="10">
        <v>10342.949970000003</v>
      </c>
      <c r="CL63" s="10">
        <v>1457.74458</v>
      </c>
      <c r="CM63" s="10">
        <v>189.24205000000001</v>
      </c>
      <c r="CN63" s="10">
        <v>6760.2784199999987</v>
      </c>
      <c r="CO63" s="10">
        <v>939.17673000000002</v>
      </c>
      <c r="CP63" s="10">
        <v>9.9550300000000007</v>
      </c>
      <c r="CQ63" s="10">
        <v>0</v>
      </c>
      <c r="CR63" s="10">
        <v>10795.689470000014</v>
      </c>
      <c r="CS63" s="10">
        <v>1493.7902000000004</v>
      </c>
      <c r="CT63" s="10">
        <v>9534.8539700000019</v>
      </c>
      <c r="CU63" s="10">
        <v>347.65611999999999</v>
      </c>
      <c r="CV63" s="10">
        <v>844.54283000000009</v>
      </c>
      <c r="CW63" s="11">
        <v>3776721.3543500011</v>
      </c>
      <c r="CX63" s="11">
        <v>3776721.3543500011</v>
      </c>
    </row>
    <row r="64" spans="1:102">
      <c r="A64" s="7">
        <v>2025</v>
      </c>
      <c r="B64">
        <v>1</v>
      </c>
      <c r="C64" s="9">
        <v>45689</v>
      </c>
      <c r="D64" s="12">
        <v>15013.328700000002</v>
      </c>
      <c r="E64" s="12">
        <v>21311.935820000002</v>
      </c>
      <c r="F64" s="12">
        <v>9735.2746400000015</v>
      </c>
      <c r="G64" s="12">
        <v>6927.52142</v>
      </c>
      <c r="H64" s="12">
        <v>3090.5133899999996</v>
      </c>
      <c r="I64" s="12">
        <v>235417.28650000005</v>
      </c>
      <c r="J64" s="12">
        <v>2810.5944600000007</v>
      </c>
      <c r="K64" s="12">
        <v>134227.55944999983</v>
      </c>
      <c r="L64" s="12">
        <v>434404.71146999957</v>
      </c>
      <c r="M64" s="12">
        <v>572.84199000000012</v>
      </c>
      <c r="N64" s="12">
        <v>6363.4013299999979</v>
      </c>
      <c r="O64" s="12">
        <v>4626.4721299999983</v>
      </c>
      <c r="P64" s="12">
        <v>111.08353000000001</v>
      </c>
      <c r="Q64" s="12">
        <v>143.96509</v>
      </c>
      <c r="R64" s="12">
        <v>72854.11496000005</v>
      </c>
      <c r="S64" s="12">
        <v>2415.9666099999999</v>
      </c>
      <c r="T64" s="12">
        <v>54910.002869999982</v>
      </c>
      <c r="U64" s="12">
        <v>36199.783019999995</v>
      </c>
      <c r="V64" s="12">
        <v>16970.872259999996</v>
      </c>
      <c r="W64" s="12">
        <v>15827.903639999995</v>
      </c>
      <c r="X64" s="12">
        <v>48209.506230000021</v>
      </c>
      <c r="Y64" s="12">
        <v>6609.7070900000008</v>
      </c>
      <c r="Z64" s="12">
        <v>8662.4950499999977</v>
      </c>
      <c r="AA64" s="12">
        <v>754.90566000000001</v>
      </c>
      <c r="AB64" s="12">
        <v>2808.8917600000009</v>
      </c>
      <c r="AC64" s="12">
        <v>69123.902029999997</v>
      </c>
      <c r="AD64" s="12">
        <v>1374729.1913999997</v>
      </c>
      <c r="AE64" s="12">
        <v>15411.303680000001</v>
      </c>
      <c r="AF64" s="12">
        <v>17438.787299999989</v>
      </c>
      <c r="AG64" s="12">
        <v>33055.57058</v>
      </c>
      <c r="AH64" s="12">
        <v>7512.48333</v>
      </c>
      <c r="AI64" s="12">
        <v>11771.850239999996</v>
      </c>
      <c r="AJ64" s="12">
        <v>61732.357910000013</v>
      </c>
      <c r="AK64" s="12">
        <v>26821.537510000006</v>
      </c>
      <c r="AL64" s="12">
        <v>5758.3663499999984</v>
      </c>
      <c r="AM64" s="12">
        <v>0.53600000000000003</v>
      </c>
      <c r="AN64" s="12">
        <v>5.3790100000000001</v>
      </c>
      <c r="AO64" s="12">
        <v>32930.450700000009</v>
      </c>
      <c r="AP64" s="12">
        <v>130711.23000999993</v>
      </c>
      <c r="AQ64" s="12">
        <v>6769.312350000002</v>
      </c>
      <c r="AR64" s="12">
        <v>2974.2061899999999</v>
      </c>
      <c r="AS64" s="12">
        <v>4442.9044199999998</v>
      </c>
      <c r="AT64" s="12">
        <v>406.68134999999995</v>
      </c>
      <c r="AU64" s="12">
        <v>4139.7539200000001</v>
      </c>
      <c r="AV64" s="12">
        <v>54.564599999999999</v>
      </c>
      <c r="AW64" s="12">
        <v>77.91109999999999</v>
      </c>
      <c r="AX64" s="12">
        <v>566.46494999999993</v>
      </c>
      <c r="AY64" s="12">
        <v>38193.776240000014</v>
      </c>
      <c r="AZ64" s="12">
        <v>3861.918279999999</v>
      </c>
      <c r="BA64" s="12">
        <v>0</v>
      </c>
      <c r="BB64" s="12">
        <v>1.11446</v>
      </c>
      <c r="BC64" s="12">
        <v>2228.2214400000007</v>
      </c>
      <c r="BD64" s="12">
        <v>52.443649999999998</v>
      </c>
      <c r="BE64" s="12">
        <v>5119.6753799999988</v>
      </c>
      <c r="BF64" s="12">
        <v>1872.0204500000011</v>
      </c>
      <c r="BG64" s="12">
        <v>1142.1425800000002</v>
      </c>
      <c r="BH64" s="12">
        <v>268.05552999999998</v>
      </c>
      <c r="BI64" s="12">
        <v>660.56293000000016</v>
      </c>
      <c r="BJ64" s="12">
        <v>2560.5926000000004</v>
      </c>
      <c r="BK64" s="12">
        <v>4421.4974200000015</v>
      </c>
      <c r="BL64" s="12">
        <v>18235.239440000016</v>
      </c>
      <c r="BM64" s="12">
        <v>17058.990929999985</v>
      </c>
      <c r="BN64" s="12">
        <v>8785.1259299999983</v>
      </c>
      <c r="BO64" s="12">
        <v>2887.2420899999993</v>
      </c>
      <c r="BP64" s="12">
        <v>1514.8233699999996</v>
      </c>
      <c r="BQ64" s="12">
        <v>8.2378700000000009</v>
      </c>
      <c r="BR64" s="12">
        <v>12.561389999999999</v>
      </c>
      <c r="BS64" s="12">
        <v>5664.4647700000014</v>
      </c>
      <c r="BT64" s="12">
        <v>8104.3999999999969</v>
      </c>
      <c r="BU64" s="12">
        <v>11874.867669999994</v>
      </c>
      <c r="BV64" s="12">
        <v>343151.69792999997</v>
      </c>
      <c r="BW64" s="12">
        <v>39281.965950000013</v>
      </c>
      <c r="BX64" s="12">
        <v>16908.022089999995</v>
      </c>
      <c r="BY64" s="12">
        <v>34132.883320000015</v>
      </c>
      <c r="BZ64" s="12">
        <v>1.77519</v>
      </c>
      <c r="CA64" s="12">
        <v>57171.51902</v>
      </c>
      <c r="CB64" s="12">
        <v>2350.4101499999997</v>
      </c>
      <c r="CC64" s="12">
        <v>31.363379999999996</v>
      </c>
      <c r="CD64" s="12">
        <v>390.35545999999999</v>
      </c>
      <c r="CE64" s="12">
        <v>215.00224</v>
      </c>
      <c r="CF64" s="12">
        <v>4782.5158600000013</v>
      </c>
      <c r="CG64" s="12">
        <v>3239.7654500000008</v>
      </c>
      <c r="CH64" s="12">
        <v>50635.933110000064</v>
      </c>
      <c r="CI64" s="12">
        <v>73278.137120000014</v>
      </c>
      <c r="CJ64" s="12">
        <v>29.821960000000001</v>
      </c>
      <c r="CK64" s="12">
        <v>30327.122670000012</v>
      </c>
      <c r="CL64" s="12">
        <v>7440.0708500000001</v>
      </c>
      <c r="CM64" s="12">
        <v>596.08199999999999</v>
      </c>
      <c r="CN64" s="12">
        <v>8469.7179700000052</v>
      </c>
      <c r="CO64" s="12">
        <v>257.72408000000001</v>
      </c>
      <c r="CP64" s="12">
        <v>3.5429299999999997</v>
      </c>
      <c r="CQ64" s="12">
        <v>23.302499999999998</v>
      </c>
      <c r="CR64" s="12">
        <v>12365.830370000009</v>
      </c>
      <c r="CS64" s="12">
        <v>983.30264000000011</v>
      </c>
      <c r="CT64" s="12">
        <v>11541.702080000006</v>
      </c>
      <c r="CU64" s="12">
        <v>77.601910000000004</v>
      </c>
      <c r="CV64" s="12">
        <v>644.41329999999994</v>
      </c>
      <c r="CW64" s="13">
        <v>3780274.9399499986</v>
      </c>
      <c r="CX64" s="13">
        <v>3780274.9399499986</v>
      </c>
    </row>
    <row r="65" spans="1:102">
      <c r="A65" s="7">
        <v>2025</v>
      </c>
      <c r="B65">
        <v>1</v>
      </c>
      <c r="C65" s="8">
        <v>45717</v>
      </c>
      <c r="D65" s="10">
        <v>23704.60745</v>
      </c>
      <c r="E65" s="10">
        <v>16952.664260000001</v>
      </c>
      <c r="F65" s="10">
        <v>9725.9309700000013</v>
      </c>
      <c r="G65" s="10">
        <v>5674.9634800000003</v>
      </c>
      <c r="H65" s="10">
        <v>3206.4197399999994</v>
      </c>
      <c r="I65" s="10">
        <v>276007.18870000006</v>
      </c>
      <c r="J65" s="10">
        <v>4560.9028299999991</v>
      </c>
      <c r="K65" s="10">
        <v>157081.40016000025</v>
      </c>
      <c r="L65" s="10">
        <v>550164.39900999947</v>
      </c>
      <c r="M65" s="10">
        <v>647.88191000000006</v>
      </c>
      <c r="N65" s="10">
        <v>6499.0355599999975</v>
      </c>
      <c r="O65" s="10">
        <v>5165.5369799999999</v>
      </c>
      <c r="P65" s="10">
        <v>209.47439000000006</v>
      </c>
      <c r="Q65" s="10">
        <v>240.13592</v>
      </c>
      <c r="R65" s="10">
        <v>108199.52319000001</v>
      </c>
      <c r="S65" s="10">
        <v>2766.0297500000001</v>
      </c>
      <c r="T65" s="10">
        <v>61683.926350000023</v>
      </c>
      <c r="U65" s="10">
        <v>52486.907360000019</v>
      </c>
      <c r="V65" s="10">
        <v>19469.219119999994</v>
      </c>
      <c r="W65" s="10">
        <v>17440.752649999995</v>
      </c>
      <c r="X65" s="10">
        <v>50910.140350000023</v>
      </c>
      <c r="Y65" s="10">
        <v>8197.9778599999991</v>
      </c>
      <c r="Z65" s="10">
        <v>8760.0537800000002</v>
      </c>
      <c r="AA65" s="10">
        <v>391.81069000000002</v>
      </c>
      <c r="AB65" s="10">
        <v>2604.5817799999995</v>
      </c>
      <c r="AC65" s="10">
        <v>9915.5364400000017</v>
      </c>
      <c r="AD65" s="10">
        <v>1704501.4757599994</v>
      </c>
      <c r="AE65" s="10">
        <v>12668.170179999994</v>
      </c>
      <c r="AF65" s="10">
        <v>16045.111640000003</v>
      </c>
      <c r="AG65" s="10">
        <v>36584.563829999999</v>
      </c>
      <c r="AH65" s="10">
        <v>5278.2754300000006</v>
      </c>
      <c r="AI65" s="10">
        <v>16227.972410000002</v>
      </c>
      <c r="AJ65" s="10">
        <v>61366.458279999955</v>
      </c>
      <c r="AK65" s="10">
        <v>25210.165420000001</v>
      </c>
      <c r="AL65" s="10">
        <v>5703.2796100000014</v>
      </c>
      <c r="AM65" s="10">
        <v>0</v>
      </c>
      <c r="AN65" s="10">
        <v>61.419260000000008</v>
      </c>
      <c r="AO65" s="10">
        <v>46135.236449999989</v>
      </c>
      <c r="AP65" s="10">
        <v>157003.46963999988</v>
      </c>
      <c r="AQ65" s="10">
        <v>7351.8305599999994</v>
      </c>
      <c r="AR65" s="10">
        <v>3021.8385699999999</v>
      </c>
      <c r="AS65" s="10">
        <v>3838.1806000000001</v>
      </c>
      <c r="AT65" s="10">
        <v>513.35262999999998</v>
      </c>
      <c r="AU65" s="10">
        <v>3814.4763099999996</v>
      </c>
      <c r="AV65" s="10">
        <v>9.8746799999999979</v>
      </c>
      <c r="AW65" s="10">
        <v>187.47872000000007</v>
      </c>
      <c r="AX65" s="10">
        <v>92.974440000000001</v>
      </c>
      <c r="AY65" s="10">
        <v>42706.25654999994</v>
      </c>
      <c r="AZ65" s="10">
        <v>4053.22289</v>
      </c>
      <c r="BA65" s="10">
        <v>1.7731400000000002</v>
      </c>
      <c r="BB65" s="10">
        <v>0</v>
      </c>
      <c r="BC65" s="10">
        <v>1092.6471700000002</v>
      </c>
      <c r="BD65" s="10">
        <v>83.230369999999994</v>
      </c>
      <c r="BE65" s="10">
        <v>4666.0436499999978</v>
      </c>
      <c r="BF65" s="10">
        <v>1263.3582699999999</v>
      </c>
      <c r="BG65" s="10">
        <v>1088.8341300000002</v>
      </c>
      <c r="BH65" s="10">
        <v>242.52832000000001</v>
      </c>
      <c r="BI65" s="10">
        <v>1093.2340500000003</v>
      </c>
      <c r="BJ65" s="10">
        <v>2340.3130999999998</v>
      </c>
      <c r="BK65" s="10">
        <v>5637.7244200000014</v>
      </c>
      <c r="BL65" s="10">
        <v>16079.156510000015</v>
      </c>
      <c r="BM65" s="10">
        <v>19767.354639999954</v>
      </c>
      <c r="BN65" s="10">
        <v>8067.234620000002</v>
      </c>
      <c r="BO65" s="10">
        <v>3264.3650100000009</v>
      </c>
      <c r="BP65" s="10">
        <v>2008.90482</v>
      </c>
      <c r="BQ65" s="10">
        <v>3.6957199999999997</v>
      </c>
      <c r="BR65" s="10">
        <v>3.7679499999999999</v>
      </c>
      <c r="BS65" s="10">
        <v>6064.0462799999987</v>
      </c>
      <c r="BT65" s="10">
        <v>9905.6159800000005</v>
      </c>
      <c r="BU65" s="10">
        <v>10570.407609999998</v>
      </c>
      <c r="BV65" s="10">
        <v>359021.70618000015</v>
      </c>
      <c r="BW65" s="10">
        <v>51139.870090000026</v>
      </c>
      <c r="BX65" s="10">
        <v>20095.742010000016</v>
      </c>
      <c r="BY65" s="10">
        <v>34815.66173</v>
      </c>
      <c r="BZ65" s="10">
        <v>3.57985</v>
      </c>
      <c r="CA65" s="10">
        <v>66188.803429999985</v>
      </c>
      <c r="CB65" s="10">
        <v>617.80994999999996</v>
      </c>
      <c r="CC65" s="10">
        <v>110.85732999999999</v>
      </c>
      <c r="CD65" s="10">
        <v>216.6</v>
      </c>
      <c r="CE65" s="10">
        <v>17.37886</v>
      </c>
      <c r="CF65" s="10">
        <v>5912.4133300000021</v>
      </c>
      <c r="CG65" s="10">
        <v>3970.6142800000007</v>
      </c>
      <c r="CH65" s="10">
        <v>46143.968850000005</v>
      </c>
      <c r="CI65" s="10">
        <v>93246.621329999922</v>
      </c>
      <c r="CJ65" s="10">
        <v>390.34166000000005</v>
      </c>
      <c r="CK65" s="10">
        <v>28523.915109999976</v>
      </c>
      <c r="CL65" s="10">
        <v>305.04288999999994</v>
      </c>
      <c r="CM65" s="10">
        <v>3345.9837299999999</v>
      </c>
      <c r="CN65" s="10">
        <v>7888.9075400000029</v>
      </c>
      <c r="CO65" s="10">
        <v>769.18694000000005</v>
      </c>
      <c r="CP65" s="10">
        <v>3.60141</v>
      </c>
      <c r="CQ65" s="10">
        <v>0</v>
      </c>
      <c r="CR65" s="10">
        <v>11810.671990000004</v>
      </c>
      <c r="CS65" s="10">
        <v>1022.3131900000001</v>
      </c>
      <c r="CT65" s="10">
        <v>13443.932789999997</v>
      </c>
      <c r="CU65" s="10">
        <v>75.032780000000002</v>
      </c>
      <c r="CV65" s="10">
        <v>454.63607999999999</v>
      </c>
      <c r="CW65" s="11">
        <v>4397821.5136299981</v>
      </c>
      <c r="CX65" s="11">
        <v>4397821.5136299981</v>
      </c>
    </row>
    <row r="66" spans="1:102">
      <c r="A66" s="7">
        <v>2025</v>
      </c>
      <c r="B66">
        <v>2</v>
      </c>
      <c r="C66" s="9">
        <v>45748</v>
      </c>
      <c r="D66" s="12">
        <v>30727.494569999999</v>
      </c>
      <c r="E66" s="12">
        <v>10377.829770000002</v>
      </c>
      <c r="F66" s="12">
        <v>14917.814679999999</v>
      </c>
      <c r="G66" s="12">
        <v>5493.5039000000015</v>
      </c>
      <c r="H66" s="12">
        <v>4503.9851799999997</v>
      </c>
      <c r="I66" s="12">
        <v>198997.00408999971</v>
      </c>
      <c r="J66" s="12">
        <v>3066.7854200000011</v>
      </c>
      <c r="K66" s="12">
        <v>247102.37049000009</v>
      </c>
      <c r="L66" s="12">
        <v>483948.24529999983</v>
      </c>
      <c r="M66" s="12">
        <v>1616.7976500000002</v>
      </c>
      <c r="N66" s="12">
        <v>5983.644479999999</v>
      </c>
      <c r="O66" s="12">
        <v>4689.6455399999986</v>
      </c>
      <c r="P66" s="12">
        <v>241.47751</v>
      </c>
      <c r="Q66" s="12">
        <v>202.35979999999998</v>
      </c>
      <c r="R66" s="12">
        <v>166517.56121999997</v>
      </c>
      <c r="S66" s="12">
        <v>721.73557000000005</v>
      </c>
      <c r="T66" s="12">
        <v>69020.320049999951</v>
      </c>
      <c r="U66" s="12">
        <v>44350.92159000002</v>
      </c>
      <c r="V66" s="12">
        <v>16315.257790000007</v>
      </c>
      <c r="W66" s="12">
        <v>17859.940310000009</v>
      </c>
      <c r="X66" s="12">
        <v>46649.104450000013</v>
      </c>
      <c r="Y66" s="12">
        <v>9099.5621499999979</v>
      </c>
      <c r="Z66" s="12">
        <v>9659.1662699999979</v>
      </c>
      <c r="AA66" s="12">
        <v>1220.49829</v>
      </c>
      <c r="AB66" s="12">
        <v>2975.6522699999996</v>
      </c>
      <c r="AC66" s="12">
        <v>39737.957130000003</v>
      </c>
      <c r="AD66" s="12">
        <v>1344704.124079999</v>
      </c>
      <c r="AE66" s="12">
        <v>17795.160269999997</v>
      </c>
      <c r="AF66" s="12">
        <v>14313.085110000002</v>
      </c>
      <c r="AG66" s="12">
        <v>31873.273519999988</v>
      </c>
      <c r="AH66" s="12">
        <v>10662.97552</v>
      </c>
      <c r="AI66" s="12">
        <v>13440.263400000005</v>
      </c>
      <c r="AJ66" s="12">
        <v>70147.742179999972</v>
      </c>
      <c r="AK66" s="12">
        <v>23595.084330000005</v>
      </c>
      <c r="AL66" s="12">
        <v>5918.3750600000021</v>
      </c>
      <c r="AM66" s="12">
        <v>331.5</v>
      </c>
      <c r="AN66" s="12">
        <v>19.814460000000004</v>
      </c>
      <c r="AO66" s="12">
        <v>46966.03029000001</v>
      </c>
      <c r="AP66" s="12">
        <v>146621.59441000019</v>
      </c>
      <c r="AQ66" s="12">
        <v>6065.293359999996</v>
      </c>
      <c r="AR66" s="12">
        <v>4391.2827100000013</v>
      </c>
      <c r="AS66" s="12">
        <v>4704.2563299999993</v>
      </c>
      <c r="AT66" s="12">
        <v>534.18323999999996</v>
      </c>
      <c r="AU66" s="12">
        <v>5052.3640099999984</v>
      </c>
      <c r="AV66" s="12">
        <v>27.566879999999998</v>
      </c>
      <c r="AW66" s="12">
        <v>89.779359999999997</v>
      </c>
      <c r="AX66" s="12">
        <v>618.35685000000001</v>
      </c>
      <c r="AY66" s="12">
        <v>36700.166840000005</v>
      </c>
      <c r="AZ66" s="12">
        <v>5000.7587500000009</v>
      </c>
      <c r="BA66" s="12">
        <v>10.707870000000002</v>
      </c>
      <c r="BB66" s="12">
        <v>3.0031599999999998</v>
      </c>
      <c r="BC66" s="12">
        <v>996.28977000000009</v>
      </c>
      <c r="BD66" s="12">
        <v>35.568160000000006</v>
      </c>
      <c r="BE66" s="12">
        <v>5640.272490000003</v>
      </c>
      <c r="BF66" s="12">
        <v>643.9969199999997</v>
      </c>
      <c r="BG66" s="12">
        <v>1211.7062100000001</v>
      </c>
      <c r="BH66" s="12">
        <v>87.824980000000011</v>
      </c>
      <c r="BI66" s="12">
        <v>771.78129000000013</v>
      </c>
      <c r="BJ66" s="12">
        <v>2833.6412700000001</v>
      </c>
      <c r="BK66" s="12">
        <v>4987.8026900000004</v>
      </c>
      <c r="BL66" s="12">
        <v>18442.603210000016</v>
      </c>
      <c r="BM66" s="12">
        <v>17823.769099999994</v>
      </c>
      <c r="BN66" s="12">
        <v>6461.210970000001</v>
      </c>
      <c r="BO66" s="12">
        <v>3082.0419599999987</v>
      </c>
      <c r="BP66" s="12">
        <v>1920.1431900000005</v>
      </c>
      <c r="BQ66" s="12">
        <v>14.307249999999998</v>
      </c>
      <c r="BR66" s="12">
        <v>41.578890000000001</v>
      </c>
      <c r="BS66" s="12">
        <v>5679.7579499999983</v>
      </c>
      <c r="BT66" s="12">
        <v>10049.297059999999</v>
      </c>
      <c r="BU66" s="12">
        <v>11865.998820000004</v>
      </c>
      <c r="BV66" s="12">
        <v>367847.66971999977</v>
      </c>
      <c r="BW66" s="12">
        <v>50800.295930000029</v>
      </c>
      <c r="BX66" s="12">
        <v>23889.316870000013</v>
      </c>
      <c r="BY66" s="12">
        <v>25444.736879999993</v>
      </c>
      <c r="BZ66" s="12">
        <v>284.75682</v>
      </c>
      <c r="CA66" s="12">
        <v>66952.085969999971</v>
      </c>
      <c r="CB66" s="12">
        <v>1280.4568999999999</v>
      </c>
      <c r="CC66" s="12">
        <v>99.401390000000006</v>
      </c>
      <c r="CD66" s="12">
        <v>379.86973</v>
      </c>
      <c r="CE66" s="12">
        <v>237.40081000000001</v>
      </c>
      <c r="CF66" s="12">
        <v>6538.6253300000017</v>
      </c>
      <c r="CG66" s="12">
        <v>4263.042730000001</v>
      </c>
      <c r="CH66" s="12">
        <v>68777.372489999994</v>
      </c>
      <c r="CI66" s="12">
        <v>114278.31927000004</v>
      </c>
      <c r="CJ66" s="12">
        <v>24.548590000000001</v>
      </c>
      <c r="CK66" s="12">
        <v>28688.485929999973</v>
      </c>
      <c r="CL66" s="12">
        <v>1665.4544800000001</v>
      </c>
      <c r="CM66" s="12">
        <v>689.35718999999995</v>
      </c>
      <c r="CN66" s="12">
        <v>7876.3719800000035</v>
      </c>
      <c r="CO66" s="12">
        <v>544.94293999999991</v>
      </c>
      <c r="CP66" s="12">
        <v>18.232530000000001</v>
      </c>
      <c r="CQ66" s="12">
        <v>739.66813000000002</v>
      </c>
      <c r="CR66" s="12">
        <v>13523.285960000007</v>
      </c>
      <c r="CS66" s="12">
        <v>1811.46435</v>
      </c>
      <c r="CT66" s="12">
        <v>13605.704260000002</v>
      </c>
      <c r="CU66" s="12">
        <v>273.55900000000003</v>
      </c>
      <c r="CV66" s="12">
        <v>702.32639000000006</v>
      </c>
      <c r="CW66" s="13">
        <v>4119409.7222099965</v>
      </c>
      <c r="CX66" s="13">
        <v>4119409.7222099965</v>
      </c>
    </row>
    <row r="67" spans="1:102">
      <c r="A67" s="7">
        <v>2025</v>
      </c>
      <c r="B67">
        <v>2</v>
      </c>
      <c r="C67" s="8">
        <v>45778</v>
      </c>
      <c r="D67" s="10">
        <v>1359.62213</v>
      </c>
      <c r="E67" s="10">
        <v>12141.020919999999</v>
      </c>
      <c r="F67" s="10">
        <v>19105.792730000001</v>
      </c>
      <c r="G67" s="10">
        <v>3777.794519999999</v>
      </c>
      <c r="H67" s="10">
        <v>5047.0010100000018</v>
      </c>
      <c r="I67" s="10">
        <v>242333.44115999984</v>
      </c>
      <c r="J67" s="10">
        <v>3414.37059</v>
      </c>
      <c r="K67" s="10">
        <v>229086.46696000002</v>
      </c>
      <c r="L67" s="10">
        <v>427844.60861999996</v>
      </c>
      <c r="M67" s="10">
        <v>2025.6827899999998</v>
      </c>
      <c r="N67" s="10">
        <v>8359.1881199999989</v>
      </c>
      <c r="O67" s="10">
        <v>4278.2368799999995</v>
      </c>
      <c r="P67" s="10">
        <v>780.30954000000008</v>
      </c>
      <c r="Q67" s="10">
        <v>144.67088000000001</v>
      </c>
      <c r="R67" s="10">
        <v>149091.34339999998</v>
      </c>
      <c r="S67" s="10">
        <v>2504.4017200000003</v>
      </c>
      <c r="T67" s="10">
        <v>58178.164409999976</v>
      </c>
      <c r="U67" s="10">
        <v>29610.782940000005</v>
      </c>
      <c r="V67" s="10">
        <v>18461.477900000013</v>
      </c>
      <c r="W67" s="10">
        <v>18790.749540000008</v>
      </c>
      <c r="X67" s="10">
        <v>60460.824410000001</v>
      </c>
      <c r="Y67" s="10">
        <v>5937.5637400000032</v>
      </c>
      <c r="Z67" s="10">
        <v>9939.067289999999</v>
      </c>
      <c r="AA67" s="10">
        <v>3550.0742499999997</v>
      </c>
      <c r="AB67" s="10">
        <v>3403.5375500000014</v>
      </c>
      <c r="AC67" s="10">
        <v>51203.778220000007</v>
      </c>
      <c r="AD67" s="10">
        <v>1617917.0606700007</v>
      </c>
      <c r="AE67" s="10">
        <v>14569.350910000001</v>
      </c>
      <c r="AF67" s="10">
        <v>16568.430699999997</v>
      </c>
      <c r="AG67" s="10">
        <v>39447.957920000008</v>
      </c>
      <c r="AH67" s="10">
        <v>9412.8169100000014</v>
      </c>
      <c r="AI67" s="10">
        <v>14616.559490000007</v>
      </c>
      <c r="AJ67" s="10">
        <v>70833.187030000088</v>
      </c>
      <c r="AK67" s="10">
        <v>27164.812660000018</v>
      </c>
      <c r="AL67" s="10">
        <v>8631.2276700000002</v>
      </c>
      <c r="AM67" s="10">
        <v>0</v>
      </c>
      <c r="AN67" s="10">
        <v>61.333190000000002</v>
      </c>
      <c r="AO67" s="10">
        <v>56968.646310000055</v>
      </c>
      <c r="AP67" s="10">
        <v>142975.85809000014</v>
      </c>
      <c r="AQ67" s="10">
        <v>11365.592830000003</v>
      </c>
      <c r="AR67" s="10">
        <v>2877.5767100000003</v>
      </c>
      <c r="AS67" s="10">
        <v>5149.85203</v>
      </c>
      <c r="AT67" s="10">
        <v>312.85437999999994</v>
      </c>
      <c r="AU67" s="10">
        <v>4528.9428800000014</v>
      </c>
      <c r="AV67" s="10">
        <v>28.51257</v>
      </c>
      <c r="AW67" s="10">
        <v>72.927369999999996</v>
      </c>
      <c r="AX67" s="10">
        <v>44.960209999999996</v>
      </c>
      <c r="AY67" s="10">
        <v>40725.378939999959</v>
      </c>
      <c r="AZ67" s="10">
        <v>5238.9156199999961</v>
      </c>
      <c r="BA67" s="10">
        <v>0</v>
      </c>
      <c r="BB67" s="10">
        <v>0.70675999999999994</v>
      </c>
      <c r="BC67" s="10">
        <v>1197.5560899999998</v>
      </c>
      <c r="BD67" s="10">
        <v>36.443860000000001</v>
      </c>
      <c r="BE67" s="10">
        <v>4029.0059499999998</v>
      </c>
      <c r="BF67" s="10">
        <v>261.27508999999998</v>
      </c>
      <c r="BG67" s="10">
        <v>1144.6089099999997</v>
      </c>
      <c r="BH67" s="10">
        <v>245.58437000000001</v>
      </c>
      <c r="BI67" s="10">
        <v>777.43843000000027</v>
      </c>
      <c r="BJ67" s="10">
        <v>2055.3576800000001</v>
      </c>
      <c r="BK67" s="10">
        <v>6259.778699999998</v>
      </c>
      <c r="BL67" s="10">
        <v>16430.967190000018</v>
      </c>
      <c r="BM67" s="10">
        <v>19663.412060000017</v>
      </c>
      <c r="BN67" s="10">
        <v>12290.449079999984</v>
      </c>
      <c r="BO67" s="10">
        <v>4155.8284199999998</v>
      </c>
      <c r="BP67" s="10">
        <v>1268.7230300000003</v>
      </c>
      <c r="BQ67" s="10">
        <v>34.176559999999995</v>
      </c>
      <c r="BR67" s="10">
        <v>35.556090000000005</v>
      </c>
      <c r="BS67" s="10">
        <v>6185.0663799999984</v>
      </c>
      <c r="BT67" s="10">
        <v>10027.119450000004</v>
      </c>
      <c r="BU67" s="10">
        <v>12528.040189999989</v>
      </c>
      <c r="BV67" s="10">
        <v>368401.09201999992</v>
      </c>
      <c r="BW67" s="10">
        <v>46515.317480000012</v>
      </c>
      <c r="BX67" s="10">
        <v>26864.367290000009</v>
      </c>
      <c r="BY67" s="10">
        <v>38291.592380000002</v>
      </c>
      <c r="BZ67" s="10">
        <v>50.249129999999994</v>
      </c>
      <c r="CA67" s="10">
        <v>85310.640750000093</v>
      </c>
      <c r="CB67" s="10">
        <v>60.429110000000001</v>
      </c>
      <c r="CC67" s="10">
        <v>243.38985000000002</v>
      </c>
      <c r="CD67" s="10">
        <v>75.215759999999989</v>
      </c>
      <c r="CE67" s="10">
        <v>142.61745999999999</v>
      </c>
      <c r="CF67" s="10">
        <v>5710.5175400000007</v>
      </c>
      <c r="CG67" s="10">
        <v>4582.9098600000007</v>
      </c>
      <c r="CH67" s="10">
        <v>42933.746049999914</v>
      </c>
      <c r="CI67" s="10">
        <v>82444.226400000072</v>
      </c>
      <c r="CJ67" s="10">
        <v>558.70812000000001</v>
      </c>
      <c r="CK67" s="10">
        <v>44947.138880000006</v>
      </c>
      <c r="CL67" s="10">
        <v>2418.9590300000004</v>
      </c>
      <c r="CM67" s="10">
        <v>1389.6293700000001</v>
      </c>
      <c r="CN67" s="10">
        <v>9888.8770899999981</v>
      </c>
      <c r="CO67" s="10">
        <v>610.92975000000013</v>
      </c>
      <c r="CP67" s="10">
        <v>66.371350000000007</v>
      </c>
      <c r="CQ67" s="10">
        <v>1675.66857</v>
      </c>
      <c r="CR67" s="10">
        <v>15199.699970000001</v>
      </c>
      <c r="CS67" s="10">
        <v>1803.7291600000001</v>
      </c>
      <c r="CT67" s="10">
        <v>16609.716879999996</v>
      </c>
      <c r="CU67" s="10">
        <v>1218.36049</v>
      </c>
      <c r="CV67" s="10">
        <v>419.69324</v>
      </c>
      <c r="CW67" s="11">
        <v>4357403.6145800008</v>
      </c>
      <c r="CX67" s="11">
        <v>4358143.8524700012</v>
      </c>
    </row>
    <row r="68" spans="1:102">
      <c r="A68" s="7">
        <v>2025</v>
      </c>
      <c r="B68">
        <v>2</v>
      </c>
      <c r="C68" s="9">
        <v>45809</v>
      </c>
      <c r="D68" s="12">
        <v>8130.4121999999998</v>
      </c>
      <c r="E68" s="12">
        <v>9832.1900399999959</v>
      </c>
      <c r="F68" s="12">
        <v>18866.64028</v>
      </c>
      <c r="G68" s="12">
        <v>4436.9714499999991</v>
      </c>
      <c r="H68" s="12">
        <v>5840.0124400000004</v>
      </c>
      <c r="I68" s="12">
        <v>270128.65669000003</v>
      </c>
      <c r="J68" s="12">
        <v>2168.5219899999993</v>
      </c>
      <c r="K68" s="12">
        <v>160418.29214999956</v>
      </c>
      <c r="L68" s="12">
        <v>419873.07307999965</v>
      </c>
      <c r="M68" s="12">
        <v>1236.4416799999999</v>
      </c>
      <c r="N68" s="12">
        <v>6114.3782100000008</v>
      </c>
      <c r="O68" s="12">
        <v>3719.7534899999996</v>
      </c>
      <c r="P68" s="12">
        <v>33.613689999999998</v>
      </c>
      <c r="Q68" s="12">
        <v>202.23895000000002</v>
      </c>
      <c r="R68" s="12">
        <v>112867.26635999998</v>
      </c>
      <c r="S68" s="12">
        <v>1322.44</v>
      </c>
      <c r="T68" s="12">
        <v>42452.160940000023</v>
      </c>
      <c r="U68" s="12">
        <v>34163.950819999998</v>
      </c>
      <c r="V68" s="12">
        <v>17988.064490000008</v>
      </c>
      <c r="W68" s="12">
        <v>18263.904359999997</v>
      </c>
      <c r="X68" s="12">
        <v>65796.153900000005</v>
      </c>
      <c r="Y68" s="12">
        <v>7361.5812000000014</v>
      </c>
      <c r="Z68" s="12">
        <v>10437.2804</v>
      </c>
      <c r="AA68" s="12">
        <v>2084.2866399999998</v>
      </c>
      <c r="AB68" s="12">
        <v>3365.4069700000009</v>
      </c>
      <c r="AC68" s="12">
        <v>12619.882920000004</v>
      </c>
      <c r="AD68" s="12">
        <v>1468760.4072799995</v>
      </c>
      <c r="AE68" s="12">
        <v>12812.968779999999</v>
      </c>
      <c r="AF68" s="12">
        <v>13871.537879999987</v>
      </c>
      <c r="AG68" s="12">
        <v>37338.881430000001</v>
      </c>
      <c r="AH68" s="12">
        <v>6348.4878100000005</v>
      </c>
      <c r="AI68" s="12">
        <v>13881.169950000001</v>
      </c>
      <c r="AJ68" s="12">
        <v>61109.930629999959</v>
      </c>
      <c r="AK68" s="12">
        <v>22878.725389999992</v>
      </c>
      <c r="AL68" s="12">
        <v>6126.513750000001</v>
      </c>
      <c r="AM68" s="12">
        <v>0.66776999999999997</v>
      </c>
      <c r="AN68" s="12">
        <v>56.337499999999991</v>
      </c>
      <c r="AO68" s="12">
        <v>56796.239219999996</v>
      </c>
      <c r="AP68" s="12">
        <v>138182.1257499998</v>
      </c>
      <c r="AQ68" s="12">
        <v>8739.2601900000009</v>
      </c>
      <c r="AR68" s="12">
        <v>2957.4557700000005</v>
      </c>
      <c r="AS68" s="12">
        <v>5110.66507</v>
      </c>
      <c r="AT68" s="12">
        <v>410.31625000000003</v>
      </c>
      <c r="AU68" s="12">
        <v>2646.5907699999984</v>
      </c>
      <c r="AV68" s="12">
        <v>19.84815</v>
      </c>
      <c r="AW68" s="12">
        <v>59.848770000000002</v>
      </c>
      <c r="AX68" s="12">
        <v>355.77004000000011</v>
      </c>
      <c r="AY68" s="12">
        <v>28268.889729999981</v>
      </c>
      <c r="AZ68" s="12">
        <v>4836.281500000001</v>
      </c>
      <c r="BA68" s="12">
        <v>0</v>
      </c>
      <c r="BB68" s="12">
        <v>0.41935</v>
      </c>
      <c r="BC68" s="12">
        <v>1274.4401899999993</v>
      </c>
      <c r="BD68" s="12">
        <v>23.89425</v>
      </c>
      <c r="BE68" s="12">
        <v>4494.0252800000071</v>
      </c>
      <c r="BF68" s="12">
        <v>1005.79399</v>
      </c>
      <c r="BG68" s="12">
        <v>1094.2286399999998</v>
      </c>
      <c r="BH68" s="12">
        <v>103.48747999999999</v>
      </c>
      <c r="BI68" s="12">
        <v>870.69583999999975</v>
      </c>
      <c r="BJ68" s="12">
        <v>1350.0079299999998</v>
      </c>
      <c r="BK68" s="12">
        <v>4249.5527699999993</v>
      </c>
      <c r="BL68" s="12">
        <v>15603.364129999984</v>
      </c>
      <c r="BM68" s="12">
        <v>18084.992270000017</v>
      </c>
      <c r="BN68" s="12">
        <v>10356.887989999999</v>
      </c>
      <c r="BO68" s="12">
        <v>2453.0521399999998</v>
      </c>
      <c r="BP68" s="12">
        <v>1792.9423800000009</v>
      </c>
      <c r="BQ68" s="12">
        <v>16.824719999999999</v>
      </c>
      <c r="BR68" s="12">
        <v>0.42199999999999999</v>
      </c>
      <c r="BS68" s="12">
        <v>5969.8557800000008</v>
      </c>
      <c r="BT68" s="12">
        <v>7289.8252100000018</v>
      </c>
      <c r="BU68" s="12">
        <v>12672.509030000001</v>
      </c>
      <c r="BV68" s="12">
        <v>322623.72156999999</v>
      </c>
      <c r="BW68" s="12">
        <v>47023.719449999982</v>
      </c>
      <c r="BX68" s="12">
        <v>20321.619089999982</v>
      </c>
      <c r="BY68" s="12">
        <v>30253.87327</v>
      </c>
      <c r="BZ68" s="12">
        <v>4.7138999999999998</v>
      </c>
      <c r="CA68" s="12">
        <v>86879.192650000041</v>
      </c>
      <c r="CB68" s="12">
        <v>257.41415000000001</v>
      </c>
      <c r="CC68" s="12">
        <v>84.902899999999988</v>
      </c>
      <c r="CD68" s="12">
        <v>60</v>
      </c>
      <c r="CE68" s="12">
        <v>90.948610000000002</v>
      </c>
      <c r="CF68" s="12">
        <v>5299.4071000000004</v>
      </c>
      <c r="CG68" s="12">
        <v>4511.0455999999995</v>
      </c>
      <c r="CH68" s="12">
        <v>51778.51397</v>
      </c>
      <c r="CI68" s="12">
        <v>95984.483519999863</v>
      </c>
      <c r="CJ68" s="12">
        <v>123.10936</v>
      </c>
      <c r="CK68" s="12">
        <v>31195.710019999988</v>
      </c>
      <c r="CL68" s="12">
        <v>2104.9430700000003</v>
      </c>
      <c r="CM68" s="12">
        <v>1197.7993700000002</v>
      </c>
      <c r="CN68" s="12">
        <v>5852.8081100000009</v>
      </c>
      <c r="CO68" s="12">
        <v>217.39722</v>
      </c>
      <c r="CP68" s="12">
        <v>11.24258</v>
      </c>
      <c r="CQ68" s="12">
        <v>23.9</v>
      </c>
      <c r="CR68" s="12">
        <v>14404.519779999988</v>
      </c>
      <c r="CS68" s="12">
        <v>1131.4987299999998</v>
      </c>
      <c r="CT68" s="12">
        <v>15131.088970000003</v>
      </c>
      <c r="CU68" s="12">
        <v>331.82292000000007</v>
      </c>
      <c r="CV68" s="12">
        <v>779.79449999999997</v>
      </c>
      <c r="CW68" s="13">
        <v>3957678.9064999986</v>
      </c>
      <c r="CX68" s="13">
        <v>3957678.9064999986</v>
      </c>
    </row>
    <row r="69" spans="1:102">
      <c r="A69" s="7">
        <v>2025</v>
      </c>
      <c r="B69">
        <v>3</v>
      </c>
      <c r="C69" s="8">
        <v>45839</v>
      </c>
      <c r="D69" s="10">
        <v>35603.956600000005</v>
      </c>
      <c r="E69" s="10">
        <v>16941.816150000002</v>
      </c>
      <c r="F69" s="10">
        <v>12779.758180000001</v>
      </c>
      <c r="G69" s="10">
        <v>5720.3850700000012</v>
      </c>
      <c r="H69" s="10">
        <v>3918.2127900000005</v>
      </c>
      <c r="I69" s="10">
        <v>162554.20526999992</v>
      </c>
      <c r="J69" s="10">
        <v>3088.5461600000008</v>
      </c>
      <c r="K69" s="10">
        <v>174803.16075000021</v>
      </c>
      <c r="L69" s="10">
        <v>481898.80503999919</v>
      </c>
      <c r="M69" s="10">
        <v>464.83474999999993</v>
      </c>
      <c r="N69" s="10">
        <v>8721.3195500000002</v>
      </c>
      <c r="O69" s="10">
        <v>4159.8109400000012</v>
      </c>
      <c r="P69" s="10">
        <v>162.02262999999996</v>
      </c>
      <c r="Q69" s="10">
        <v>263.43662999999998</v>
      </c>
      <c r="R69" s="10">
        <v>116602.20381000002</v>
      </c>
      <c r="S69" s="10">
        <v>3698.2704699999999</v>
      </c>
      <c r="T69" s="10">
        <v>59265.153830000003</v>
      </c>
      <c r="U69" s="10">
        <v>36000.056590000022</v>
      </c>
      <c r="V69" s="10">
        <v>21793.848289999994</v>
      </c>
      <c r="W69" s="10">
        <v>22559.239449999997</v>
      </c>
      <c r="X69" s="10">
        <v>56058.040900000044</v>
      </c>
      <c r="Y69" s="10">
        <v>7576.1540100000002</v>
      </c>
      <c r="Z69" s="10">
        <v>10504.187249999999</v>
      </c>
      <c r="AA69" s="10">
        <v>557.12652999999989</v>
      </c>
      <c r="AB69" s="10">
        <v>4283.7141500000007</v>
      </c>
      <c r="AC69" s="10">
        <v>69055.748489999998</v>
      </c>
      <c r="AD69" s="10">
        <v>1587043.3142300015</v>
      </c>
      <c r="AE69" s="10">
        <v>17568.181629999999</v>
      </c>
      <c r="AF69" s="10">
        <v>19717.291370000014</v>
      </c>
      <c r="AG69" s="10">
        <v>41861.512310000006</v>
      </c>
      <c r="AH69" s="10">
        <v>12413.979409999998</v>
      </c>
      <c r="AI69" s="10">
        <v>15177.698610000003</v>
      </c>
      <c r="AJ69" s="10">
        <v>81524.814980000112</v>
      </c>
      <c r="AK69" s="10">
        <v>24982.83221</v>
      </c>
      <c r="AL69" s="10">
        <v>6976.0953599999984</v>
      </c>
      <c r="AM69" s="10">
        <v>180.98482000000001</v>
      </c>
      <c r="AN69" s="10">
        <v>83.695369999999997</v>
      </c>
      <c r="AO69" s="10">
        <v>107491.12270000008</v>
      </c>
      <c r="AP69" s="10">
        <v>159691.11648999967</v>
      </c>
      <c r="AQ69" s="10">
        <v>10573.179749999998</v>
      </c>
      <c r="AR69" s="10">
        <v>2886.1469199999997</v>
      </c>
      <c r="AS69" s="10">
        <v>4804.6913699999996</v>
      </c>
      <c r="AT69" s="10">
        <v>620.05372999999986</v>
      </c>
      <c r="AU69" s="10">
        <v>4235.0211599999993</v>
      </c>
      <c r="AV69" s="10">
        <v>7.2022899999999996</v>
      </c>
      <c r="AW69" s="10">
        <v>61.908470000000001</v>
      </c>
      <c r="AX69" s="10">
        <v>91.718620000000001</v>
      </c>
      <c r="AY69" s="10">
        <v>33772.128659999966</v>
      </c>
      <c r="AZ69" s="10">
        <v>5832.7846300000001</v>
      </c>
      <c r="BA69" s="10">
        <v>0</v>
      </c>
      <c r="BB69" s="10">
        <v>2.3250299999999999</v>
      </c>
      <c r="BC69" s="10">
        <v>1407.7236999999996</v>
      </c>
      <c r="BD69" s="10">
        <v>82.405570000000012</v>
      </c>
      <c r="BE69" s="10">
        <v>6005.4636599999922</v>
      </c>
      <c r="BF69" s="10">
        <v>737.3233399999998</v>
      </c>
      <c r="BG69" s="10">
        <v>1609.1955600000008</v>
      </c>
      <c r="BH69" s="10">
        <v>263.65868</v>
      </c>
      <c r="BI69" s="10">
        <v>674.93628999999987</v>
      </c>
      <c r="BJ69" s="10">
        <v>2672.0430999999985</v>
      </c>
      <c r="BK69" s="10">
        <v>6913.9216999999962</v>
      </c>
      <c r="BL69" s="10">
        <v>17745.878630000003</v>
      </c>
      <c r="BM69" s="10">
        <v>18557.207230000025</v>
      </c>
      <c r="BN69" s="10">
        <v>7949.3395400000036</v>
      </c>
      <c r="BO69" s="10">
        <v>2942.9494699999987</v>
      </c>
      <c r="BP69" s="10">
        <v>2086.433919999999</v>
      </c>
      <c r="BQ69" s="10">
        <v>31.498040000000003</v>
      </c>
      <c r="BR69" s="10">
        <v>13.65892</v>
      </c>
      <c r="BS69" s="10">
        <v>7708.0321599999979</v>
      </c>
      <c r="BT69" s="10">
        <v>9314.6256200000025</v>
      </c>
      <c r="BU69" s="10">
        <v>13254.344359999994</v>
      </c>
      <c r="BV69" s="10">
        <v>414431.61196000018</v>
      </c>
      <c r="BW69" s="10">
        <v>48677.227139999995</v>
      </c>
      <c r="BX69" s="10">
        <v>20676.364629999989</v>
      </c>
      <c r="BY69" s="10">
        <v>40925.074260000009</v>
      </c>
      <c r="BZ69" s="10">
        <v>10.482010000000001</v>
      </c>
      <c r="CA69" s="10">
        <v>91403.799520000044</v>
      </c>
      <c r="CB69" s="10">
        <v>2025.3636199999999</v>
      </c>
      <c r="CC69" s="10">
        <v>57.396119999999996</v>
      </c>
      <c r="CD69" s="10">
        <v>245.76199000000003</v>
      </c>
      <c r="CE69" s="10">
        <v>297.90253999999999</v>
      </c>
      <c r="CF69" s="10">
        <v>6573.8710899999978</v>
      </c>
      <c r="CG69" s="10">
        <v>5453.5092800000002</v>
      </c>
      <c r="CH69" s="10">
        <v>57093.193129999912</v>
      </c>
      <c r="CI69" s="10">
        <v>100453.4979899999</v>
      </c>
      <c r="CJ69" s="10">
        <v>88.214190000000002</v>
      </c>
      <c r="CK69" s="10">
        <v>28255.237900000004</v>
      </c>
      <c r="CL69" s="10">
        <v>9151.3745500000005</v>
      </c>
      <c r="CM69" s="10">
        <v>190.80422000000002</v>
      </c>
      <c r="CN69" s="10">
        <v>9277.8091500000064</v>
      </c>
      <c r="CO69" s="10">
        <v>570.18031999999994</v>
      </c>
      <c r="CP69" s="10">
        <v>5.3381400000000001</v>
      </c>
      <c r="CQ69" s="10">
        <v>83.296390000000002</v>
      </c>
      <c r="CR69" s="10">
        <v>16360.660340000006</v>
      </c>
      <c r="CS69" s="10">
        <v>1811.4370000000004</v>
      </c>
      <c r="CT69" s="10">
        <v>14886.57386</v>
      </c>
      <c r="CU69" s="10">
        <v>137.65081000000001</v>
      </c>
      <c r="CV69" s="10">
        <v>1736.7404100000001</v>
      </c>
      <c r="CW69" s="11">
        <v>4427484.8264500005</v>
      </c>
      <c r="CX69" s="11">
        <v>4427484.8264500005</v>
      </c>
    </row>
    <row r="70" spans="1:102">
      <c r="A70" s="7">
        <v>2025</v>
      </c>
      <c r="B70">
        <v>3</v>
      </c>
      <c r="C70" s="23">
        <v>45870</v>
      </c>
      <c r="D70" s="12">
        <v>11181.52283</v>
      </c>
      <c r="E70" s="12">
        <v>14582.564840000001</v>
      </c>
      <c r="F70" s="12">
        <v>12832.247979999998</v>
      </c>
      <c r="G70" s="12">
        <v>4456.3671300000005</v>
      </c>
      <c r="H70" s="12">
        <v>3967.2747899999995</v>
      </c>
      <c r="I70" s="12">
        <v>152942.47957000005</v>
      </c>
      <c r="J70" s="12">
        <v>2359.54871</v>
      </c>
      <c r="K70" s="12">
        <v>162379.66878000018</v>
      </c>
      <c r="L70" s="12">
        <v>535820.24818999972</v>
      </c>
      <c r="M70" s="12">
        <v>10442.807760000002</v>
      </c>
      <c r="N70" s="12">
        <v>7544.4082699999999</v>
      </c>
      <c r="O70" s="12">
        <v>3873.1434399999994</v>
      </c>
      <c r="P70" s="12">
        <v>286.49670999999995</v>
      </c>
      <c r="Q70" s="12">
        <v>271.70938000000001</v>
      </c>
      <c r="R70" s="12">
        <v>101412.64038999999</v>
      </c>
      <c r="S70" s="12">
        <v>1035.56393</v>
      </c>
      <c r="T70" s="12">
        <v>71130.579450000034</v>
      </c>
      <c r="U70" s="12">
        <v>33143.989230000007</v>
      </c>
      <c r="V70" s="12">
        <v>17695.451160000011</v>
      </c>
      <c r="W70" s="12">
        <v>19470.892930000005</v>
      </c>
      <c r="X70" s="12">
        <v>84440.066160000002</v>
      </c>
      <c r="Y70" s="12">
        <v>7821.7827800000005</v>
      </c>
      <c r="Z70" s="12">
        <v>7723.2310799999996</v>
      </c>
      <c r="AA70" s="12">
        <v>337.00345999999996</v>
      </c>
      <c r="AB70" s="12">
        <v>3045.8421000000003</v>
      </c>
      <c r="AC70" s="12">
        <v>173620.45220999999</v>
      </c>
      <c r="AD70" s="12">
        <v>1214240.60717</v>
      </c>
      <c r="AE70" s="12">
        <v>13502.530539999994</v>
      </c>
      <c r="AF70" s="12">
        <v>17368.163040000007</v>
      </c>
      <c r="AG70" s="12">
        <v>36657.460129999992</v>
      </c>
      <c r="AH70" s="12">
        <v>4643.3309500000005</v>
      </c>
      <c r="AI70" s="12">
        <v>12286.754110000013</v>
      </c>
      <c r="AJ70" s="12">
        <v>56384.602529999989</v>
      </c>
      <c r="AK70" s="12">
        <v>20696.897970000009</v>
      </c>
      <c r="AL70" s="12">
        <v>7700.3733200000006</v>
      </c>
      <c r="AM70" s="12">
        <v>21.251609999999999</v>
      </c>
      <c r="AN70" s="12">
        <v>103.71349000000001</v>
      </c>
      <c r="AO70" s="12">
        <v>51133.070149999963</v>
      </c>
      <c r="AP70" s="12">
        <v>134339.59460000004</v>
      </c>
      <c r="AQ70" s="12">
        <v>6439.6149899999991</v>
      </c>
      <c r="AR70" s="12">
        <v>3818.3157000000001</v>
      </c>
      <c r="AS70" s="12">
        <v>3309.8795800000021</v>
      </c>
      <c r="AT70" s="12">
        <v>357.84814999999998</v>
      </c>
      <c r="AU70" s="12">
        <v>1939.2618899999986</v>
      </c>
      <c r="AV70" s="12">
        <v>11.817740000000001</v>
      </c>
      <c r="AW70" s="12">
        <v>77.111240000000024</v>
      </c>
      <c r="AX70" s="12">
        <v>369.13037999999995</v>
      </c>
      <c r="AY70" s="12">
        <v>28530.504050000025</v>
      </c>
      <c r="AZ70" s="12">
        <v>4701.8309799999997</v>
      </c>
      <c r="BA70" s="12">
        <v>7.2163500000000003</v>
      </c>
      <c r="BB70" s="12">
        <v>1.3424400000000001</v>
      </c>
      <c r="BC70" s="12">
        <v>990.35820000000024</v>
      </c>
      <c r="BD70" s="12">
        <v>10.929040000000001</v>
      </c>
      <c r="BE70" s="12">
        <v>5598.557380000002</v>
      </c>
      <c r="BF70" s="12">
        <v>968.29964999999959</v>
      </c>
      <c r="BG70" s="12">
        <v>1969.2228300000002</v>
      </c>
      <c r="BH70" s="12">
        <v>120.61995999999999</v>
      </c>
      <c r="BI70" s="12">
        <v>912.3211399999999</v>
      </c>
      <c r="BJ70" s="12">
        <v>2407.8359700000005</v>
      </c>
      <c r="BK70" s="12">
        <v>5509.3181300000024</v>
      </c>
      <c r="BL70" s="12">
        <v>16133.399660000005</v>
      </c>
      <c r="BM70" s="12">
        <v>16775.143310000003</v>
      </c>
      <c r="BN70" s="12">
        <v>8338.0482100000008</v>
      </c>
      <c r="BO70" s="12">
        <v>3112.9122400000006</v>
      </c>
      <c r="BP70" s="12">
        <v>1749.4223099999999</v>
      </c>
      <c r="BQ70" s="12">
        <v>21.904690000000002</v>
      </c>
      <c r="BR70" s="12">
        <v>38.742520000000006</v>
      </c>
      <c r="BS70" s="12">
        <v>5681.6803499999987</v>
      </c>
      <c r="BT70" s="12">
        <v>7612.4406900000022</v>
      </c>
      <c r="BU70" s="12">
        <v>10853.760059999997</v>
      </c>
      <c r="BV70" s="12">
        <v>324427.48394999997</v>
      </c>
      <c r="BW70" s="12">
        <v>49794.913549999983</v>
      </c>
      <c r="BX70" s="12">
        <v>21867.440059999986</v>
      </c>
      <c r="BY70" s="12">
        <v>28633.643279999997</v>
      </c>
      <c r="BZ70" s="12">
        <v>16.293390000000002</v>
      </c>
      <c r="CA70" s="12">
        <v>63569.893640000024</v>
      </c>
      <c r="CB70" s="12">
        <v>2039.99216</v>
      </c>
      <c r="CC70" s="12">
        <v>93.182000000000016</v>
      </c>
      <c r="CD70" s="12">
        <v>3.8451900000000001</v>
      </c>
      <c r="CE70" s="12">
        <v>247.60809000000003</v>
      </c>
      <c r="CF70" s="12">
        <v>6119.5395300000009</v>
      </c>
      <c r="CG70" s="12">
        <v>4803.2564799999991</v>
      </c>
      <c r="CH70" s="12">
        <v>51626.68358999995</v>
      </c>
      <c r="CI70" s="12">
        <v>85997.018450000018</v>
      </c>
      <c r="CJ70" s="12">
        <v>199.55237999999997</v>
      </c>
      <c r="CK70" s="12">
        <v>45745.574479999916</v>
      </c>
      <c r="CL70" s="12">
        <v>2577.5509099999995</v>
      </c>
      <c r="CM70" s="12">
        <v>357.68655000000007</v>
      </c>
      <c r="CN70" s="12">
        <v>5531.5193399999998</v>
      </c>
      <c r="CO70" s="12">
        <v>333.17588999999992</v>
      </c>
      <c r="CP70" s="12">
        <v>1.4971299999999998</v>
      </c>
      <c r="CQ70" s="12">
        <v>0</v>
      </c>
      <c r="CR70" s="12">
        <v>13954.427420000015</v>
      </c>
      <c r="CS70" s="12">
        <v>754.26416999999981</v>
      </c>
      <c r="CT70" s="12">
        <v>9934.9538699999994</v>
      </c>
      <c r="CU70" s="12">
        <v>255.51400000000001</v>
      </c>
      <c r="CV70" s="12">
        <v>1392.6374099999998</v>
      </c>
      <c r="CW70" s="13">
        <v>3871544.2696099994</v>
      </c>
      <c r="CX70" s="22">
        <v>3842152.2073499993</v>
      </c>
    </row>
    <row r="71" spans="1:102">
      <c r="A71" s="7">
        <v>2025</v>
      </c>
      <c r="B71">
        <v>3</v>
      </c>
      <c r="C71" s="8">
        <v>45901</v>
      </c>
      <c r="D71" s="10">
        <v>7728.590940000001</v>
      </c>
      <c r="E71" s="10">
        <v>11483.74764</v>
      </c>
      <c r="F71" s="10">
        <v>11760.319009999996</v>
      </c>
      <c r="G71" s="10">
        <v>4640.8921499999988</v>
      </c>
      <c r="H71" s="10">
        <v>6195.5968199999998</v>
      </c>
      <c r="I71" s="10">
        <v>159769.43716999993</v>
      </c>
      <c r="J71" s="10">
        <v>3050.5208099999995</v>
      </c>
      <c r="K71" s="10">
        <v>206522.71812999959</v>
      </c>
      <c r="L71" s="10">
        <v>507682.28961999965</v>
      </c>
      <c r="M71" s="10">
        <v>9858.0490900000023</v>
      </c>
      <c r="N71" s="10">
        <v>5601.51098</v>
      </c>
      <c r="O71" s="10">
        <v>4386.3733599999996</v>
      </c>
      <c r="P71" s="10">
        <v>159.15743000000001</v>
      </c>
      <c r="Q71" s="10">
        <v>242.85658000000001</v>
      </c>
      <c r="R71" s="10">
        <v>86605.494680000033</v>
      </c>
      <c r="S71" s="10">
        <v>1905.21453</v>
      </c>
      <c r="T71" s="10">
        <v>59441.582110000025</v>
      </c>
      <c r="U71" s="10">
        <v>29193.780720000002</v>
      </c>
      <c r="V71" s="10">
        <v>19578.752750000007</v>
      </c>
      <c r="W71" s="10">
        <v>17993.714969999994</v>
      </c>
      <c r="X71" s="10">
        <v>57367.020640000068</v>
      </c>
      <c r="Y71" s="10">
        <v>6179.0624999999973</v>
      </c>
      <c r="Z71" s="10">
        <v>13616.646770000001</v>
      </c>
      <c r="AA71" s="10">
        <v>397.45941000000005</v>
      </c>
      <c r="AB71" s="10">
        <v>3455.1308799999997</v>
      </c>
      <c r="AC71" s="10">
        <v>320837.63522</v>
      </c>
      <c r="AD71" s="10">
        <v>1593708.2234200011</v>
      </c>
      <c r="AE71" s="10">
        <v>11708.100969999998</v>
      </c>
      <c r="AF71" s="10">
        <v>16162.801049999993</v>
      </c>
      <c r="AG71" s="10">
        <v>44281.901930000007</v>
      </c>
      <c r="AH71" s="10">
        <v>5518.2110900000016</v>
      </c>
      <c r="AI71" s="10">
        <v>15398.675129999981</v>
      </c>
      <c r="AJ71" s="10">
        <v>76305.24761999998</v>
      </c>
      <c r="AK71" s="10">
        <v>26535.581389999978</v>
      </c>
      <c r="AL71" s="10">
        <v>9072.6666100000039</v>
      </c>
      <c r="AM71" s="10">
        <v>119.97314999999999</v>
      </c>
      <c r="AN71" s="10">
        <v>92.402679999999975</v>
      </c>
      <c r="AO71" s="10">
        <v>88936.888910000009</v>
      </c>
      <c r="AP71" s="10">
        <v>160913.87005000023</v>
      </c>
      <c r="AQ71" s="10">
        <v>10722.019200000002</v>
      </c>
      <c r="AR71" s="10">
        <v>4099.6729700000005</v>
      </c>
      <c r="AS71" s="10">
        <v>4170.9273399999984</v>
      </c>
      <c r="AT71" s="10">
        <v>554.74499000000003</v>
      </c>
      <c r="AU71" s="10">
        <v>2941.4858900000004</v>
      </c>
      <c r="AV71" s="10">
        <v>7.8130899999999999</v>
      </c>
      <c r="AW71" s="10">
        <v>82.39430999999999</v>
      </c>
      <c r="AX71" s="10">
        <v>534.16629</v>
      </c>
      <c r="AY71" s="10">
        <v>34486.956040000012</v>
      </c>
      <c r="AZ71" s="10">
        <v>5921.5617599999969</v>
      </c>
      <c r="BA71" s="10">
        <v>3.39256</v>
      </c>
      <c r="BB71" s="10">
        <v>0.22322</v>
      </c>
      <c r="BC71" s="10">
        <v>1390.8330200000005</v>
      </c>
      <c r="BD71" s="10">
        <v>150.85284999999999</v>
      </c>
      <c r="BE71" s="10">
        <v>5683.2727600000007</v>
      </c>
      <c r="BF71" s="10">
        <v>733.5080099999999</v>
      </c>
      <c r="BG71" s="10">
        <v>2172.5565999999994</v>
      </c>
      <c r="BH71" s="10">
        <v>284.08120999999994</v>
      </c>
      <c r="BI71" s="10">
        <v>906.07045999999991</v>
      </c>
      <c r="BJ71" s="10">
        <v>2167.4169999999999</v>
      </c>
      <c r="BK71" s="10">
        <v>6400.0005799999963</v>
      </c>
      <c r="BL71" s="10">
        <v>17096.025189999982</v>
      </c>
      <c r="BM71" s="10">
        <v>17167.211379999986</v>
      </c>
      <c r="BN71" s="10">
        <v>7976.7878800000017</v>
      </c>
      <c r="BO71" s="10">
        <v>3601.1364999999978</v>
      </c>
      <c r="BP71" s="10">
        <v>2067.6681100000005</v>
      </c>
      <c r="BQ71" s="10">
        <v>61.367359999999998</v>
      </c>
      <c r="BR71" s="10">
        <v>39.43882</v>
      </c>
      <c r="BS71" s="10">
        <v>6883.5261000000019</v>
      </c>
      <c r="BT71" s="10">
        <v>9648.150319999997</v>
      </c>
      <c r="BU71" s="10">
        <v>9004.4124299999985</v>
      </c>
      <c r="BV71" s="10">
        <v>450539.38559000002</v>
      </c>
      <c r="BW71" s="10">
        <v>49142.102189999976</v>
      </c>
      <c r="BX71" s="10">
        <v>23462.37367999999</v>
      </c>
      <c r="BY71" s="10">
        <v>31071.431840000001</v>
      </c>
      <c r="BZ71" s="10">
        <v>2.4070500000000004</v>
      </c>
      <c r="CA71" s="10">
        <v>74857.63373999999</v>
      </c>
      <c r="CB71" s="10">
        <v>1161.7131399999998</v>
      </c>
      <c r="CC71" s="10">
        <v>77.680340000000015</v>
      </c>
      <c r="CD71" s="10">
        <v>56.19</v>
      </c>
      <c r="CE71" s="10">
        <v>57.095700000000008</v>
      </c>
      <c r="CF71" s="10">
        <v>7437.5937999999996</v>
      </c>
      <c r="CG71" s="10">
        <v>4181.2090400000006</v>
      </c>
      <c r="CH71" s="10">
        <v>54735.006609999895</v>
      </c>
      <c r="CI71" s="10">
        <v>97069.738939999763</v>
      </c>
      <c r="CJ71" s="10">
        <v>198.86034000000001</v>
      </c>
      <c r="CK71" s="10">
        <v>50900.032580000079</v>
      </c>
      <c r="CL71" s="10">
        <v>2390.87248</v>
      </c>
      <c r="CM71" s="10">
        <v>246.24221999999997</v>
      </c>
      <c r="CN71" s="10">
        <v>10719.147459999996</v>
      </c>
      <c r="CO71" s="10">
        <v>285.51337999999993</v>
      </c>
      <c r="CP71" s="10">
        <v>4.2036999999999995</v>
      </c>
      <c r="CQ71" s="10">
        <v>16.71039</v>
      </c>
      <c r="CR71" s="10">
        <v>15659.575690000014</v>
      </c>
      <c r="CS71" s="10">
        <v>1418.5282900000002</v>
      </c>
      <c r="CT71" s="10">
        <v>11823.185820000001</v>
      </c>
      <c r="CU71" s="10">
        <v>188.54909000000001</v>
      </c>
      <c r="CV71" s="10">
        <v>1263.1453100000001</v>
      </c>
      <c r="CW71" s="11">
        <v>4650333.9015600011</v>
      </c>
      <c r="CX71" s="13"/>
    </row>
    <row r="72" spans="1:102">
      <c r="A72" s="7">
        <v>2025</v>
      </c>
      <c r="B72">
        <v>4</v>
      </c>
      <c r="C72" s="9">
        <v>45931</v>
      </c>
      <c r="D72" s="12">
        <v>8462.1968799999995</v>
      </c>
      <c r="E72" s="12">
        <v>10387.28138</v>
      </c>
      <c r="F72" s="12">
        <v>24199.088300000003</v>
      </c>
      <c r="G72" s="12">
        <v>7389.1642399999982</v>
      </c>
      <c r="H72" s="12">
        <v>3178.7002100000004</v>
      </c>
      <c r="I72" s="12">
        <v>170607.01032000009</v>
      </c>
      <c r="J72" s="12">
        <v>3154.1758899999991</v>
      </c>
      <c r="K72" s="12">
        <v>221112.24645000044</v>
      </c>
      <c r="L72" s="12">
        <v>547763.42731000029</v>
      </c>
      <c r="M72" s="12">
        <v>5324.0335500000001</v>
      </c>
      <c r="N72" s="12">
        <v>7134.8110199999983</v>
      </c>
      <c r="O72" s="12">
        <v>4280.2805399999997</v>
      </c>
      <c r="P72" s="12">
        <v>526.92056000000002</v>
      </c>
      <c r="Q72" s="12">
        <v>265.75344000000001</v>
      </c>
      <c r="R72" s="12">
        <v>102401.36652999997</v>
      </c>
      <c r="S72" s="12">
        <v>1840.5013999999999</v>
      </c>
      <c r="T72" s="12">
        <v>66978.664370000042</v>
      </c>
      <c r="U72" s="12">
        <v>32860.485910000003</v>
      </c>
      <c r="V72" s="12">
        <v>19581.640200000005</v>
      </c>
      <c r="W72" s="12">
        <v>17552.450000000004</v>
      </c>
      <c r="X72" s="12">
        <v>47685.947850000019</v>
      </c>
      <c r="Y72" s="12">
        <v>7543.4160399999973</v>
      </c>
      <c r="Z72" s="12">
        <v>10289.992220000002</v>
      </c>
      <c r="AA72" s="12">
        <v>996.34749999999997</v>
      </c>
      <c r="AB72" s="12">
        <v>3423.14509</v>
      </c>
      <c r="AC72" s="12">
        <v>58808.442109999996</v>
      </c>
      <c r="AD72" s="12">
        <v>1389501.2037299997</v>
      </c>
      <c r="AE72" s="12">
        <v>13439.144650000002</v>
      </c>
      <c r="AF72" s="12">
        <v>20592.382189999993</v>
      </c>
      <c r="AG72" s="12">
        <v>36821.223860000006</v>
      </c>
      <c r="AH72" s="12">
        <v>5818.6306499999992</v>
      </c>
      <c r="AI72" s="12">
        <v>15030.557669999984</v>
      </c>
      <c r="AJ72" s="12">
        <v>65520.308399999958</v>
      </c>
      <c r="AK72" s="12">
        <v>23618.508089999978</v>
      </c>
      <c r="AL72" s="12">
        <v>6994.6130599999988</v>
      </c>
      <c r="AM72" s="12">
        <v>0</v>
      </c>
      <c r="AN72" s="12">
        <v>151.11502999999999</v>
      </c>
      <c r="AO72" s="12">
        <v>70747.008880000009</v>
      </c>
      <c r="AP72" s="12">
        <v>168486.88238</v>
      </c>
      <c r="AQ72" s="12">
        <v>9386.6593699999976</v>
      </c>
      <c r="AR72" s="12">
        <v>3478.7020899999998</v>
      </c>
      <c r="AS72" s="12">
        <v>3733.3753599999995</v>
      </c>
      <c r="AT72" s="12">
        <v>791.67797000000007</v>
      </c>
      <c r="AU72" s="12">
        <v>3069.0887199999993</v>
      </c>
      <c r="AV72" s="12">
        <v>0.68100000000000005</v>
      </c>
      <c r="AW72" s="12">
        <v>129.43852999999999</v>
      </c>
      <c r="AX72" s="12">
        <v>0.18930000000000002</v>
      </c>
      <c r="AY72" s="12">
        <v>32351.40659999998</v>
      </c>
      <c r="AZ72" s="12">
        <v>6485.8086799999992</v>
      </c>
      <c r="BA72" s="12">
        <v>3.0141900000000001</v>
      </c>
      <c r="BB72" s="12">
        <v>23.520769999999999</v>
      </c>
      <c r="BC72" s="12">
        <v>712.20042999999987</v>
      </c>
      <c r="BD72" s="12">
        <v>79.95317</v>
      </c>
      <c r="BE72" s="12">
        <v>5656.0799699999998</v>
      </c>
      <c r="BF72" s="12">
        <v>677.07843000000025</v>
      </c>
      <c r="BG72" s="12">
        <v>1117.9893</v>
      </c>
      <c r="BH72" s="12">
        <v>184.92442000000003</v>
      </c>
      <c r="BI72" s="12">
        <v>758.16725999999971</v>
      </c>
      <c r="BJ72" s="12">
        <v>2515.7142599999997</v>
      </c>
      <c r="BK72" s="12">
        <v>6230.4569599999968</v>
      </c>
      <c r="BL72" s="12">
        <v>20009.904990000021</v>
      </c>
      <c r="BM72" s="12">
        <v>19965.863989999991</v>
      </c>
      <c r="BN72" s="12">
        <v>6763.1571800000002</v>
      </c>
      <c r="BO72" s="12">
        <v>3830.4187800000022</v>
      </c>
      <c r="BP72" s="12">
        <v>1557.0905100000002</v>
      </c>
      <c r="BQ72" s="12">
        <v>11.09979</v>
      </c>
      <c r="BR72" s="12">
        <v>16.48452</v>
      </c>
      <c r="BS72" s="12">
        <v>6229.7617800000025</v>
      </c>
      <c r="BT72" s="12">
        <v>8284.0152600000001</v>
      </c>
      <c r="BU72" s="12">
        <v>13921.450859999995</v>
      </c>
      <c r="BV72" s="12">
        <v>472569.19221000012</v>
      </c>
      <c r="BW72" s="12">
        <v>49823.291430000027</v>
      </c>
      <c r="BX72" s="12">
        <v>23423.845209999992</v>
      </c>
      <c r="BY72" s="12">
        <v>26991.071830000004</v>
      </c>
      <c r="BZ72" s="12">
        <v>4.03932</v>
      </c>
      <c r="CA72" s="12">
        <v>75530.363359999988</v>
      </c>
      <c r="CB72" s="12">
        <v>1228.9066600000001</v>
      </c>
      <c r="CC72" s="12">
        <v>33.38006</v>
      </c>
      <c r="CD72" s="12">
        <v>129.72972000000001</v>
      </c>
      <c r="CE72" s="12">
        <v>169.02872999999997</v>
      </c>
      <c r="CF72" s="12">
        <v>6465.4433500000023</v>
      </c>
      <c r="CG72" s="12">
        <v>5341.9451700000018</v>
      </c>
      <c r="CH72" s="12">
        <v>52004.036669999965</v>
      </c>
      <c r="CI72" s="12">
        <v>81746.812110000086</v>
      </c>
      <c r="CJ72" s="12">
        <v>163.03973999999999</v>
      </c>
      <c r="CK72" s="12">
        <v>55453.743659999971</v>
      </c>
      <c r="CL72" s="12">
        <v>48811.449860000001</v>
      </c>
      <c r="CM72" s="12">
        <v>56.265999999999998</v>
      </c>
      <c r="CN72" s="12">
        <v>8711.5337699999945</v>
      </c>
      <c r="CO72" s="12">
        <v>81.292459999999991</v>
      </c>
      <c r="CP72" s="12">
        <v>3.4377700000000004</v>
      </c>
      <c r="CQ72" s="12">
        <v>3690.9618300000002</v>
      </c>
      <c r="CR72" s="12">
        <v>15937.727779999996</v>
      </c>
      <c r="CS72" s="12">
        <v>1469.8563900000006</v>
      </c>
      <c r="CT72" s="12">
        <v>9389.3807200000028</v>
      </c>
      <c r="CU72" s="12">
        <v>439.35452000000004</v>
      </c>
      <c r="CV72" s="12">
        <v>1036.3032099999998</v>
      </c>
      <c r="CW72" s="13">
        <v>4299149.8758799983</v>
      </c>
      <c r="CX72" s="13"/>
    </row>
    <row r="73" spans="1:102">
      <c r="A73" s="7">
        <v>2025</v>
      </c>
      <c r="B73">
        <v>4</v>
      </c>
      <c r="C73" s="8">
        <v>45962</v>
      </c>
      <c r="D73" s="10">
        <v>12050.49302</v>
      </c>
      <c r="E73" s="10">
        <v>10130.503980000001</v>
      </c>
      <c r="F73" s="10">
        <v>7708.211580000001</v>
      </c>
      <c r="G73" s="10">
        <v>7232.8463599999977</v>
      </c>
      <c r="H73" s="10">
        <v>3285.7760099999996</v>
      </c>
      <c r="I73" s="10">
        <v>192810.29653000002</v>
      </c>
      <c r="J73" s="10">
        <v>2642.0892299999991</v>
      </c>
      <c r="K73" s="10">
        <v>185002.37469000035</v>
      </c>
      <c r="L73" s="10">
        <v>592944.36344000057</v>
      </c>
      <c r="M73" s="10">
        <v>3721.814159999999</v>
      </c>
      <c r="N73" s="10">
        <v>5920.2078199999987</v>
      </c>
      <c r="O73" s="10">
        <v>5419.8211599999995</v>
      </c>
      <c r="P73" s="10">
        <v>291.46940000000001</v>
      </c>
      <c r="Q73" s="10">
        <v>185.63427999999996</v>
      </c>
      <c r="R73" s="10">
        <v>113820.50590000002</v>
      </c>
      <c r="S73" s="10">
        <v>776.31296999999995</v>
      </c>
      <c r="T73" s="10">
        <v>47564.74106</v>
      </c>
      <c r="U73" s="10">
        <v>26268.354919999991</v>
      </c>
      <c r="V73" s="10">
        <v>15337.592010000002</v>
      </c>
      <c r="W73" s="10">
        <v>15442.993609999998</v>
      </c>
      <c r="X73" s="10">
        <v>84200.517580000043</v>
      </c>
      <c r="Y73" s="10">
        <v>7498.0967700000001</v>
      </c>
      <c r="Z73" s="10">
        <v>9276.4198800000013</v>
      </c>
      <c r="AA73" s="10">
        <v>156.89273</v>
      </c>
      <c r="AB73" s="10">
        <v>2578.62824</v>
      </c>
      <c r="AC73" s="10">
        <v>45297.859790000002</v>
      </c>
      <c r="AD73" s="10">
        <v>1316741.8535499992</v>
      </c>
      <c r="AE73" s="10">
        <v>9552.6628499999933</v>
      </c>
      <c r="AF73" s="10">
        <v>13831.343909999998</v>
      </c>
      <c r="AG73" s="10">
        <v>41283.712979999982</v>
      </c>
      <c r="AH73" s="10">
        <v>5985.1378299999997</v>
      </c>
      <c r="AI73" s="10">
        <v>14625.671520000002</v>
      </c>
      <c r="AJ73" s="10">
        <v>62920.432890000004</v>
      </c>
      <c r="AK73" s="10">
        <v>21378.91958999999</v>
      </c>
      <c r="AL73" s="10">
        <v>7614.9175399999967</v>
      </c>
      <c r="AM73" s="10">
        <v>33.208100000000002</v>
      </c>
      <c r="AN73" s="10">
        <v>6.1626799999999999</v>
      </c>
      <c r="AO73" s="10">
        <v>56559.381909999945</v>
      </c>
      <c r="AP73" s="10">
        <v>139710.76509999976</v>
      </c>
      <c r="AQ73" s="10">
        <v>11557.429889999994</v>
      </c>
      <c r="AR73" s="10">
        <v>3950.5623900000005</v>
      </c>
      <c r="AS73" s="10">
        <v>4031.7312399999978</v>
      </c>
      <c r="AT73" s="10">
        <v>572.94580999999994</v>
      </c>
      <c r="AU73" s="10">
        <v>1760.0312100000008</v>
      </c>
      <c r="AV73" s="10">
        <v>31.794790000000003</v>
      </c>
      <c r="AW73" s="10">
        <v>171.61354999999998</v>
      </c>
      <c r="AX73" s="10">
        <v>5.8955200000000003</v>
      </c>
      <c r="AY73" s="10">
        <v>34305.220859999979</v>
      </c>
      <c r="AZ73" s="10">
        <v>5408.7618400000019</v>
      </c>
      <c r="BA73" s="10">
        <v>0</v>
      </c>
      <c r="BB73" s="10">
        <v>0</v>
      </c>
      <c r="BC73" s="10">
        <v>1132.7542299999998</v>
      </c>
      <c r="BD73" s="10">
        <v>25.69969</v>
      </c>
      <c r="BE73" s="10">
        <v>4531.3756100000028</v>
      </c>
      <c r="BF73" s="10">
        <v>543.07321999999999</v>
      </c>
      <c r="BG73" s="10">
        <v>1095.7362499999995</v>
      </c>
      <c r="BH73" s="10">
        <v>249.54823000000002</v>
      </c>
      <c r="BI73" s="10">
        <v>639.08216000000004</v>
      </c>
      <c r="BJ73" s="10">
        <v>1238.8424399999997</v>
      </c>
      <c r="BK73" s="10">
        <v>4142.9724600000018</v>
      </c>
      <c r="BL73" s="10">
        <v>17884.21311000003</v>
      </c>
      <c r="BM73" s="10">
        <v>20079.179740000054</v>
      </c>
      <c r="BN73" s="10">
        <v>7336.4053400000012</v>
      </c>
      <c r="BO73" s="10">
        <v>4015.1075599999986</v>
      </c>
      <c r="BP73" s="10">
        <v>2131.2663299999995</v>
      </c>
      <c r="BQ73" s="10">
        <v>97.299689999999998</v>
      </c>
      <c r="BR73" s="10">
        <v>19.556090000000001</v>
      </c>
      <c r="BS73" s="10">
        <v>6013.9537299999993</v>
      </c>
      <c r="BT73" s="10">
        <v>7866.6879800000015</v>
      </c>
      <c r="BU73" s="10">
        <v>10823.563220000002</v>
      </c>
      <c r="BV73" s="10">
        <v>349733.05780999997</v>
      </c>
      <c r="BW73" s="10">
        <v>53046.811610000048</v>
      </c>
      <c r="BX73" s="10">
        <v>20812.059849999991</v>
      </c>
      <c r="BY73" s="10">
        <v>32171.509450000027</v>
      </c>
      <c r="BZ73" s="10">
        <v>33.280259999999991</v>
      </c>
      <c r="CA73" s="10">
        <v>70900.993870000122</v>
      </c>
      <c r="CB73" s="10">
        <v>1576.54674</v>
      </c>
      <c r="CC73" s="10">
        <v>58.627540000000003</v>
      </c>
      <c r="CD73" s="10">
        <v>68.752719999999997</v>
      </c>
      <c r="CE73" s="10">
        <v>87.014449999999997</v>
      </c>
      <c r="CF73" s="10">
        <v>5568.5015900000035</v>
      </c>
      <c r="CG73" s="10">
        <v>4362.8025500000003</v>
      </c>
      <c r="CH73" s="10">
        <v>47973.378819999969</v>
      </c>
      <c r="CI73" s="10">
        <v>101647.32916000004</v>
      </c>
      <c r="CJ73" s="10">
        <v>41.16</v>
      </c>
      <c r="CK73" s="10">
        <v>55255.064890000045</v>
      </c>
      <c r="CL73" s="10">
        <v>1342.7533100000001</v>
      </c>
      <c r="CM73" s="10">
        <v>1180.36853</v>
      </c>
      <c r="CN73" s="10">
        <v>6064.3485299999975</v>
      </c>
      <c r="CO73" s="10">
        <v>30.416720000000005</v>
      </c>
      <c r="CP73" s="10">
        <v>14.505000000000001</v>
      </c>
      <c r="CQ73" s="10">
        <v>0</v>
      </c>
      <c r="CR73" s="10">
        <v>15826.116880000007</v>
      </c>
      <c r="CS73" s="10">
        <v>1901.4176799999996</v>
      </c>
      <c r="CT73" s="10">
        <v>8311.5139299999992</v>
      </c>
      <c r="CU73" s="10">
        <v>445.99905000000007</v>
      </c>
      <c r="CV73" s="10">
        <v>567.03906000000006</v>
      </c>
      <c r="CW73" s="11">
        <v>4018492.6617499995</v>
      </c>
      <c r="CX73" s="13"/>
    </row>
    <row r="74" spans="1:102">
      <c r="A74" s="7">
        <v>2025</v>
      </c>
      <c r="B74">
        <v>4</v>
      </c>
      <c r="C74" s="9">
        <v>45992</v>
      </c>
      <c r="D74" s="12">
        <v>12432.28673</v>
      </c>
      <c r="E74" s="12">
        <v>9897.8164299999989</v>
      </c>
      <c r="F74" s="12">
        <v>13005.778880000002</v>
      </c>
      <c r="G74" s="12">
        <v>8367.6874499999994</v>
      </c>
      <c r="H74" s="12">
        <v>4515.3147399999998</v>
      </c>
      <c r="I74" s="12">
        <v>185231.80613000022</v>
      </c>
      <c r="J74" s="12">
        <v>3585.5263699999987</v>
      </c>
      <c r="K74" s="12">
        <v>169454.06239000006</v>
      </c>
      <c r="L74" s="12">
        <v>524602.69403999974</v>
      </c>
      <c r="M74" s="12">
        <v>1600.8920000000001</v>
      </c>
      <c r="N74" s="12">
        <v>6774.792269999999</v>
      </c>
      <c r="O74" s="12">
        <v>5531.1411499999986</v>
      </c>
      <c r="P74" s="12">
        <v>114.62905000000001</v>
      </c>
      <c r="Q74" s="12">
        <v>222.49214000000001</v>
      </c>
      <c r="R74" s="12">
        <v>86642.487530000071</v>
      </c>
      <c r="S74" s="12">
        <v>572.51085000000012</v>
      </c>
      <c r="T74" s="12">
        <v>75320.629719999983</v>
      </c>
      <c r="U74" s="12">
        <v>29856.309600000019</v>
      </c>
      <c r="V74" s="12">
        <v>16744.591299999996</v>
      </c>
      <c r="W74" s="12">
        <v>18083.430190000003</v>
      </c>
      <c r="X74" s="12">
        <v>49534.29268999998</v>
      </c>
      <c r="Y74" s="12">
        <v>6447.1442400000005</v>
      </c>
      <c r="Z74" s="12">
        <v>11280.043220000001</v>
      </c>
      <c r="AA74" s="12">
        <v>286.37784999999997</v>
      </c>
      <c r="AB74" s="12">
        <v>4149.521200000001</v>
      </c>
      <c r="AC74" s="12">
        <v>79917.14496000002</v>
      </c>
      <c r="AD74" s="12">
        <v>1430491.5159099991</v>
      </c>
      <c r="AE74" s="12">
        <v>13462.600349999988</v>
      </c>
      <c r="AF74" s="12">
        <v>13917.338619999999</v>
      </c>
      <c r="AG74" s="12">
        <v>45294.880889999942</v>
      </c>
      <c r="AH74" s="12">
        <v>5744.3734699999977</v>
      </c>
      <c r="AI74" s="12">
        <v>16888.780420000006</v>
      </c>
      <c r="AJ74" s="12">
        <v>80099.539050000065</v>
      </c>
      <c r="AK74" s="12">
        <v>27707.766389999997</v>
      </c>
      <c r="AL74" s="12">
        <v>8507.9938699999984</v>
      </c>
      <c r="AM74" s="12">
        <v>718.57809999999995</v>
      </c>
      <c r="AN74" s="12">
        <v>30.316869999999998</v>
      </c>
      <c r="AO74" s="12">
        <v>51938.449589999975</v>
      </c>
      <c r="AP74" s="12">
        <v>125342.35646000002</v>
      </c>
      <c r="AQ74" s="12">
        <v>8035.3047599999991</v>
      </c>
      <c r="AR74" s="12">
        <v>2890.9464499999999</v>
      </c>
      <c r="AS74" s="12">
        <v>3693.4041299999972</v>
      </c>
      <c r="AT74" s="12">
        <v>611.92138999999997</v>
      </c>
      <c r="AU74" s="12">
        <v>2624.7116900000019</v>
      </c>
      <c r="AV74" s="12">
        <v>1.3378200000000002</v>
      </c>
      <c r="AW74" s="12">
        <v>60.414339999999996</v>
      </c>
      <c r="AX74" s="12">
        <v>0.14499999999999999</v>
      </c>
      <c r="AY74" s="12">
        <v>32708.007290000001</v>
      </c>
      <c r="AZ74" s="12">
        <v>7238.2810599999966</v>
      </c>
      <c r="BA74" s="12">
        <v>2.7635100000000001</v>
      </c>
      <c r="BB74" s="12">
        <v>3.39086</v>
      </c>
      <c r="BC74" s="12">
        <v>819.12561999999991</v>
      </c>
      <c r="BD74" s="12">
        <v>28.950320000000001</v>
      </c>
      <c r="BE74" s="12">
        <v>6106.025160000012</v>
      </c>
      <c r="BF74" s="12">
        <v>387.59347000000002</v>
      </c>
      <c r="BG74" s="12">
        <v>1116.5419399999996</v>
      </c>
      <c r="BH74" s="12">
        <v>214.08636999999999</v>
      </c>
      <c r="BI74" s="12">
        <v>795.75815999999975</v>
      </c>
      <c r="BJ74" s="12">
        <v>1918.7940900000001</v>
      </c>
      <c r="BK74" s="12">
        <v>7756.3563999999969</v>
      </c>
      <c r="BL74" s="12">
        <v>17577.829980000035</v>
      </c>
      <c r="BM74" s="12">
        <v>23124.275800000025</v>
      </c>
      <c r="BN74" s="12">
        <v>7259.2003299999951</v>
      </c>
      <c r="BO74" s="12">
        <v>4004.1264000000015</v>
      </c>
      <c r="BP74" s="12">
        <v>2137.2923800000003</v>
      </c>
      <c r="BQ74" s="12">
        <v>32.411430000000003</v>
      </c>
      <c r="BR74" s="12">
        <v>22.039020000000001</v>
      </c>
      <c r="BS74" s="12">
        <v>6125.0551699999969</v>
      </c>
      <c r="BT74" s="12">
        <v>9540.5087299999941</v>
      </c>
      <c r="BU74" s="12">
        <v>14353.682870000015</v>
      </c>
      <c r="BV74" s="12">
        <v>740469.62424999988</v>
      </c>
      <c r="BW74" s="12">
        <v>51700.071449999996</v>
      </c>
      <c r="BX74" s="12">
        <v>25303.372740000003</v>
      </c>
      <c r="BY74" s="12">
        <v>30640.944319999999</v>
      </c>
      <c r="BZ74" s="12">
        <v>19.430480000000003</v>
      </c>
      <c r="CA74" s="12">
        <v>85241.903560000035</v>
      </c>
      <c r="CB74" s="12">
        <v>1853.0144400000001</v>
      </c>
      <c r="CC74" s="12">
        <v>240.00574000000003</v>
      </c>
      <c r="CD74" s="12">
        <v>555.20402999999999</v>
      </c>
      <c r="CE74" s="12">
        <v>95.315989999999999</v>
      </c>
      <c r="CF74" s="12">
        <v>6183.2373400000006</v>
      </c>
      <c r="CG74" s="12">
        <v>4430.3179199999986</v>
      </c>
      <c r="CH74" s="12">
        <v>52307.076590000106</v>
      </c>
      <c r="CI74" s="12">
        <v>84031.747230000052</v>
      </c>
      <c r="CJ74" s="12">
        <v>269.74982</v>
      </c>
      <c r="CK74" s="12">
        <v>50935.43288</v>
      </c>
      <c r="CL74" s="12">
        <v>2215.8719599999999</v>
      </c>
      <c r="CM74" s="12">
        <v>60175.055390000001</v>
      </c>
      <c r="CN74" s="12">
        <v>9759.1665900000025</v>
      </c>
      <c r="CO74" s="12">
        <v>1129.097</v>
      </c>
      <c r="CP74" s="12">
        <v>2.8117800000000002</v>
      </c>
      <c r="CQ74" s="12">
        <v>1413.0756000000001</v>
      </c>
      <c r="CR74" s="12">
        <v>15329.929410000015</v>
      </c>
      <c r="CS74" s="12">
        <v>677.81289000000015</v>
      </c>
      <c r="CT74" s="12">
        <v>11906.300430000003</v>
      </c>
      <c r="CU74" s="12">
        <v>1453.703</v>
      </c>
      <c r="CV74" s="12">
        <v>1337.4890599999999</v>
      </c>
      <c r="CW74" s="13">
        <v>4545182.9369400004</v>
      </c>
      <c r="CX74" s="13"/>
    </row>
    <row r="75" spans="1:102">
      <c r="A75" s="7">
        <v>2026</v>
      </c>
      <c r="B75">
        <v>1</v>
      </c>
      <c r="C75" s="8">
        <v>46023</v>
      </c>
      <c r="D75" s="10">
        <v>15266.385169999998</v>
      </c>
      <c r="E75" s="10">
        <v>7581.3345999999992</v>
      </c>
      <c r="F75" s="10">
        <v>14538.101839999998</v>
      </c>
      <c r="G75" s="10">
        <v>4621.2942599999997</v>
      </c>
      <c r="H75" s="10">
        <v>1782.7061800000001</v>
      </c>
      <c r="I75" s="10">
        <v>186045.66903999998</v>
      </c>
      <c r="J75" s="10">
        <v>3350.3311599999997</v>
      </c>
      <c r="K75" s="10">
        <v>232619.01786999989</v>
      </c>
      <c r="L75" s="10">
        <v>631874.85632000072</v>
      </c>
      <c r="M75" s="10">
        <v>1386.9674199999999</v>
      </c>
      <c r="N75" s="10">
        <v>6257.6087500000031</v>
      </c>
      <c r="O75" s="10">
        <v>5880.0917800000016</v>
      </c>
      <c r="P75" s="10">
        <v>254.36971000000003</v>
      </c>
      <c r="Q75" s="10">
        <v>76.282939999999996</v>
      </c>
      <c r="R75" s="10">
        <v>96909.306369999962</v>
      </c>
      <c r="S75" s="10">
        <v>1164.26016</v>
      </c>
      <c r="T75" s="10">
        <v>57994.886350000001</v>
      </c>
      <c r="U75" s="10">
        <v>29104.861420000016</v>
      </c>
      <c r="V75" s="10">
        <v>12851.872620000006</v>
      </c>
      <c r="W75" s="10">
        <v>14219.107330000001</v>
      </c>
      <c r="X75" s="10">
        <v>65665.942640000023</v>
      </c>
      <c r="Y75" s="10">
        <v>6285.8663399999987</v>
      </c>
      <c r="Z75" s="10">
        <v>10252.93943</v>
      </c>
      <c r="AA75" s="10">
        <v>590.57503000000008</v>
      </c>
      <c r="AB75" s="10">
        <v>1999.3308600000003</v>
      </c>
      <c r="AC75" s="10">
        <v>31969.011579999995</v>
      </c>
      <c r="AD75" s="10">
        <v>1362189.9196699997</v>
      </c>
      <c r="AE75" s="10">
        <v>10370.456660000007</v>
      </c>
      <c r="AF75" s="10">
        <v>11667.867909999999</v>
      </c>
      <c r="AG75" s="10">
        <v>24957.207780000019</v>
      </c>
      <c r="AH75" s="10">
        <v>4047.4691500000013</v>
      </c>
      <c r="AI75" s="10">
        <v>10508.278469999999</v>
      </c>
      <c r="AJ75" s="10">
        <v>57257.186699999955</v>
      </c>
      <c r="AK75" s="10">
        <v>19340.846639999996</v>
      </c>
      <c r="AL75" s="10">
        <v>5592.2222800000009</v>
      </c>
      <c r="AM75" s="10">
        <v>0</v>
      </c>
      <c r="AN75" s="10">
        <v>6.8460400000000003</v>
      </c>
      <c r="AO75" s="10">
        <v>45260.212879999955</v>
      </c>
      <c r="AP75" s="10">
        <v>146268.15889999972</v>
      </c>
      <c r="AQ75" s="10">
        <v>4194.8683400000018</v>
      </c>
      <c r="AR75" s="10">
        <v>1863.6179800000002</v>
      </c>
      <c r="AS75" s="10">
        <v>2596.2782599999996</v>
      </c>
      <c r="AT75" s="10">
        <v>487.13664</v>
      </c>
      <c r="AU75" s="10">
        <v>1470.6610599999997</v>
      </c>
      <c r="AV75" s="10">
        <v>0.26755000000000001</v>
      </c>
      <c r="AW75" s="10">
        <v>149.02454000000003</v>
      </c>
      <c r="AX75" s="10">
        <v>15.466560000000001</v>
      </c>
      <c r="AY75" s="10">
        <v>25955.987550000009</v>
      </c>
      <c r="AZ75" s="10">
        <v>5120.2080699999997</v>
      </c>
      <c r="BA75" s="10">
        <v>2.7352099999999999</v>
      </c>
      <c r="BB75" s="10">
        <v>0</v>
      </c>
      <c r="BC75" s="10">
        <v>347.00127999999995</v>
      </c>
      <c r="BD75" s="10">
        <v>107.68767000000001</v>
      </c>
      <c r="BE75" s="10">
        <v>4281.8554400000048</v>
      </c>
      <c r="BF75" s="10">
        <v>559.48075000000017</v>
      </c>
      <c r="BG75" s="10">
        <v>1108.7085999999999</v>
      </c>
      <c r="BH75" s="10">
        <v>63.90934</v>
      </c>
      <c r="BI75" s="10">
        <v>693.90505999999971</v>
      </c>
      <c r="BJ75" s="10">
        <v>888.19275000000005</v>
      </c>
      <c r="BK75" s="10">
        <v>3476.1037499999979</v>
      </c>
      <c r="BL75" s="10">
        <v>15275.638849999999</v>
      </c>
      <c r="BM75" s="10">
        <v>13136.927099999986</v>
      </c>
      <c r="BN75" s="10">
        <v>5075.2225599999992</v>
      </c>
      <c r="BO75" s="10">
        <v>2741.3069300000002</v>
      </c>
      <c r="BP75" s="10">
        <v>2026.3645399999998</v>
      </c>
      <c r="BQ75" s="10">
        <v>4.70641</v>
      </c>
      <c r="BR75" s="10">
        <v>1.5611200000000001</v>
      </c>
      <c r="BS75" s="10">
        <v>5084.0178700000015</v>
      </c>
      <c r="BT75" s="10">
        <v>5211.9928700000019</v>
      </c>
      <c r="BU75" s="10">
        <v>10071.736529999996</v>
      </c>
      <c r="BV75" s="10">
        <v>706447.56460000039</v>
      </c>
      <c r="BW75" s="10">
        <v>4959.2408599999999</v>
      </c>
      <c r="BX75" s="10">
        <v>18605.010770000001</v>
      </c>
      <c r="BY75" s="10">
        <v>33025.525740000012</v>
      </c>
      <c r="BZ75" s="10">
        <v>1.2312199999999998</v>
      </c>
      <c r="CA75" s="10">
        <v>58239.957790000029</v>
      </c>
      <c r="CB75" s="10">
        <v>1647.7894699999997</v>
      </c>
      <c r="CC75" s="10">
        <v>1.5402100000000001</v>
      </c>
      <c r="CD75" s="10">
        <v>145.9905</v>
      </c>
      <c r="CE75" s="10">
        <v>62.322020000000002</v>
      </c>
      <c r="CF75" s="10">
        <v>4037.6411000000016</v>
      </c>
      <c r="CG75" s="10">
        <v>3557.8185199999994</v>
      </c>
      <c r="CH75" s="10">
        <v>53846.036539999986</v>
      </c>
      <c r="CI75" s="10">
        <v>64239.272320000091</v>
      </c>
      <c r="CJ75" s="10">
        <v>217.23766999999998</v>
      </c>
      <c r="CK75" s="10">
        <v>24048.27096000002</v>
      </c>
      <c r="CL75" s="10">
        <v>6659.1122999999998</v>
      </c>
      <c r="CM75" s="10">
        <v>48.520510000000002</v>
      </c>
      <c r="CN75" s="10">
        <v>6832.964030000001</v>
      </c>
      <c r="CO75" s="10">
        <v>588.49413000000004</v>
      </c>
      <c r="CP75" s="10">
        <v>14.54585</v>
      </c>
      <c r="CQ75" s="10">
        <v>0</v>
      </c>
      <c r="CR75" s="10">
        <v>11766.917730000003</v>
      </c>
      <c r="CS75" s="10">
        <v>1313.6331700000001</v>
      </c>
      <c r="CT75" s="10">
        <v>7600.4640999999974</v>
      </c>
      <c r="CU75" s="10">
        <v>209.27077000000003</v>
      </c>
      <c r="CV75" s="10">
        <v>515.09050000000002</v>
      </c>
      <c r="CW75" s="11">
        <v>4258653.6848100023</v>
      </c>
      <c r="CX75" s="13"/>
    </row>
    <row r="76" spans="1:102">
      <c r="A76" s="7">
        <v>2026</v>
      </c>
      <c r="B76">
        <v>1</v>
      </c>
      <c r="C76" s="23">
        <v>46054</v>
      </c>
      <c r="D76" s="21">
        <v>7162.1602699999994</v>
      </c>
      <c r="E76" s="21">
        <v>9232.6647399999983</v>
      </c>
      <c r="F76" s="21">
        <v>13196.446219999998</v>
      </c>
      <c r="G76" s="21">
        <v>5576.0131100000017</v>
      </c>
      <c r="H76" s="21">
        <v>3803.6044699999998</v>
      </c>
      <c r="I76" s="21">
        <v>218122.59837999998</v>
      </c>
      <c r="J76" s="21">
        <v>4182.7004499999994</v>
      </c>
      <c r="K76" s="21">
        <v>262444.58659000002</v>
      </c>
      <c r="L76" s="21">
        <v>415416.71308999916</v>
      </c>
      <c r="M76" s="21">
        <v>1713.65886</v>
      </c>
      <c r="N76" s="21">
        <v>4614.9223100000017</v>
      </c>
      <c r="O76" s="21">
        <v>4852.6249100000014</v>
      </c>
      <c r="P76" s="21">
        <v>224.25683000000001</v>
      </c>
      <c r="Q76" s="21">
        <v>250.74842000000001</v>
      </c>
      <c r="R76" s="21">
        <v>122016.39426</v>
      </c>
      <c r="S76" s="21">
        <v>832.64792</v>
      </c>
      <c r="T76" s="21">
        <v>59037.117169999961</v>
      </c>
      <c r="U76" s="21">
        <v>19648.366450000001</v>
      </c>
      <c r="V76" s="21">
        <v>15895.79689</v>
      </c>
      <c r="W76" s="21">
        <v>15614.556140000002</v>
      </c>
      <c r="X76" s="21">
        <v>66452.577970000028</v>
      </c>
      <c r="Y76" s="21">
        <v>8972.1692800000019</v>
      </c>
      <c r="Z76" s="21">
        <v>10004.371489999996</v>
      </c>
      <c r="AA76" s="21">
        <v>1155.15787</v>
      </c>
      <c r="AB76" s="21">
        <v>2986.2410599999998</v>
      </c>
      <c r="AC76" s="21">
        <v>78622.110020000007</v>
      </c>
      <c r="AD76" s="21">
        <v>1260797.27281</v>
      </c>
      <c r="AE76" s="21">
        <v>11064.794060000006</v>
      </c>
      <c r="AF76" s="21">
        <v>15469.887379999991</v>
      </c>
      <c r="AG76" s="21">
        <v>34715.956419999988</v>
      </c>
      <c r="AH76" s="21">
        <v>4117.0340399999995</v>
      </c>
      <c r="AI76" s="21">
        <v>13407.573520000009</v>
      </c>
      <c r="AJ76" s="21">
        <v>63200.271029999923</v>
      </c>
      <c r="AK76" s="21">
        <v>24843.702269999994</v>
      </c>
      <c r="AL76" s="21">
        <v>7610.0335400000022</v>
      </c>
      <c r="AM76" s="21">
        <v>0</v>
      </c>
      <c r="AN76" s="21">
        <v>34.854410000000001</v>
      </c>
      <c r="AO76" s="21">
        <v>39958.90664999999</v>
      </c>
      <c r="AP76" s="21">
        <v>125601.71765999983</v>
      </c>
      <c r="AQ76" s="21">
        <v>6629.1832999999979</v>
      </c>
      <c r="AR76" s="21">
        <v>3040.1241100000007</v>
      </c>
      <c r="AS76" s="21">
        <v>2970.6324200000008</v>
      </c>
      <c r="AT76" s="21">
        <v>364.23931000000005</v>
      </c>
      <c r="AU76" s="21">
        <v>2444.02378</v>
      </c>
      <c r="AV76" s="21">
        <v>1.83944</v>
      </c>
      <c r="AW76" s="21">
        <v>81.34872</v>
      </c>
      <c r="AX76" s="21">
        <v>0</v>
      </c>
      <c r="AY76" s="21">
        <v>27940.261269999974</v>
      </c>
      <c r="AZ76" s="21">
        <v>5815.9891999999991</v>
      </c>
      <c r="BA76" s="21">
        <v>0.1</v>
      </c>
      <c r="BB76" s="21">
        <v>1.0289099999999998</v>
      </c>
      <c r="BC76" s="21">
        <v>685.76681000000031</v>
      </c>
      <c r="BD76" s="21">
        <v>92.2286</v>
      </c>
      <c r="BE76" s="21">
        <v>3754.6522199999977</v>
      </c>
      <c r="BF76" s="21">
        <v>1190.3125599999998</v>
      </c>
      <c r="BG76" s="21">
        <v>1051.21354</v>
      </c>
      <c r="BH76" s="21">
        <v>27.229770000000002</v>
      </c>
      <c r="BI76" s="21">
        <v>433.12900999999994</v>
      </c>
      <c r="BJ76" s="21">
        <v>1748.9166699999998</v>
      </c>
      <c r="BK76" s="21">
        <v>3749.7025900000008</v>
      </c>
      <c r="BL76" s="21">
        <v>16092.802719999989</v>
      </c>
      <c r="BM76" s="21">
        <v>15988.200710000003</v>
      </c>
      <c r="BN76" s="21">
        <v>6508.8910500000002</v>
      </c>
      <c r="BO76" s="21">
        <v>2667.3183500000005</v>
      </c>
      <c r="BP76" s="21">
        <v>1554.7431600000004</v>
      </c>
      <c r="BQ76" s="21">
        <v>24.230629999999998</v>
      </c>
      <c r="BR76" s="21">
        <v>70.900569999999988</v>
      </c>
      <c r="BS76" s="21">
        <v>6281.3401299999996</v>
      </c>
      <c r="BT76" s="21">
        <v>7422.8614300000036</v>
      </c>
      <c r="BU76" s="21">
        <v>13227.531269999994</v>
      </c>
      <c r="BV76" s="21">
        <v>807289.0290699997</v>
      </c>
      <c r="BW76" s="21">
        <v>4705.31178</v>
      </c>
      <c r="BX76" s="21">
        <v>21258.961540000026</v>
      </c>
      <c r="BY76" s="21">
        <v>32968.352169999991</v>
      </c>
      <c r="BZ76" s="21">
        <v>0.95641999999999994</v>
      </c>
      <c r="CA76" s="21">
        <v>59647.812660000032</v>
      </c>
      <c r="CB76" s="21">
        <v>1435.34457</v>
      </c>
      <c r="CC76" s="21">
        <v>189.43752000000001</v>
      </c>
      <c r="CD76" s="21">
        <v>200.32632999999998</v>
      </c>
      <c r="CE76" s="21">
        <v>86.279539999999997</v>
      </c>
      <c r="CF76" s="21">
        <v>6246.7950799999999</v>
      </c>
      <c r="CG76" s="21">
        <v>3982.8901100000003</v>
      </c>
      <c r="CH76" s="21">
        <v>41077.737029999967</v>
      </c>
      <c r="CI76" s="21">
        <v>65171.978659999972</v>
      </c>
      <c r="CJ76" s="21">
        <v>333.77302000000003</v>
      </c>
      <c r="CK76" s="21">
        <v>42358.19578000006</v>
      </c>
      <c r="CL76" s="21">
        <v>3292.7810899999999</v>
      </c>
      <c r="CM76" s="21">
        <v>2535.7437400000003</v>
      </c>
      <c r="CN76" s="21">
        <v>7233.9005900000029</v>
      </c>
      <c r="CO76" s="21">
        <v>194.28973000000002</v>
      </c>
      <c r="CP76" s="21">
        <v>0.73697999999999997</v>
      </c>
      <c r="CQ76" s="21">
        <v>1706.4696899999999</v>
      </c>
      <c r="CR76" s="21">
        <v>12719.512600000002</v>
      </c>
      <c r="CS76" s="21">
        <v>1718.4484499999999</v>
      </c>
      <c r="CT76" s="21">
        <v>9664.3968199999999</v>
      </c>
      <c r="CU76" s="21">
        <v>196.96490999999997</v>
      </c>
      <c r="CV76" s="21">
        <v>660.8415</v>
      </c>
      <c r="CW76" s="22">
        <v>4211591.2185900006</v>
      </c>
      <c r="CX76" s="13"/>
    </row>
    <row r="77" spans="1:102">
      <c r="A77" s="7"/>
      <c r="C77" s="159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3"/>
      <c r="CX77" s="13"/>
    </row>
    <row r="78" spans="1:102">
      <c r="A78" s="7"/>
      <c r="C78" s="159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3"/>
      <c r="CX78" s="13"/>
    </row>
    <row r="79" spans="1:102">
      <c r="A79" s="7"/>
      <c r="C79" s="159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3"/>
      <c r="CX79" s="13"/>
    </row>
    <row r="80" spans="1:102">
      <c r="A80" s="7"/>
      <c r="C80" s="159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3"/>
      <c r="CX80" s="13"/>
    </row>
    <row r="81" spans="1:102">
      <c r="A81" s="7"/>
      <c r="C81" s="159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3"/>
      <c r="CX81" s="13"/>
    </row>
    <row r="82" spans="1:102">
      <c r="A82" s="7"/>
      <c r="C82" s="159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3"/>
      <c r="CX82" s="13"/>
    </row>
    <row r="83" spans="1:102">
      <c r="A83" s="7"/>
      <c r="C83" s="159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3"/>
      <c r="CX83" s="13"/>
    </row>
    <row r="84" spans="1:102">
      <c r="A84" s="7"/>
      <c r="C84" s="159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3"/>
      <c r="CX84" s="13"/>
    </row>
    <row r="85" spans="1:102">
      <c r="A85" s="7"/>
      <c r="C85" s="159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3"/>
      <c r="CX85" s="13"/>
    </row>
    <row r="86" spans="1:102">
      <c r="A86" s="7"/>
      <c r="C86" s="159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3"/>
      <c r="CX86" s="13"/>
    </row>
    <row r="87" spans="1:102">
      <c r="A87" s="7"/>
      <c r="C87" s="159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3"/>
      <c r="CX87" s="13"/>
    </row>
    <row r="88" spans="1:102">
      <c r="A88" s="7"/>
      <c r="C88" s="159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3"/>
      <c r="CX88" s="13"/>
    </row>
    <row r="92" spans="1:102" ht="78">
      <c r="B92" s="7"/>
      <c r="D92" s="6" t="s">
        <v>7</v>
      </c>
      <c r="E92" s="6" t="s">
        <v>8</v>
      </c>
      <c r="F92" s="6" t="s">
        <v>9</v>
      </c>
      <c r="G92" s="6" t="s">
        <v>10</v>
      </c>
      <c r="H92" s="6" t="s">
        <v>11</v>
      </c>
      <c r="I92" s="6" t="s">
        <v>12</v>
      </c>
      <c r="J92" s="6" t="s">
        <v>13</v>
      </c>
      <c r="K92" s="6" t="s">
        <v>14</v>
      </c>
      <c r="L92" s="6" t="s">
        <v>15</v>
      </c>
      <c r="M92" s="6" t="s">
        <v>16</v>
      </c>
      <c r="N92" s="6" t="s">
        <v>17</v>
      </c>
      <c r="O92" s="6" t="s">
        <v>18</v>
      </c>
      <c r="P92" s="6" t="s">
        <v>19</v>
      </c>
      <c r="Q92" s="6" t="s">
        <v>20</v>
      </c>
      <c r="R92" s="6" t="s">
        <v>21</v>
      </c>
      <c r="S92" s="6" t="s">
        <v>22</v>
      </c>
      <c r="T92" s="6" t="s">
        <v>23</v>
      </c>
      <c r="U92" s="6" t="s">
        <v>24</v>
      </c>
      <c r="V92" s="6" t="s">
        <v>25</v>
      </c>
      <c r="W92" s="6" t="s">
        <v>26</v>
      </c>
      <c r="X92" s="6" t="s">
        <v>27</v>
      </c>
      <c r="Y92" s="6" t="s">
        <v>28</v>
      </c>
      <c r="Z92" s="6" t="s">
        <v>29</v>
      </c>
      <c r="AA92" s="6" t="s">
        <v>30</v>
      </c>
      <c r="AB92" s="6" t="s">
        <v>31</v>
      </c>
      <c r="AC92" s="6" t="s">
        <v>32</v>
      </c>
      <c r="AD92" s="6" t="s">
        <v>33</v>
      </c>
      <c r="AE92" s="6" t="s">
        <v>34</v>
      </c>
      <c r="AF92" s="6" t="s">
        <v>35</v>
      </c>
      <c r="AG92" s="6" t="s">
        <v>36</v>
      </c>
      <c r="AH92" s="6" t="s">
        <v>37</v>
      </c>
      <c r="AI92" s="6" t="s">
        <v>38</v>
      </c>
      <c r="AJ92" s="6" t="s">
        <v>39</v>
      </c>
      <c r="AK92" s="6" t="s">
        <v>40</v>
      </c>
      <c r="AL92" s="6" t="s">
        <v>41</v>
      </c>
      <c r="AM92" s="6" t="s">
        <v>106</v>
      </c>
      <c r="AN92" s="6" t="s">
        <v>107</v>
      </c>
      <c r="AO92" s="6" t="s">
        <v>42</v>
      </c>
      <c r="AP92" s="6" t="s">
        <v>43</v>
      </c>
      <c r="AQ92" s="6" t="s">
        <v>44</v>
      </c>
      <c r="AR92" s="6" t="s">
        <v>45</v>
      </c>
      <c r="AS92" s="6" t="s">
        <v>46</v>
      </c>
      <c r="AT92" s="6" t="s">
        <v>47</v>
      </c>
      <c r="AU92" s="6" t="s">
        <v>48</v>
      </c>
      <c r="AV92" s="6" t="s">
        <v>108</v>
      </c>
      <c r="AW92" s="6" t="s">
        <v>49</v>
      </c>
      <c r="AX92" s="6" t="s">
        <v>50</v>
      </c>
      <c r="AY92" s="6" t="s">
        <v>51</v>
      </c>
      <c r="AZ92" s="6" t="s">
        <v>52</v>
      </c>
      <c r="BA92" s="6" t="s">
        <v>109</v>
      </c>
      <c r="BB92" s="6" t="s">
        <v>110</v>
      </c>
      <c r="BC92" s="6" t="s">
        <v>53</v>
      </c>
      <c r="BD92" s="6" t="s">
        <v>54</v>
      </c>
      <c r="BE92" s="6" t="s">
        <v>55</v>
      </c>
      <c r="BF92" s="6" t="s">
        <v>56</v>
      </c>
      <c r="BG92" s="6" t="s">
        <v>57</v>
      </c>
      <c r="BH92" s="6" t="s">
        <v>58</v>
      </c>
      <c r="BI92" s="6" t="s">
        <v>59</v>
      </c>
      <c r="BJ92" s="6" t="s">
        <v>60</v>
      </c>
      <c r="BK92" s="6" t="s">
        <v>61</v>
      </c>
      <c r="BL92" s="6" t="s">
        <v>62</v>
      </c>
      <c r="BM92" s="6" t="s">
        <v>63</v>
      </c>
      <c r="BN92" s="6" t="s">
        <v>64</v>
      </c>
      <c r="BO92" s="6" t="s">
        <v>65</v>
      </c>
      <c r="BP92" s="6" t="s">
        <v>66</v>
      </c>
      <c r="BQ92" s="6" t="s">
        <v>67</v>
      </c>
      <c r="BR92" s="6" t="s">
        <v>68</v>
      </c>
      <c r="BS92" s="6" t="s">
        <v>69</v>
      </c>
      <c r="BT92" s="6" t="s">
        <v>70</v>
      </c>
      <c r="BU92" s="6" t="s">
        <v>71</v>
      </c>
      <c r="BV92" s="6" t="s">
        <v>72</v>
      </c>
      <c r="BW92" s="6" t="s">
        <v>73</v>
      </c>
      <c r="BX92" s="6" t="s">
        <v>74</v>
      </c>
      <c r="BY92" s="6" t="s">
        <v>75</v>
      </c>
      <c r="BZ92" s="6" t="s">
        <v>76</v>
      </c>
      <c r="CA92" s="6" t="s">
        <v>77</v>
      </c>
      <c r="CB92" s="6" t="s">
        <v>78</v>
      </c>
      <c r="CC92" s="6" t="s">
        <v>79</v>
      </c>
      <c r="CD92" s="6" t="s">
        <v>111</v>
      </c>
      <c r="CE92" s="6" t="s">
        <v>80</v>
      </c>
      <c r="CF92" s="6" t="s">
        <v>81</v>
      </c>
      <c r="CG92" s="6" t="s">
        <v>82</v>
      </c>
      <c r="CH92" s="6" t="s">
        <v>83</v>
      </c>
      <c r="CI92" s="6" t="s">
        <v>84</v>
      </c>
      <c r="CJ92" s="6" t="s">
        <v>85</v>
      </c>
      <c r="CK92" s="6" t="s">
        <v>86</v>
      </c>
      <c r="CL92" s="6" t="s">
        <v>87</v>
      </c>
      <c r="CM92" s="6" t="s">
        <v>88</v>
      </c>
      <c r="CN92" s="6" t="s">
        <v>89</v>
      </c>
      <c r="CO92" s="6" t="s">
        <v>90</v>
      </c>
      <c r="CP92" s="6" t="s">
        <v>91</v>
      </c>
      <c r="CQ92" s="6" t="s">
        <v>92</v>
      </c>
      <c r="CR92" s="6" t="s">
        <v>93</v>
      </c>
      <c r="CS92" s="6" t="s">
        <v>94</v>
      </c>
      <c r="CT92" s="6" t="s">
        <v>95</v>
      </c>
      <c r="CU92" s="6" t="s">
        <v>96</v>
      </c>
      <c r="CV92" s="6" t="s">
        <v>97</v>
      </c>
      <c r="CW92" s="18" t="s">
        <v>6</v>
      </c>
    </row>
    <row r="93" spans="1:102">
      <c r="B93" s="141">
        <v>2020</v>
      </c>
      <c r="C93" t="s">
        <v>1</v>
      </c>
      <c r="D93" s="14">
        <f>SUM(D3:D5)</f>
        <v>32364.594129999998</v>
      </c>
      <c r="E93" s="14">
        <f>SUM(E3:E5)</f>
        <v>26160.503180000003</v>
      </c>
      <c r="F93" s="14">
        <f>SUM(F3:F5)</f>
        <v>26782.184499999999</v>
      </c>
      <c r="G93" s="14">
        <f>SUM(G3:G5)</f>
        <v>2319.8491199999999</v>
      </c>
      <c r="H93" s="14">
        <f>SUM(H3:H5)</f>
        <v>8785.4060800000007</v>
      </c>
      <c r="I93" s="14">
        <f>SUM(I3:I5)</f>
        <v>432903.14818000002</v>
      </c>
      <c r="J93" s="14">
        <f>SUM(J3:J5)</f>
        <v>6987.9860699999999</v>
      </c>
      <c r="K93" s="14">
        <f>SUM(K3:K5)</f>
        <v>344561.09100999997</v>
      </c>
      <c r="L93" s="14">
        <f>SUM(L3:L5)</f>
        <v>635763.43162999977</v>
      </c>
      <c r="M93" s="14">
        <f>SUM(M3:M5)</f>
        <v>1771.5780600000001</v>
      </c>
      <c r="N93" s="14">
        <f>SUM(N3:N5)</f>
        <v>13730.240250000003</v>
      </c>
      <c r="O93" s="14">
        <f>SUM(O3:O5)</f>
        <v>8859.2173199999997</v>
      </c>
      <c r="P93" s="14">
        <f>SUM(P3:P5)</f>
        <v>1396.2417</v>
      </c>
      <c r="Q93" s="14">
        <f>SUM(Q3:Q5)</f>
        <v>91.727159999999998</v>
      </c>
      <c r="R93" s="14">
        <f>SUM(R3:R5)</f>
        <v>132511.87115000002</v>
      </c>
      <c r="S93" s="14">
        <f>SUM(S3:S5)</f>
        <v>4957.6223799999998</v>
      </c>
      <c r="T93" s="14">
        <f>SUM(T3:T5)</f>
        <v>119866.94110999999</v>
      </c>
      <c r="U93" s="14">
        <f>SUM(U3:U5)</f>
        <v>27976.681899999996</v>
      </c>
      <c r="V93" s="14">
        <f>SUM(V3:V5)</f>
        <v>33256.290219999995</v>
      </c>
      <c r="W93" s="14">
        <f>SUM(W3:W5)</f>
        <v>24664.041570000001</v>
      </c>
      <c r="X93" s="14">
        <f>SUM(X3:X5)</f>
        <v>80766.466730000029</v>
      </c>
      <c r="Y93" s="14">
        <f>SUM(Y3:Y5)</f>
        <v>6403.1973199999993</v>
      </c>
      <c r="Z93" s="14">
        <f>SUM(Z3:Z5)</f>
        <v>8677.612479999998</v>
      </c>
      <c r="AA93" s="14">
        <f>SUM(AA3:AA5)</f>
        <v>3737.53307</v>
      </c>
      <c r="AB93" s="14">
        <f>SUM(AB3:AB5)</f>
        <v>3936.8308700000007</v>
      </c>
      <c r="AC93" s="14">
        <f>SUM(AC3:AC5)</f>
        <v>17403.040380000002</v>
      </c>
      <c r="AD93" s="14">
        <f>SUM(AD3:AD5)</f>
        <v>4477779.5700099999</v>
      </c>
      <c r="AE93" s="14">
        <f>SUM(AE3:AE5)</f>
        <v>23237.439440000002</v>
      </c>
      <c r="AF93" s="14">
        <f>SUM(AF3:AF5)</f>
        <v>23550.968570000005</v>
      </c>
      <c r="AG93" s="14">
        <f>SUM(AG3:AG5)</f>
        <v>78172.10086000002</v>
      </c>
      <c r="AH93" s="14">
        <f>SUM(AH3:AH5)</f>
        <v>8955.4355700000015</v>
      </c>
      <c r="AI93" s="14">
        <f>SUM(AI3:AI5)</f>
        <v>22703.462869999996</v>
      </c>
      <c r="AJ93" s="14">
        <f>SUM(AJ3:AJ5)</f>
        <v>111091.93171</v>
      </c>
      <c r="AK93" s="14">
        <f>SUM(AK3:AK5)</f>
        <v>38935.977920000005</v>
      </c>
      <c r="AL93" s="14">
        <f>SUM(AL3:AL5)</f>
        <v>13068.189899999998</v>
      </c>
      <c r="AM93" s="14">
        <f>SUM(AM3:AM5)</f>
        <v>46.902500000000003</v>
      </c>
      <c r="AN93" s="14">
        <f>SUM(AN3:AN5)</f>
        <v>70.535610000000005</v>
      </c>
      <c r="AO93" s="14">
        <f>SUM(AO3:AO5)</f>
        <v>97160.552679999964</v>
      </c>
      <c r="AP93" s="14">
        <f>SUM(AP3:AP5)</f>
        <v>332952.83603999997</v>
      </c>
      <c r="AQ93" s="14">
        <f>SUM(AQ3:AQ5)</f>
        <v>23192.60902</v>
      </c>
      <c r="AR93" s="14">
        <f>SUM(AR3:AR5)</f>
        <v>9223.7029899999998</v>
      </c>
      <c r="AS93" s="14">
        <f>SUM(AS3:AS5)</f>
        <v>11420.20076</v>
      </c>
      <c r="AT93" s="14">
        <f>SUM(AT3:AT5)</f>
        <v>1191.2942699999999</v>
      </c>
      <c r="AU93" s="14">
        <f>SUM(AU3:AU5)</f>
        <v>12537.034159999999</v>
      </c>
      <c r="AV93" s="14">
        <f>SUM(AV3:AV5)</f>
        <v>19.866790000000002</v>
      </c>
      <c r="AW93" s="14">
        <f>SUM(AW3:AW5)</f>
        <v>107.87407999999999</v>
      </c>
      <c r="AX93" s="14">
        <f>SUM(AX3:AX5)</f>
        <v>287.47487000000001</v>
      </c>
      <c r="AY93" s="14">
        <f>SUM(AY3:AY5)</f>
        <v>55055.57332999997</v>
      </c>
      <c r="AZ93" s="14">
        <f>SUM(AZ3:AZ5)</f>
        <v>9879.5841899999959</v>
      </c>
      <c r="BA93" s="14">
        <f>SUM(BA3:BA5)</f>
        <v>0</v>
      </c>
      <c r="BB93" s="14">
        <f>SUM(BB3:BB5)</f>
        <v>0</v>
      </c>
      <c r="BC93" s="14">
        <f>SUM(BC3:BC5)</f>
        <v>3743.0453199999997</v>
      </c>
      <c r="BD93" s="14">
        <f>SUM(BD3:BD5)</f>
        <v>212.73687000000001</v>
      </c>
      <c r="BE93" s="14">
        <f>SUM(BE3:BE5)</f>
        <v>12396.169519999996</v>
      </c>
      <c r="BF93" s="14">
        <f>SUM(BF3:BF5)</f>
        <v>2859.5925200000001</v>
      </c>
      <c r="BG93" s="14">
        <f>SUM(BG3:BG5)</f>
        <v>1742.46694</v>
      </c>
      <c r="BH93" s="14">
        <f>SUM(BH3:BH5)</f>
        <v>98.459980000000002</v>
      </c>
      <c r="BI93" s="14">
        <f>SUM(BI3:BI5)</f>
        <v>3283.1854999999996</v>
      </c>
      <c r="BJ93" s="14">
        <f>SUM(BJ3:BJ5)</f>
        <v>7857.9218600000004</v>
      </c>
      <c r="BK93" s="14">
        <f>SUM(BK3:BK5)</f>
        <v>12285.316089999995</v>
      </c>
      <c r="BL93" s="14">
        <f>SUM(BL3:BL5)</f>
        <v>36252.41240999999</v>
      </c>
      <c r="BM93" s="14">
        <f>SUM(BM3:BM5)</f>
        <v>55634.577470000004</v>
      </c>
      <c r="BN93" s="14">
        <f>SUM(BN3:BN5)</f>
        <v>22660.895930000006</v>
      </c>
      <c r="BO93" s="14">
        <f>SUM(BO3:BO5)</f>
        <v>5885.7037600000003</v>
      </c>
      <c r="BP93" s="14">
        <f>SUM(BP3:BP5)</f>
        <v>1079.02784</v>
      </c>
      <c r="BQ93" s="14">
        <f>SUM(BQ3:BQ5)</f>
        <v>184.48147</v>
      </c>
      <c r="BR93" s="14">
        <f>SUM(BR3:BR5)</f>
        <v>14.726420000000001</v>
      </c>
      <c r="BS93" s="14">
        <f>SUM(BS3:BS5)</f>
        <v>10243.547419999997</v>
      </c>
      <c r="BT93" s="14">
        <f>SUM(BT3:BT5)</f>
        <v>17850.161480000002</v>
      </c>
      <c r="BU93" s="14">
        <f>SUM(BU3:BU5)</f>
        <v>35047.670739999994</v>
      </c>
      <c r="BV93" s="14">
        <f>SUM(BV3:BV5)</f>
        <v>510996.83101999998</v>
      </c>
      <c r="BW93" s="14">
        <f>SUM(BW3:BW5)</f>
        <v>102540.05728000004</v>
      </c>
      <c r="BX93" s="14">
        <f>SUM(BX3:BX5)</f>
        <v>52133.473470000012</v>
      </c>
      <c r="BY93" s="14">
        <f>SUM(BY3:BY5)</f>
        <v>42733.861860000012</v>
      </c>
      <c r="BZ93" s="14">
        <f>SUM(BZ3:BZ5)</f>
        <v>87.743790000000004</v>
      </c>
      <c r="CA93" s="14">
        <f>SUM(CA3:CA5)</f>
        <v>68297.046059999993</v>
      </c>
      <c r="CB93" s="14">
        <f>SUM(CB3:CB5)</f>
        <v>1981.9445300000002</v>
      </c>
      <c r="CC93" s="14">
        <f>SUM(CC3:CC5)</f>
        <v>129.39188000000001</v>
      </c>
      <c r="CD93" s="14">
        <f>SUM(CD3:CD5)</f>
        <v>21.239750000000001</v>
      </c>
      <c r="CE93" s="14">
        <f>SUM(CE3:CE5)</f>
        <v>386.71481999999997</v>
      </c>
      <c r="CF93" s="14">
        <f>SUM(CF3:CF5)</f>
        <v>11389.727990000003</v>
      </c>
      <c r="CG93" s="14">
        <f>SUM(CG3:CG5)</f>
        <v>6161.6388999999999</v>
      </c>
      <c r="CH93" s="14">
        <f>SUM(CH3:CH5)</f>
        <v>93849.989550000057</v>
      </c>
      <c r="CI93" s="14">
        <f>SUM(CI3:CI5)</f>
        <v>118343.67671999999</v>
      </c>
      <c r="CJ93" s="14">
        <f>SUM(CJ3:CJ5)</f>
        <v>82.954999999999998</v>
      </c>
      <c r="CK93" s="14">
        <f>SUM(CK3:CK5)</f>
        <v>105198.0751000001</v>
      </c>
      <c r="CL93" s="14">
        <f>SUM(CL3:CL5)</f>
        <v>10551.632110000002</v>
      </c>
      <c r="CM93" s="14">
        <f>SUM(CM3:CM5)</f>
        <v>883.29347000000007</v>
      </c>
      <c r="CN93" s="14">
        <f>SUM(CN3:CN5)</f>
        <v>21757.07468999999</v>
      </c>
      <c r="CO93" s="14">
        <f>SUM(CO3:CO5)</f>
        <v>185.13998000000001</v>
      </c>
      <c r="CP93" s="14">
        <f>SUM(CP3:CP5)</f>
        <v>349.97927000000004</v>
      </c>
      <c r="CQ93" s="14">
        <f>SUM(CQ3:CQ5)</f>
        <v>830.27787000000001</v>
      </c>
      <c r="CR93" s="14">
        <f>SUM(CR3:CR5)</f>
        <v>30989.307420000005</v>
      </c>
      <c r="CS93" s="14">
        <f>SUM(CS3:CS5)</f>
        <v>4360.8551299999999</v>
      </c>
      <c r="CT93" s="14">
        <f>SUM(CT3:CT5)</f>
        <v>27921.995730000006</v>
      </c>
      <c r="CU93" s="14">
        <f>SUM(CU3:CU5)</f>
        <v>1606.6579500000003</v>
      </c>
      <c r="CV93" s="14">
        <f>SUM(CV3:CV5)</f>
        <v>1747.9164999999998</v>
      </c>
      <c r="CW93" s="14">
        <f>SUM(CW3:CW5)</f>
        <v>8802127.0430900007</v>
      </c>
    </row>
    <row r="94" spans="1:102">
      <c r="B94" s="141"/>
      <c r="C94" t="s">
        <v>2</v>
      </c>
      <c r="D94" s="14">
        <f>SUM(D6:D8)</f>
        <v>40739.156969999996</v>
      </c>
      <c r="E94" s="14">
        <f>SUM(E6:E8)</f>
        <v>26445.97134</v>
      </c>
      <c r="F94" s="14">
        <f>SUM(F6:F8)</f>
        <v>27300.231829999997</v>
      </c>
      <c r="G94" s="14">
        <f>SUM(G6:G8)</f>
        <v>3666.1692300000009</v>
      </c>
      <c r="H94" s="14">
        <f>SUM(H6:H8)</f>
        <v>8024.1634699999995</v>
      </c>
      <c r="I94" s="14">
        <f>SUM(I6:I8)</f>
        <v>355008.92411000002</v>
      </c>
      <c r="J94" s="14">
        <f>SUM(J6:J8)</f>
        <v>5180.4592999999995</v>
      </c>
      <c r="K94" s="14">
        <f>SUM(K6:K8)</f>
        <v>287712.09456000011</v>
      </c>
      <c r="L94" s="14">
        <f>SUM(L6:L8)</f>
        <v>494053.91244999983</v>
      </c>
      <c r="M94" s="14">
        <f>SUM(M6:M8)</f>
        <v>2374.8587200000002</v>
      </c>
      <c r="N94" s="14">
        <f>SUM(N6:N8)</f>
        <v>20520.79379</v>
      </c>
      <c r="O94" s="14">
        <f>SUM(O6:O8)</f>
        <v>7775.9147599999997</v>
      </c>
      <c r="P94" s="14">
        <f>SUM(P6:P8)</f>
        <v>1275.5625700000003</v>
      </c>
      <c r="Q94" s="14">
        <f>SUM(Q6:Q8)</f>
        <v>89.8322</v>
      </c>
      <c r="R94" s="14">
        <f>SUM(R6:R8)</f>
        <v>210342.88086999999</v>
      </c>
      <c r="S94" s="14">
        <f>SUM(S6:S8)</f>
        <v>7567.3483400000005</v>
      </c>
      <c r="T94" s="14">
        <f>SUM(T6:T8)</f>
        <v>95051.856229999976</v>
      </c>
      <c r="U94" s="14">
        <f>SUM(U6:U8)</f>
        <v>23447.746430000003</v>
      </c>
      <c r="V94" s="14">
        <f>SUM(V6:V8)</f>
        <v>39421.143689999997</v>
      </c>
      <c r="W94" s="14">
        <f>SUM(W6:W8)</f>
        <v>20436.698699999997</v>
      </c>
      <c r="X94" s="14">
        <f>SUM(X6:X8)</f>
        <v>95243.864400000049</v>
      </c>
      <c r="Y94" s="14">
        <f>SUM(Y6:Y8)</f>
        <v>6201.9808899999998</v>
      </c>
      <c r="Z94" s="14">
        <f>SUM(Z6:Z8)</f>
        <v>9075.8317000000006</v>
      </c>
      <c r="AA94" s="14">
        <f>SUM(AA6:AA8)</f>
        <v>4620.0011699999995</v>
      </c>
      <c r="AB94" s="14">
        <f>SUM(AB6:AB8)</f>
        <v>2418.7722399999993</v>
      </c>
      <c r="AC94" s="14">
        <f>SUM(AC6:AC8)</f>
        <v>16241.83743</v>
      </c>
      <c r="AD94" s="14">
        <f>SUM(AD6:AD8)</f>
        <v>2551522.2608699999</v>
      </c>
      <c r="AE94" s="14">
        <f>SUM(AE6:AE8)</f>
        <v>18798.092670000005</v>
      </c>
      <c r="AF94" s="14">
        <f>SUM(AF6:AF8)</f>
        <v>22761.69049999999</v>
      </c>
      <c r="AG94" s="14">
        <f>SUM(AG6:AG8)</f>
        <v>91645.933409999969</v>
      </c>
      <c r="AH94" s="14">
        <f>SUM(AH6:AH8)</f>
        <v>9255.3340399999997</v>
      </c>
      <c r="AI94" s="14">
        <f>SUM(AI6:AI8)</f>
        <v>15184.30034</v>
      </c>
      <c r="AJ94" s="14">
        <f>SUM(AJ6:AJ8)</f>
        <v>81445.013399999996</v>
      </c>
      <c r="AK94" s="14">
        <f>SUM(AK6:AK8)</f>
        <v>43952.128830000001</v>
      </c>
      <c r="AL94" s="14">
        <f>SUM(AL6:AL8)</f>
        <v>14559.398179999998</v>
      </c>
      <c r="AM94" s="14">
        <f>SUM(AM6:AM8)</f>
        <v>0</v>
      </c>
      <c r="AN94" s="14">
        <f>SUM(AN6:AN8)</f>
        <v>61.222739999999995</v>
      </c>
      <c r="AO94" s="14">
        <f>SUM(AO6:AO8)</f>
        <v>96997.54833000002</v>
      </c>
      <c r="AP94" s="14">
        <f>SUM(AP6:AP8)</f>
        <v>280046.98515999981</v>
      </c>
      <c r="AQ94" s="14">
        <f>SUM(AQ6:AQ8)</f>
        <v>12001.354670000004</v>
      </c>
      <c r="AR94" s="14">
        <f>SUM(AR6:AR8)</f>
        <v>3332.8344799999995</v>
      </c>
      <c r="AS94" s="14">
        <f>SUM(AS6:AS8)</f>
        <v>6252.9427299999988</v>
      </c>
      <c r="AT94" s="14">
        <f>SUM(AT6:AT8)</f>
        <v>531.07991000000004</v>
      </c>
      <c r="AU94" s="14">
        <f>SUM(AU6:AU8)</f>
        <v>7798.311349999999</v>
      </c>
      <c r="AV94" s="14">
        <f>SUM(AV6:AV8)</f>
        <v>8.0238499999999995</v>
      </c>
      <c r="AW94" s="14">
        <f>SUM(AW6:AW8)</f>
        <v>31.270170000000007</v>
      </c>
      <c r="AX94" s="14">
        <f>SUM(AX6:AX8)</f>
        <v>1660.42742</v>
      </c>
      <c r="AY94" s="14">
        <f>SUM(AY6:AY8)</f>
        <v>57022.269639999984</v>
      </c>
      <c r="AZ94" s="14">
        <f>SUM(AZ6:AZ8)</f>
        <v>3681.4032399999996</v>
      </c>
      <c r="BA94" s="14">
        <f>SUM(BA6:BA8)</f>
        <v>0</v>
      </c>
      <c r="BB94" s="14">
        <f>SUM(BB6:BB8)</f>
        <v>0.17080999999999999</v>
      </c>
      <c r="BC94" s="14">
        <f>SUM(BC6:BC8)</f>
        <v>493.34067000000005</v>
      </c>
      <c r="BD94" s="14">
        <f>SUM(BD6:BD8)</f>
        <v>116.35489</v>
      </c>
      <c r="BE94" s="14">
        <f>SUM(BE6:BE8)</f>
        <v>7574.9755999999998</v>
      </c>
      <c r="BF94" s="14">
        <f>SUM(BF6:BF8)</f>
        <v>1560.88303</v>
      </c>
      <c r="BG94" s="14">
        <f>SUM(BG6:BG8)</f>
        <v>1799.2742499999997</v>
      </c>
      <c r="BH94" s="14">
        <f>SUM(BH6:BH8)</f>
        <v>60.41845</v>
      </c>
      <c r="BI94" s="14">
        <f>SUM(BI6:BI8)</f>
        <v>1423.9155500000002</v>
      </c>
      <c r="BJ94" s="14">
        <f>SUM(BJ6:BJ8)</f>
        <v>5670.4141900000013</v>
      </c>
      <c r="BK94" s="14">
        <f>SUM(BK6:BK8)</f>
        <v>2044.0696899999998</v>
      </c>
      <c r="BL94" s="14">
        <f>SUM(BL6:BL8)</f>
        <v>15650.193799999994</v>
      </c>
      <c r="BM94" s="14">
        <f>SUM(BM6:BM8)</f>
        <v>23063.335999999996</v>
      </c>
      <c r="BN94" s="14">
        <f>SUM(BN6:BN8)</f>
        <v>22774.349429999995</v>
      </c>
      <c r="BO94" s="14">
        <f>SUM(BO6:BO8)</f>
        <v>2794.9649799999993</v>
      </c>
      <c r="BP94" s="14">
        <f>SUM(BP6:BP8)</f>
        <v>1193.2296999999999</v>
      </c>
      <c r="BQ94" s="14">
        <f>SUM(BQ6:BQ8)</f>
        <v>29.211419999999997</v>
      </c>
      <c r="BR94" s="14">
        <f>SUM(BR6:BR8)</f>
        <v>12.822800000000001</v>
      </c>
      <c r="BS94" s="14">
        <f>SUM(BS6:BS8)</f>
        <v>4883.86139</v>
      </c>
      <c r="BT94" s="14">
        <f>SUM(BT6:BT8)</f>
        <v>7928.3474300000016</v>
      </c>
      <c r="BU94" s="14">
        <f>SUM(BU6:BU8)</f>
        <v>28243.548439999995</v>
      </c>
      <c r="BV94" s="14">
        <f>SUM(BV6:BV8)</f>
        <v>598345.37592999998</v>
      </c>
      <c r="BW94" s="14">
        <f>SUM(BW6:BW8)</f>
        <v>112834.45685000005</v>
      </c>
      <c r="BX94" s="14">
        <f>SUM(BX6:BX8)</f>
        <v>17486.711679999997</v>
      </c>
      <c r="BY94" s="14">
        <f>SUM(BY6:BY8)</f>
        <v>24787.187049999997</v>
      </c>
      <c r="BZ94" s="14">
        <f>SUM(BZ6:BZ8)</f>
        <v>15.804589999999999</v>
      </c>
      <c r="CA94" s="14">
        <f>SUM(CA6:CA8)</f>
        <v>76932.421039999987</v>
      </c>
      <c r="CB94" s="14">
        <f>SUM(CB6:CB8)</f>
        <v>927.07309000000009</v>
      </c>
      <c r="CC94" s="14">
        <f>SUM(CC6:CC8)</f>
        <v>4.8952400000000003</v>
      </c>
      <c r="CD94" s="14">
        <f>SUM(CD6:CD8)</f>
        <v>0</v>
      </c>
      <c r="CE94" s="14">
        <f>SUM(CE6:CE8)</f>
        <v>53.271320000000003</v>
      </c>
      <c r="CF94" s="14">
        <f>SUM(CF6:CF8)</f>
        <v>8038.1600099999987</v>
      </c>
      <c r="CG94" s="14">
        <f>SUM(CG6:CG8)</f>
        <v>3544.2300200000004</v>
      </c>
      <c r="CH94" s="14">
        <f>SUM(CH6:CH8)</f>
        <v>50240.816370000037</v>
      </c>
      <c r="CI94" s="14">
        <f>SUM(CI6:CI8)</f>
        <v>87631.818039999998</v>
      </c>
      <c r="CJ94" s="14">
        <f>SUM(CJ6:CJ8)</f>
        <v>258.27620000000002</v>
      </c>
      <c r="CK94" s="14">
        <f>SUM(CK6:CK8)</f>
        <v>54038.17243000005</v>
      </c>
      <c r="CL94" s="14">
        <f>SUM(CL6:CL8)</f>
        <v>4398.8539499999997</v>
      </c>
      <c r="CM94" s="14">
        <f>SUM(CM6:CM8)</f>
        <v>259.85176000000001</v>
      </c>
      <c r="CN94" s="14">
        <f>SUM(CN6:CN8)</f>
        <v>20644.516060000002</v>
      </c>
      <c r="CO94" s="14">
        <f>SUM(CO6:CO8)</f>
        <v>641.51497999999992</v>
      </c>
      <c r="CP94" s="14">
        <f>SUM(CP6:CP8)</f>
        <v>29.835270000000001</v>
      </c>
      <c r="CQ94" s="14">
        <f>SUM(CQ6:CQ8)</f>
        <v>5408.6899299999995</v>
      </c>
      <c r="CR94" s="14">
        <f>SUM(CR6:CR8)</f>
        <v>17103.104909999995</v>
      </c>
      <c r="CS94" s="14">
        <f>SUM(CS6:CS8)</f>
        <v>2639.8757299999997</v>
      </c>
      <c r="CT94" s="14">
        <f>SUM(CT6:CT8)</f>
        <v>30647.293129999998</v>
      </c>
      <c r="CU94" s="14">
        <f>SUM(CU6:CU8)</f>
        <v>1068.6990000000001</v>
      </c>
      <c r="CV94" s="14">
        <f>SUM(CV6:CV8)</f>
        <v>805.98719999999992</v>
      </c>
      <c r="CW94" s="14">
        <f>SUM(CW6:CW8)</f>
        <v>6374892.4076200016</v>
      </c>
    </row>
    <row r="95" spans="1:102">
      <c r="B95" s="141"/>
      <c r="C95" t="s">
        <v>3</v>
      </c>
      <c r="D95" s="14">
        <f>SUM(D9:D11)</f>
        <v>28098.664629999999</v>
      </c>
      <c r="E95" s="14">
        <f>SUM(E9:E11)</f>
        <v>29200.773590000001</v>
      </c>
      <c r="F95" s="14">
        <f>SUM(F9:F11)</f>
        <v>36626.916079999995</v>
      </c>
      <c r="G95" s="14">
        <f>SUM(G9:G11)</f>
        <v>3653.8095300000004</v>
      </c>
      <c r="H95" s="14">
        <f>SUM(H9:H11)</f>
        <v>8672.1872799999983</v>
      </c>
      <c r="I95" s="14">
        <f>SUM(I9:I11)</f>
        <v>309482.59567000007</v>
      </c>
      <c r="J95" s="14">
        <f>SUM(J9:J11)</f>
        <v>5127.1556899999996</v>
      </c>
      <c r="K95" s="14">
        <f>SUM(K9:K11)</f>
        <v>257624.00311000002</v>
      </c>
      <c r="L95" s="14">
        <f>SUM(L9:L11)</f>
        <v>689961.66528000007</v>
      </c>
      <c r="M95" s="14">
        <f>SUM(M9:M11)</f>
        <v>791.40305999999987</v>
      </c>
      <c r="N95" s="14">
        <f>SUM(N9:N11)</f>
        <v>25882.251359999998</v>
      </c>
      <c r="O95" s="14">
        <f>SUM(O9:O11)</f>
        <v>6241.2470299999986</v>
      </c>
      <c r="P95" s="14">
        <f>SUM(P9:P11)</f>
        <v>1921.4013</v>
      </c>
      <c r="Q95" s="14">
        <f>SUM(Q9:Q11)</f>
        <v>84.294139999999999</v>
      </c>
      <c r="R95" s="14">
        <f>SUM(R9:R11)</f>
        <v>128941.90854000003</v>
      </c>
      <c r="S95" s="14">
        <f>SUM(S9:S11)</f>
        <v>11721.502179999999</v>
      </c>
      <c r="T95" s="14">
        <f>SUM(T9:T11)</f>
        <v>140580.26036999995</v>
      </c>
      <c r="U95" s="14">
        <f>SUM(U9:U11)</f>
        <v>29994.502630000003</v>
      </c>
      <c r="V95" s="14">
        <f>SUM(V9:V11)</f>
        <v>44522.982949999991</v>
      </c>
      <c r="W95" s="14">
        <f>SUM(W9:W11)</f>
        <v>27303.357550000001</v>
      </c>
      <c r="X95" s="14">
        <f>SUM(X9:X11)</f>
        <v>105938.96188999995</v>
      </c>
      <c r="Y95" s="14">
        <f>SUM(Y9:Y11)</f>
        <v>8460.1234399999994</v>
      </c>
      <c r="Z95" s="14">
        <f>SUM(Z9:Z11)</f>
        <v>8375.2224900000001</v>
      </c>
      <c r="AA95" s="14">
        <f>SUM(AA9:AA11)</f>
        <v>3297.8656899999996</v>
      </c>
      <c r="AB95" s="14">
        <f>SUM(AB9:AB11)</f>
        <v>4748.7814699999999</v>
      </c>
      <c r="AC95" s="14">
        <f>SUM(AC9:AC11)</f>
        <v>26825.706389999999</v>
      </c>
      <c r="AD95" s="14">
        <f>SUM(AD9:AD11)</f>
        <v>2971894.7009800002</v>
      </c>
      <c r="AE95" s="14">
        <f>SUM(AE9:AE11)</f>
        <v>17313.147810000002</v>
      </c>
      <c r="AF95" s="14">
        <f>SUM(AF9:AF11)</f>
        <v>22894.7274</v>
      </c>
      <c r="AG95" s="14">
        <f>SUM(AG9:AG11)</f>
        <v>99740.635829999985</v>
      </c>
      <c r="AH95" s="14">
        <f>SUM(AH9:AH11)</f>
        <v>15714.600340000001</v>
      </c>
      <c r="AI95" s="14">
        <f>SUM(AI9:AI11)</f>
        <v>22313.953110000009</v>
      </c>
      <c r="AJ95" s="14">
        <f>SUM(AJ9:AJ11)</f>
        <v>110163.1443800001</v>
      </c>
      <c r="AK95" s="14">
        <f>SUM(AK9:AK11)</f>
        <v>49831.571760000006</v>
      </c>
      <c r="AL95" s="14">
        <f>SUM(AL9:AL11)</f>
        <v>12701.22609</v>
      </c>
      <c r="AM95" s="14">
        <f>SUM(AM9:AM11)</f>
        <v>5.3581099999999999</v>
      </c>
      <c r="AN95" s="14">
        <f>SUM(AN9:AN11)</f>
        <v>78.433759999999992</v>
      </c>
      <c r="AO95" s="14">
        <f>SUM(AO9:AO11)</f>
        <v>127407.07359999997</v>
      </c>
      <c r="AP95" s="14">
        <f>SUM(AP9:AP11)</f>
        <v>346384.77599000011</v>
      </c>
      <c r="AQ95" s="14">
        <f>SUM(AQ9:AQ11)</f>
        <v>24908.05012</v>
      </c>
      <c r="AR95" s="14">
        <f>SUM(AR9:AR11)</f>
        <v>6905.604339999999</v>
      </c>
      <c r="AS95" s="14">
        <f>SUM(AS9:AS11)</f>
        <v>11064.383169999997</v>
      </c>
      <c r="AT95" s="14">
        <f>SUM(AT9:AT11)</f>
        <v>1492.8913699999998</v>
      </c>
      <c r="AU95" s="14">
        <f>SUM(AU9:AU11)</f>
        <v>10611.15164</v>
      </c>
      <c r="AV95" s="14">
        <f>SUM(AV9:AV11)</f>
        <v>27.077439999999999</v>
      </c>
      <c r="AW95" s="14">
        <f>SUM(AW9:AW11)</f>
        <v>88.776780000000002</v>
      </c>
      <c r="AX95" s="14">
        <f>SUM(AX9:AX11)</f>
        <v>616.73616000000004</v>
      </c>
      <c r="AY95" s="14">
        <f>SUM(AY9:AY11)</f>
        <v>63137.244760000001</v>
      </c>
      <c r="AZ95" s="14">
        <f>SUM(AZ9:AZ11)</f>
        <v>6584.284279999998</v>
      </c>
      <c r="BA95" s="14">
        <f>SUM(BA9:BA11)</f>
        <v>0</v>
      </c>
      <c r="BB95" s="14">
        <f>SUM(BB9:BB11)</f>
        <v>2.9002499999999998</v>
      </c>
      <c r="BC95" s="14">
        <f>SUM(BC9:BC11)</f>
        <v>1427.0863100000004</v>
      </c>
      <c r="BD95" s="14">
        <f>SUM(BD9:BD11)</f>
        <v>261.59797000000003</v>
      </c>
      <c r="BE95" s="14">
        <f>SUM(BE9:BE11)</f>
        <v>11505.394619999999</v>
      </c>
      <c r="BF95" s="14">
        <f>SUM(BF9:BF11)</f>
        <v>2944.2728900000006</v>
      </c>
      <c r="BG95" s="14">
        <f>SUM(BG9:BG11)</f>
        <v>3306.7085999999999</v>
      </c>
      <c r="BH95" s="14">
        <f>SUM(BH9:BH11)</f>
        <v>254.03777000000002</v>
      </c>
      <c r="BI95" s="14">
        <f>SUM(BI9:BI11)</f>
        <v>2406.6910799999996</v>
      </c>
      <c r="BJ95" s="14">
        <f>SUM(BJ9:BJ11)</f>
        <v>7388.9768600000007</v>
      </c>
      <c r="BK95" s="14">
        <f>SUM(BK9:BK11)</f>
        <v>11561.036380000001</v>
      </c>
      <c r="BL95" s="14">
        <f>SUM(BL9:BL11)</f>
        <v>32102.928270000008</v>
      </c>
      <c r="BM95" s="14">
        <f>SUM(BM9:BM11)</f>
        <v>49982.536719999996</v>
      </c>
      <c r="BN95" s="14">
        <f>SUM(BN9:BN11)</f>
        <v>28044.139150000006</v>
      </c>
      <c r="BO95" s="14">
        <f>SUM(BO9:BO11)</f>
        <v>4734.5687399999988</v>
      </c>
      <c r="BP95" s="14">
        <f>SUM(BP9:BP11)</f>
        <v>1373.04357</v>
      </c>
      <c r="BQ95" s="14">
        <f>SUM(BQ9:BQ11)</f>
        <v>132.28404</v>
      </c>
      <c r="BR95" s="14">
        <f>SUM(BR9:BR11)</f>
        <v>15.200569999999999</v>
      </c>
      <c r="BS95" s="14">
        <f>SUM(BS9:BS11)</f>
        <v>11017.398440000001</v>
      </c>
      <c r="BT95" s="14">
        <f>SUM(BT9:BT11)</f>
        <v>18397.653039999997</v>
      </c>
      <c r="BU95" s="14">
        <f>SUM(BU9:BU11)</f>
        <v>33640.233639999999</v>
      </c>
      <c r="BV95" s="14">
        <f>SUM(BV9:BV11)</f>
        <v>877024.41594999982</v>
      </c>
      <c r="BW95" s="14">
        <f>SUM(BW9:BW11)</f>
        <v>115722.36924999999</v>
      </c>
      <c r="BX95" s="14">
        <f>SUM(BX9:BX11)</f>
        <v>31264.94425</v>
      </c>
      <c r="BY95" s="14">
        <f>SUM(BY9:BY11)</f>
        <v>39887.59582000001</v>
      </c>
      <c r="BZ95" s="14">
        <f>SUM(BZ9:BZ11)</f>
        <v>20.71482</v>
      </c>
      <c r="CA95" s="14">
        <f>SUM(CA9:CA11)</f>
        <v>80694.841789999991</v>
      </c>
      <c r="CB95" s="14">
        <f>SUM(CB9:CB11)</f>
        <v>2538.5549799999999</v>
      </c>
      <c r="CC95" s="14">
        <f>SUM(CC9:CC11)</f>
        <v>69.471759999999989</v>
      </c>
      <c r="CD95" s="14">
        <f>SUM(CD9:CD11)</f>
        <v>26.730170000000001</v>
      </c>
      <c r="CE95" s="14">
        <f>SUM(CE9:CE11)</f>
        <v>413.65254999999996</v>
      </c>
      <c r="CF95" s="14">
        <f>SUM(CF9:CF11)</f>
        <v>15576.79766</v>
      </c>
      <c r="CG95" s="14">
        <f>SUM(CG9:CG11)</f>
        <v>7667.9889299999977</v>
      </c>
      <c r="CH95" s="14">
        <f>SUM(CH9:CH11)</f>
        <v>94647.725040000019</v>
      </c>
      <c r="CI95" s="14">
        <f>SUM(CI9:CI11)</f>
        <v>142699.67515999996</v>
      </c>
      <c r="CJ95" s="14">
        <f>SUM(CJ9:CJ11)</f>
        <v>242.04718</v>
      </c>
      <c r="CK95" s="14">
        <f>SUM(CK9:CK11)</f>
        <v>93641.480820000012</v>
      </c>
      <c r="CL95" s="14">
        <f>SUM(CL9:CL11)</f>
        <v>7858.3669300000001</v>
      </c>
      <c r="CM95" s="14">
        <f>SUM(CM9:CM11)</f>
        <v>484.45500000000004</v>
      </c>
      <c r="CN95" s="14">
        <f>SUM(CN9:CN11)</f>
        <v>21707.791230000003</v>
      </c>
      <c r="CO95" s="14">
        <f>SUM(CO9:CO11)</f>
        <v>327.67115999999999</v>
      </c>
      <c r="CP95" s="14">
        <f>SUM(CP9:CP11)</f>
        <v>18.34909</v>
      </c>
      <c r="CQ95" s="14">
        <f>SUM(CQ9:CQ11)</f>
        <v>28.956799999999998</v>
      </c>
      <c r="CR95" s="14">
        <f>SUM(CR9:CR11)</f>
        <v>26773.436419999998</v>
      </c>
      <c r="CS95" s="14">
        <f>SUM(CS9:CS11)</f>
        <v>3545.1405899999995</v>
      </c>
      <c r="CT95" s="14">
        <f>SUM(CT9:CT11)</f>
        <v>29099.717550000001</v>
      </c>
      <c r="CU95" s="14">
        <f>SUM(CU9:CU11)</f>
        <v>817.71107999999992</v>
      </c>
      <c r="CV95" s="14">
        <f>SUM(CV9:CV11)</f>
        <v>2370.2611400000001</v>
      </c>
      <c r="CW95" s="14">
        <f>SUM(CW9:CW11)</f>
        <v>7681628.6445900016</v>
      </c>
    </row>
    <row r="96" spans="1:102">
      <c r="B96" s="141"/>
      <c r="C96" t="s">
        <v>4</v>
      </c>
      <c r="D96" s="14">
        <f>SUM(D12:D14)</f>
        <v>50366.248169999999</v>
      </c>
      <c r="E96" s="14">
        <f>SUM(E12:E14)</f>
        <v>44571.201260000009</v>
      </c>
      <c r="F96" s="14">
        <f>SUM(F12:F14)</f>
        <v>35619.742859999998</v>
      </c>
      <c r="G96" s="14">
        <f>SUM(G12:G14)</f>
        <v>7076.5873800000018</v>
      </c>
      <c r="H96" s="14">
        <f>SUM(H12:H14)</f>
        <v>9318.4678999999996</v>
      </c>
      <c r="I96" s="14">
        <f>SUM(I12:I14)</f>
        <v>333938.63594000001</v>
      </c>
      <c r="J96" s="14">
        <f>SUM(J12:J14)</f>
        <v>6776.9149899999993</v>
      </c>
      <c r="K96" s="14">
        <f>SUM(K12:K14)</f>
        <v>394376.00254000025</v>
      </c>
      <c r="L96" s="14">
        <f>SUM(L12:L14)</f>
        <v>717683.36452999967</v>
      </c>
      <c r="M96" s="14">
        <f>SUM(M12:M14)</f>
        <v>201.54917</v>
      </c>
      <c r="N96" s="14">
        <f>SUM(N12:N14)</f>
        <v>17971.119289999999</v>
      </c>
      <c r="O96" s="14">
        <f>SUM(O12:O14)</f>
        <v>10373.768080000002</v>
      </c>
      <c r="P96" s="14">
        <f>SUM(P12:P14)</f>
        <v>1651.15663</v>
      </c>
      <c r="Q96" s="14">
        <f>SUM(Q12:Q14)</f>
        <v>170.74433999999999</v>
      </c>
      <c r="R96" s="14">
        <f>SUM(R12:R14)</f>
        <v>127036.72771000001</v>
      </c>
      <c r="S96" s="14">
        <f>SUM(S12:S14)</f>
        <v>8345.7583200000008</v>
      </c>
      <c r="T96" s="14">
        <f>SUM(T12:T14)</f>
        <v>150654.50943000003</v>
      </c>
      <c r="U96" s="14">
        <f>SUM(U12:U14)</f>
        <v>28494.315169999987</v>
      </c>
      <c r="V96" s="14">
        <f>SUM(V12:V14)</f>
        <v>37991.959889999998</v>
      </c>
      <c r="W96" s="14">
        <f>SUM(W12:W14)</f>
        <v>25733.950169999996</v>
      </c>
      <c r="X96" s="14">
        <f>SUM(X12:X14)</f>
        <v>101251.18425000002</v>
      </c>
      <c r="Y96" s="14">
        <f>SUM(Y12:Y14)</f>
        <v>10914.107340000002</v>
      </c>
      <c r="Z96" s="14">
        <f>SUM(Z12:Z14)</f>
        <v>8014.2946400000019</v>
      </c>
      <c r="AA96" s="14">
        <f>SUM(AA12:AA14)</f>
        <v>6341.7786799999994</v>
      </c>
      <c r="AB96" s="14">
        <f>SUM(AB12:AB14)</f>
        <v>4627.1294600000001</v>
      </c>
      <c r="AC96" s="14">
        <f>SUM(AC12:AC14)</f>
        <v>24709.694140000003</v>
      </c>
      <c r="AD96" s="14">
        <f>SUM(AD12:AD14)</f>
        <v>2933700.3604700007</v>
      </c>
      <c r="AE96" s="14">
        <f>SUM(AE12:AE14)</f>
        <v>26274.178029999999</v>
      </c>
      <c r="AF96" s="14">
        <f>SUM(AF12:AF14)</f>
        <v>28508.667089999995</v>
      </c>
      <c r="AG96" s="14">
        <f>SUM(AG12:AG14)</f>
        <v>91947.296109999996</v>
      </c>
      <c r="AH96" s="14">
        <f>SUM(AH12:AH14)</f>
        <v>13353.45204</v>
      </c>
      <c r="AI96" s="14">
        <f>SUM(AI12:AI14)</f>
        <v>23417.619499999997</v>
      </c>
      <c r="AJ96" s="14">
        <f>SUM(AJ12:AJ14)</f>
        <v>120608.62522999996</v>
      </c>
      <c r="AK96" s="14">
        <f>SUM(AK12:AK14)</f>
        <v>38877.005499999985</v>
      </c>
      <c r="AL96" s="14">
        <f>SUM(AL12:AL14)</f>
        <v>12730.373670000001</v>
      </c>
      <c r="AM96" s="14">
        <f>SUM(AM12:AM14)</f>
        <v>1.17527</v>
      </c>
      <c r="AN96" s="14">
        <f>SUM(AN12:AN14)</f>
        <v>93.898979999999995</v>
      </c>
      <c r="AO96" s="14">
        <f>SUM(AO12:AO14)</f>
        <v>121499.93935</v>
      </c>
      <c r="AP96" s="14">
        <f>SUM(AP12:AP14)</f>
        <v>363426.35098999989</v>
      </c>
      <c r="AQ96" s="14">
        <f>SUM(AQ12:AQ14)</f>
        <v>26052.438190000001</v>
      </c>
      <c r="AR96" s="14">
        <f>SUM(AR12:AR14)</f>
        <v>9549.7441099999996</v>
      </c>
      <c r="AS96" s="14">
        <f>SUM(AS12:AS14)</f>
        <v>12216.639429999997</v>
      </c>
      <c r="AT96" s="14">
        <f>SUM(AT12:AT14)</f>
        <v>1795.4200500000002</v>
      </c>
      <c r="AU96" s="14">
        <f>SUM(AU12:AU14)</f>
        <v>13111.508990000002</v>
      </c>
      <c r="AV96" s="14">
        <f>SUM(AV12:AV14)</f>
        <v>20.755120000000002</v>
      </c>
      <c r="AW96" s="14">
        <f>SUM(AW12:AW14)</f>
        <v>140.88749000000001</v>
      </c>
      <c r="AX96" s="14">
        <f>SUM(AX12:AX14)</f>
        <v>462.42100999999997</v>
      </c>
      <c r="AY96" s="14">
        <f>SUM(AY12:AY14)</f>
        <v>68610.17598</v>
      </c>
      <c r="AZ96" s="14">
        <f>SUM(AZ12:AZ14)</f>
        <v>7278.3871200000012</v>
      </c>
      <c r="BA96" s="14">
        <f>SUM(BA12:BA14)</f>
        <v>1.4259999999999999</v>
      </c>
      <c r="BB96" s="14">
        <f>SUM(BB12:BB14)</f>
        <v>0.69520000000000004</v>
      </c>
      <c r="BC96" s="14">
        <f>SUM(BC12:BC14)</f>
        <v>2583.5739200000003</v>
      </c>
      <c r="BD96" s="14">
        <f>SUM(BD12:BD14)</f>
        <v>275.95433000000003</v>
      </c>
      <c r="BE96" s="14">
        <f>SUM(BE12:BE14)</f>
        <v>13450.794119999999</v>
      </c>
      <c r="BF96" s="14">
        <f>SUM(BF12:BF14)</f>
        <v>2026.7351699999999</v>
      </c>
      <c r="BG96" s="14">
        <f>SUM(BG12:BG14)</f>
        <v>4181.3212399999993</v>
      </c>
      <c r="BH96" s="14">
        <f>SUM(BH12:BH14)</f>
        <v>204.87870000000001</v>
      </c>
      <c r="BI96" s="14">
        <f>SUM(BI12:BI14)</f>
        <v>3465.0281999999997</v>
      </c>
      <c r="BJ96" s="14">
        <f>SUM(BJ12:BJ14)</f>
        <v>8213.7250200000017</v>
      </c>
      <c r="BK96" s="14">
        <f>SUM(BK12:BK14)</f>
        <v>12422.796950000004</v>
      </c>
      <c r="BL96" s="14">
        <f>SUM(BL12:BL14)</f>
        <v>44553.566119999989</v>
      </c>
      <c r="BM96" s="14">
        <f>SUM(BM12:BM14)</f>
        <v>68841.912130000055</v>
      </c>
      <c r="BN96" s="14">
        <f>SUM(BN12:BN14)</f>
        <v>21416.271260000001</v>
      </c>
      <c r="BO96" s="14">
        <f>SUM(BO12:BO14)</f>
        <v>5995.7163099999998</v>
      </c>
      <c r="BP96" s="14">
        <f>SUM(BP12:BP14)</f>
        <v>1927.7786999999996</v>
      </c>
      <c r="BQ96" s="14">
        <f>SUM(BQ12:BQ14)</f>
        <v>137.87357</v>
      </c>
      <c r="BR96" s="14">
        <f>SUM(BR12:BR14)</f>
        <v>50.378700000000002</v>
      </c>
      <c r="BS96" s="14">
        <f>SUM(BS12:BS14)</f>
        <v>13075.122629999998</v>
      </c>
      <c r="BT96" s="14">
        <f>SUM(BT12:BT14)</f>
        <v>21284.94152</v>
      </c>
      <c r="BU96" s="14">
        <f>SUM(BU12:BU14)</f>
        <v>38583.976200000005</v>
      </c>
      <c r="BV96" s="14">
        <f>SUM(BV12:BV14)</f>
        <v>1008597.1607600001</v>
      </c>
      <c r="BW96" s="14">
        <f>SUM(BW12:BW14)</f>
        <v>146947.91023000001</v>
      </c>
      <c r="BX96" s="14">
        <f>SUM(BX12:BX14)</f>
        <v>39400.043819999984</v>
      </c>
      <c r="BY96" s="14">
        <f>SUM(BY12:BY14)</f>
        <v>48156.566430000006</v>
      </c>
      <c r="BZ96" s="14">
        <f>SUM(BZ12:BZ14)</f>
        <v>36.603680000000004</v>
      </c>
      <c r="CA96" s="14">
        <f>SUM(CA12:CA14)</f>
        <v>94560.005260000005</v>
      </c>
      <c r="CB96" s="14">
        <f>SUM(CB12:CB14)</f>
        <v>1365.1733899999999</v>
      </c>
      <c r="CC96" s="14">
        <f>SUM(CC12:CC14)</f>
        <v>85.71014000000001</v>
      </c>
      <c r="CD96" s="14">
        <f>SUM(CD12:CD14)</f>
        <v>23.172989999999999</v>
      </c>
      <c r="CE96" s="14">
        <f>SUM(CE12:CE14)</f>
        <v>347.66412000000003</v>
      </c>
      <c r="CF96" s="14">
        <f>SUM(CF12:CF14)</f>
        <v>17333.534520000001</v>
      </c>
      <c r="CG96" s="14">
        <f>SUM(CG12:CG14)</f>
        <v>8733.6982000000025</v>
      </c>
      <c r="CH96" s="14">
        <f>SUM(CH12:CH14)</f>
        <v>119269.79993999995</v>
      </c>
      <c r="CI96" s="14">
        <f>SUM(CI12:CI14)</f>
        <v>163349.86497</v>
      </c>
      <c r="CJ96" s="14">
        <f>SUM(CJ12:CJ14)</f>
        <v>319.24061</v>
      </c>
      <c r="CK96" s="14">
        <f>SUM(CK12:CK14)</f>
        <v>103214.68906999999</v>
      </c>
      <c r="CL96" s="14">
        <f>SUM(CL12:CL14)</f>
        <v>4542.9992099999999</v>
      </c>
      <c r="CM96" s="14">
        <f>SUM(CM12:CM14)</f>
        <v>1508.4262399999998</v>
      </c>
      <c r="CN96" s="14">
        <f>SUM(CN12:CN14)</f>
        <v>23030.141459999995</v>
      </c>
      <c r="CO96" s="14">
        <f>SUM(CO12:CO14)</f>
        <v>212.35828000000004</v>
      </c>
      <c r="CP96" s="14">
        <f>SUM(CP12:CP14)</f>
        <v>234.42771999999999</v>
      </c>
      <c r="CQ96" s="14">
        <f>SUM(CQ12:CQ14)</f>
        <v>2946.8527199999999</v>
      </c>
      <c r="CR96" s="14">
        <f>SUM(CR12:CR14)</f>
        <v>30100.993029999991</v>
      </c>
      <c r="CS96" s="14">
        <f>SUM(CS12:CS14)</f>
        <v>5384.1774300000006</v>
      </c>
      <c r="CT96" s="14">
        <f>SUM(CT12:CT14)</f>
        <v>33544.013779999994</v>
      </c>
      <c r="CU96" s="14">
        <f>SUM(CU12:CU14)</f>
        <v>626.56448</v>
      </c>
      <c r="CV96" s="14">
        <f>SUM(CV12:CV14)</f>
        <v>2708.0739199999998</v>
      </c>
      <c r="CW96" s="14">
        <f>SUM(CW12:CW14)</f>
        <v>8197162.5643899981</v>
      </c>
    </row>
    <row r="97" spans="2:101">
      <c r="B97" s="140">
        <v>2021</v>
      </c>
      <c r="C97" t="s">
        <v>1</v>
      </c>
      <c r="D97" s="14">
        <f>SUM(D15:D17)</f>
        <v>58416.018680000008</v>
      </c>
      <c r="E97" s="14">
        <f>SUM(E15:E17)</f>
        <v>54265.64198</v>
      </c>
      <c r="F97" s="14">
        <f>SUM(F15:F17)</f>
        <v>27188.764589999999</v>
      </c>
      <c r="G97" s="14">
        <f>SUM(G15:G17)</f>
        <v>6207.339579999998</v>
      </c>
      <c r="H97" s="14">
        <f>SUM(H15:H17)</f>
        <v>11070.81041</v>
      </c>
      <c r="I97" s="14">
        <f>SUM(I15:I17)</f>
        <v>489326.82978000015</v>
      </c>
      <c r="J97" s="14">
        <f>SUM(J15:J17)</f>
        <v>6647.733009999999</v>
      </c>
      <c r="K97" s="14">
        <f>SUM(K15:K17)</f>
        <v>346631.95845000027</v>
      </c>
      <c r="L97" s="14">
        <f>SUM(L15:L17)</f>
        <v>801679.95913999982</v>
      </c>
      <c r="M97" s="14">
        <f>SUM(M15:M17)</f>
        <v>1236.1614199999999</v>
      </c>
      <c r="N97" s="14">
        <f>SUM(N15:N17)</f>
        <v>15397.383160000003</v>
      </c>
      <c r="O97" s="14">
        <f>SUM(O15:O17)</f>
        <v>9937.8328199999996</v>
      </c>
      <c r="P97" s="14">
        <f>SUM(P15:P17)</f>
        <v>1540.1680399999996</v>
      </c>
      <c r="Q97" s="14">
        <f>SUM(Q15:Q17)</f>
        <v>114.23403999999999</v>
      </c>
      <c r="R97" s="14">
        <f>SUM(R15:R17)</f>
        <v>137072.39719999998</v>
      </c>
      <c r="S97" s="14">
        <f>SUM(S15:S17)</f>
        <v>3869.4193600000003</v>
      </c>
      <c r="T97" s="14">
        <f>SUM(T15:T17)</f>
        <v>126496.08748999998</v>
      </c>
      <c r="U97" s="14">
        <f>SUM(U15:U17)</f>
        <v>27021.941299999999</v>
      </c>
      <c r="V97" s="14">
        <f>SUM(V15:V17)</f>
        <v>38204.558519999991</v>
      </c>
      <c r="W97" s="14">
        <f>SUM(W15:W17)</f>
        <v>27111.568020000002</v>
      </c>
      <c r="X97" s="14">
        <f>SUM(X15:X17)</f>
        <v>100026.12636000001</v>
      </c>
      <c r="Y97" s="14">
        <f>SUM(Y15:Y17)</f>
        <v>8974.3425800000005</v>
      </c>
      <c r="Z97" s="14">
        <f>SUM(Z15:Z17)</f>
        <v>9803.4322200000006</v>
      </c>
      <c r="AA97" s="14">
        <f>SUM(AA15:AA17)</f>
        <v>5853.124060000001</v>
      </c>
      <c r="AB97" s="14">
        <f>SUM(AB15:AB17)</f>
        <v>4820.4691999999995</v>
      </c>
      <c r="AC97" s="14">
        <f>SUM(AC15:AC17)</f>
        <v>42416.259579999991</v>
      </c>
      <c r="AD97" s="14">
        <f>SUM(AD15:AD17)</f>
        <v>3834706.2492900006</v>
      </c>
      <c r="AE97" s="14">
        <f>SUM(AE15:AE17)</f>
        <v>22690.665780000003</v>
      </c>
      <c r="AF97" s="14">
        <f>SUM(AF15:AF17)</f>
        <v>27321.263200000001</v>
      </c>
      <c r="AG97" s="14">
        <f>SUM(AG15:AG17)</f>
        <v>86093.96441999996</v>
      </c>
      <c r="AH97" s="14">
        <f>SUM(AH15:AH17)</f>
        <v>13523.36866</v>
      </c>
      <c r="AI97" s="14">
        <f>SUM(AI15:AI17)</f>
        <v>22508.157840000003</v>
      </c>
      <c r="AJ97" s="14">
        <f>SUM(AJ15:AJ17)</f>
        <v>108947.68904</v>
      </c>
      <c r="AK97" s="14">
        <f>SUM(AK15:AK17)</f>
        <v>43212.00023000002</v>
      </c>
      <c r="AL97" s="14">
        <f>SUM(AL15:AL17)</f>
        <v>13174.445919999995</v>
      </c>
      <c r="AM97" s="14">
        <f>SUM(AM15:AM17)</f>
        <v>0</v>
      </c>
      <c r="AN97" s="14">
        <f>SUM(AN15:AN17)</f>
        <v>39.324689999999997</v>
      </c>
      <c r="AO97" s="14">
        <f>SUM(AO15:AO17)</f>
        <v>114411.06891000006</v>
      </c>
      <c r="AP97" s="14">
        <f>SUM(AP15:AP17)</f>
        <v>439944.28599</v>
      </c>
      <c r="AQ97" s="14">
        <f>SUM(AQ15:AQ17)</f>
        <v>23037.163309999993</v>
      </c>
      <c r="AR97" s="14">
        <f>SUM(AR15:AR17)</f>
        <v>13376.977069999999</v>
      </c>
      <c r="AS97" s="14">
        <f>SUM(AS15:AS17)</f>
        <v>10752.000609999999</v>
      </c>
      <c r="AT97" s="14">
        <f>SUM(AT15:AT17)</f>
        <v>1156.3606199999999</v>
      </c>
      <c r="AU97" s="14">
        <f>SUM(AU15:AU17)</f>
        <v>14546.154589999998</v>
      </c>
      <c r="AV97" s="14">
        <f>SUM(AV15:AV17)</f>
        <v>12.33545</v>
      </c>
      <c r="AW97" s="14">
        <f>SUM(AW15:AW17)</f>
        <v>170.66979000000001</v>
      </c>
      <c r="AX97" s="14">
        <f>SUM(AX15:AX17)</f>
        <v>183.84465</v>
      </c>
      <c r="AY97" s="14">
        <f>SUM(AY15:AY17)</f>
        <v>62189.575160000008</v>
      </c>
      <c r="AZ97" s="14">
        <f>SUM(AZ15:AZ17)</f>
        <v>6425.2473099999988</v>
      </c>
      <c r="BA97" s="14">
        <f>SUM(BA15:BA17)</f>
        <v>0</v>
      </c>
      <c r="BB97" s="14">
        <f>SUM(BB15:BB17)</f>
        <v>0.69335999999999998</v>
      </c>
      <c r="BC97" s="14">
        <f>SUM(BC15:BC17)</f>
        <v>3358.2680400000008</v>
      </c>
      <c r="BD97" s="14">
        <f>SUM(BD15:BD17)</f>
        <v>583.33397000000014</v>
      </c>
      <c r="BE97" s="14">
        <f>SUM(BE15:BE17)</f>
        <v>12491.568430000003</v>
      </c>
      <c r="BF97" s="14">
        <f>SUM(BF15:BF17)</f>
        <v>2096.1111000000005</v>
      </c>
      <c r="BG97" s="14">
        <f>SUM(BG15:BG17)</f>
        <v>3332.2857800000002</v>
      </c>
      <c r="BH97" s="14">
        <f>SUM(BH15:BH17)</f>
        <v>319.25072999999998</v>
      </c>
      <c r="BI97" s="14">
        <f>SUM(BI15:BI17)</f>
        <v>3228.1164699999999</v>
      </c>
      <c r="BJ97" s="14">
        <f>SUM(BJ15:BJ17)</f>
        <v>8440.8370100000011</v>
      </c>
      <c r="BK97" s="14">
        <f>SUM(BK15:BK17)</f>
        <v>9867.252319999996</v>
      </c>
      <c r="BL97" s="14">
        <f>SUM(BL15:BL17)</f>
        <v>42452.462820000001</v>
      </c>
      <c r="BM97" s="14">
        <f>SUM(BM15:BM17)</f>
        <v>59533.046810000014</v>
      </c>
      <c r="BN97" s="14">
        <f>SUM(BN15:BN17)</f>
        <v>21978.39633</v>
      </c>
      <c r="BO97" s="14">
        <f>SUM(BO15:BO17)</f>
        <v>5739.9033999999992</v>
      </c>
      <c r="BP97" s="14">
        <f>SUM(BP15:BP17)</f>
        <v>1811.6805399999998</v>
      </c>
      <c r="BQ97" s="14">
        <f>SUM(BQ15:BQ17)</f>
        <v>56.120170000000002</v>
      </c>
      <c r="BR97" s="14">
        <f>SUM(BR15:BR17)</f>
        <v>10.26544</v>
      </c>
      <c r="BS97" s="14">
        <f>SUM(BS15:BS17)</f>
        <v>12773.592059999999</v>
      </c>
      <c r="BT97" s="14">
        <f>SUM(BT15:BT17)</f>
        <v>17975.923289999995</v>
      </c>
      <c r="BU97" s="14">
        <f>SUM(BU15:BU17)</f>
        <v>36487.613700000016</v>
      </c>
      <c r="BV97" s="14">
        <f>SUM(BV15:BV17)</f>
        <v>731781.4188699997</v>
      </c>
      <c r="BW97" s="14">
        <f>SUM(BW15:BW17)</f>
        <v>103612.79965</v>
      </c>
      <c r="BX97" s="14">
        <f>SUM(BX15:BX17)</f>
        <v>43749.709640000001</v>
      </c>
      <c r="BY97" s="14">
        <f>SUM(BY15:BY17)</f>
        <v>61235.598009999987</v>
      </c>
      <c r="BZ97" s="14">
        <f>SUM(BZ15:BZ17)</f>
        <v>6.7742300000000002</v>
      </c>
      <c r="CA97" s="14">
        <f>SUM(CA15:CA17)</f>
        <v>106121.94454</v>
      </c>
      <c r="CB97" s="14">
        <f>SUM(CB15:CB17)</f>
        <v>1663.7888499999999</v>
      </c>
      <c r="CC97" s="14">
        <f>SUM(CC15:CC17)</f>
        <v>92.178089999999997</v>
      </c>
      <c r="CD97" s="14">
        <f>SUM(CD15:CD17)</f>
        <v>23.674659999999999</v>
      </c>
      <c r="CE97" s="14">
        <f>SUM(CE15:CE17)</f>
        <v>252.13042000000002</v>
      </c>
      <c r="CF97" s="14">
        <f>SUM(CF15:CF17)</f>
        <v>16418.927650000005</v>
      </c>
      <c r="CG97" s="14">
        <f>SUM(CG15:CG17)</f>
        <v>10174.16157</v>
      </c>
      <c r="CH97" s="14">
        <f>SUM(CH15:CH17)</f>
        <v>98708.773729999928</v>
      </c>
      <c r="CI97" s="14">
        <f>SUM(CI15:CI17)</f>
        <v>133924.83535000001</v>
      </c>
      <c r="CJ97" s="14">
        <f>SUM(CJ15:CJ17)</f>
        <v>137.10327999999998</v>
      </c>
      <c r="CK97" s="14">
        <f>SUM(CK15:CK17)</f>
        <v>63446.398369999981</v>
      </c>
      <c r="CL97" s="14">
        <f>SUM(CL15:CL17)</f>
        <v>5389.0425700000005</v>
      </c>
      <c r="CM97" s="14">
        <f>SUM(CM15:CM17)</f>
        <v>970.83725000000004</v>
      </c>
      <c r="CN97" s="14">
        <f>SUM(CN15:CN17)</f>
        <v>21255.365359999993</v>
      </c>
      <c r="CO97" s="14">
        <f>SUM(CO15:CO17)</f>
        <v>464.43696999999997</v>
      </c>
      <c r="CP97" s="14">
        <f>SUM(CP15:CP17)</f>
        <v>3.2292000000000001</v>
      </c>
      <c r="CQ97" s="14">
        <f>SUM(CQ15:CQ17)</f>
        <v>1225.6213199999997</v>
      </c>
      <c r="CR97" s="14">
        <f>SUM(CR15:CR17)</f>
        <v>30303.686919999996</v>
      </c>
      <c r="CS97" s="14">
        <f>SUM(CS15:CS17)</f>
        <v>7044.6287400000019</v>
      </c>
      <c r="CT97" s="14">
        <f>SUM(CT15:CT17)</f>
        <v>29652.948180000007</v>
      </c>
      <c r="CU97" s="14">
        <f>SUM(CU15:CU17)</f>
        <v>1191.5822600000001</v>
      </c>
      <c r="CV97" s="14">
        <f>SUM(CV15:CV17)</f>
        <v>2342.9245599999999</v>
      </c>
      <c r="CW97" s="14">
        <f>SUM(CW15:CW17)</f>
        <v>8933484.6155299991</v>
      </c>
    </row>
    <row r="98" spans="2:101">
      <c r="B98" s="140"/>
      <c r="C98" t="s">
        <v>2</v>
      </c>
      <c r="D98" s="14">
        <f>SUM(D18:D20)</f>
        <v>29931.205610000001</v>
      </c>
      <c r="E98" s="14">
        <f>SUM(E18:E20)</f>
        <v>45698.933319999996</v>
      </c>
      <c r="F98" s="14">
        <f>SUM(F18:F20)</f>
        <v>33892.067280000003</v>
      </c>
      <c r="G98" s="14">
        <f>SUM(G18:G20)</f>
        <v>8931.4519899999977</v>
      </c>
      <c r="H98" s="14">
        <f>SUM(H18:H20)</f>
        <v>11723.359210000001</v>
      </c>
      <c r="I98" s="14">
        <f>SUM(I18:I20)</f>
        <v>490635.68183000019</v>
      </c>
      <c r="J98" s="14">
        <f>SUM(J18:J20)</f>
        <v>5931.9024000000009</v>
      </c>
      <c r="K98" s="14">
        <f>SUM(K18:K20)</f>
        <v>383788.37075999996</v>
      </c>
      <c r="L98" s="14">
        <f>SUM(L18:L20)</f>
        <v>483337.4947000001</v>
      </c>
      <c r="M98" s="14">
        <f>SUM(M18:M20)</f>
        <v>1945.5876599999999</v>
      </c>
      <c r="N98" s="14">
        <f>SUM(N18:N20)</f>
        <v>24222.898650000003</v>
      </c>
      <c r="O98" s="14">
        <f>SUM(O18:O20)</f>
        <v>8670.2430199999999</v>
      </c>
      <c r="P98" s="14">
        <f>SUM(P18:P20)</f>
        <v>998.35343999999998</v>
      </c>
      <c r="Q98" s="14">
        <f>SUM(Q18:Q20)</f>
        <v>173.42699999999999</v>
      </c>
      <c r="R98" s="14">
        <f>SUM(R18:R20)</f>
        <v>260263.50916000002</v>
      </c>
      <c r="S98" s="14">
        <f>SUM(S18:S20)</f>
        <v>8120.0904900000005</v>
      </c>
      <c r="T98" s="14">
        <f>SUM(T18:T20)</f>
        <v>78274.647850000008</v>
      </c>
      <c r="U98" s="14">
        <f>SUM(U18:U20)</f>
        <v>30149.935280000005</v>
      </c>
      <c r="V98" s="14">
        <f>SUM(V18:V20)</f>
        <v>29708.137940000004</v>
      </c>
      <c r="W98" s="14">
        <f>SUM(W18:W20)</f>
        <v>29077.99798</v>
      </c>
      <c r="X98" s="14">
        <f>SUM(X18:X20)</f>
        <v>88235.664890000029</v>
      </c>
      <c r="Y98" s="14">
        <f>SUM(Y18:Y20)</f>
        <v>8033.2023500000032</v>
      </c>
      <c r="Z98" s="14">
        <f>SUM(Z18:Z20)</f>
        <v>7609.8927199999998</v>
      </c>
      <c r="AA98" s="14">
        <f>SUM(AA18:AA20)</f>
        <v>4221.8854299999994</v>
      </c>
      <c r="AB98" s="14">
        <f>SUM(AB18:AB20)</f>
        <v>4168.6132200000002</v>
      </c>
      <c r="AC98" s="14">
        <f>SUM(AC18:AC20)</f>
        <v>26057.752800000002</v>
      </c>
      <c r="AD98" s="14">
        <f>SUM(AD18:AD20)</f>
        <v>4311882.0374600003</v>
      </c>
      <c r="AE98" s="14">
        <f>SUM(AE18:AE20)</f>
        <v>20397.146720000004</v>
      </c>
      <c r="AF98" s="14">
        <f>SUM(AF18:AF20)</f>
        <v>27988.018479999988</v>
      </c>
      <c r="AG98" s="14">
        <f>SUM(AG18:AG20)</f>
        <v>82841.235009999975</v>
      </c>
      <c r="AH98" s="14">
        <f>SUM(AH18:AH20)</f>
        <v>16653.06063</v>
      </c>
      <c r="AI98" s="14">
        <f>SUM(AI18:AI20)</f>
        <v>24940.433959999988</v>
      </c>
      <c r="AJ98" s="14">
        <f>SUM(AJ18:AJ20)</f>
        <v>96262.490690000021</v>
      </c>
      <c r="AK98" s="14">
        <f>SUM(AK18:AK20)</f>
        <v>34416.411470000014</v>
      </c>
      <c r="AL98" s="14">
        <f>SUM(AL18:AL20)</f>
        <v>13322.560340000002</v>
      </c>
      <c r="AM98" s="14">
        <f>SUM(AM18:AM20)</f>
        <v>64.208269999999999</v>
      </c>
      <c r="AN98" s="14">
        <f>SUM(AN18:AN20)</f>
        <v>85.790849999999992</v>
      </c>
      <c r="AO98" s="14">
        <f>SUM(AO18:AO20)</f>
        <v>116950.57759999996</v>
      </c>
      <c r="AP98" s="14">
        <f>SUM(AP18:AP20)</f>
        <v>473552.9972400004</v>
      </c>
      <c r="AQ98" s="14">
        <f>SUM(AQ18:AQ20)</f>
        <v>18175.601759999998</v>
      </c>
      <c r="AR98" s="14">
        <f>SUM(AR18:AR20)</f>
        <v>16573.921690000003</v>
      </c>
      <c r="AS98" s="14">
        <f>SUM(AS18:AS20)</f>
        <v>11271.585590000002</v>
      </c>
      <c r="AT98" s="14">
        <f>SUM(AT18:AT20)</f>
        <v>1841.4998299999997</v>
      </c>
      <c r="AU98" s="14">
        <f>SUM(AU18:AU20)</f>
        <v>13991.758849999998</v>
      </c>
      <c r="AV98" s="14">
        <f>SUM(AV18:AV20)</f>
        <v>12.388649999999998</v>
      </c>
      <c r="AW98" s="14">
        <f>SUM(AW18:AW20)</f>
        <v>234.29402000000002</v>
      </c>
      <c r="AX98" s="14">
        <f>SUM(AX18:AX20)</f>
        <v>209.83159000000001</v>
      </c>
      <c r="AY98" s="14">
        <f>SUM(AY18:AY20)</f>
        <v>54246.472009999983</v>
      </c>
      <c r="AZ98" s="14">
        <f>SUM(AZ18:AZ20)</f>
        <v>9300.4193399999986</v>
      </c>
      <c r="BA98" s="14">
        <f>SUM(BA18:BA20)</f>
        <v>2.7734399999999999</v>
      </c>
      <c r="BB98" s="14">
        <f>SUM(BB18:BB20)</f>
        <v>1.1279999999999999</v>
      </c>
      <c r="BC98" s="14">
        <f>SUM(BC18:BC20)</f>
        <v>2396.59789</v>
      </c>
      <c r="BD98" s="14">
        <f>SUM(BD18:BD20)</f>
        <v>659.37879999999996</v>
      </c>
      <c r="BE98" s="14">
        <f>SUM(BE18:BE20)</f>
        <v>14435.554980000001</v>
      </c>
      <c r="BF98" s="14">
        <f>SUM(BF18:BF20)</f>
        <v>2011.1862099999998</v>
      </c>
      <c r="BG98" s="14">
        <f>SUM(BG18:BG20)</f>
        <v>3032.9932000000003</v>
      </c>
      <c r="BH98" s="14">
        <f>SUM(BH18:BH20)</f>
        <v>332.56195999999994</v>
      </c>
      <c r="BI98" s="14">
        <f>SUM(BI18:BI20)</f>
        <v>3007.2119499999999</v>
      </c>
      <c r="BJ98" s="14">
        <f>SUM(BJ18:BJ20)</f>
        <v>8941.3316699999996</v>
      </c>
      <c r="BK98" s="14">
        <f>SUM(BK18:BK20)</f>
        <v>11549.222520000003</v>
      </c>
      <c r="BL98" s="14">
        <f>SUM(BL18:BL20)</f>
        <v>40945.145160000007</v>
      </c>
      <c r="BM98" s="14">
        <f>SUM(BM18:BM20)</f>
        <v>70331.431219999969</v>
      </c>
      <c r="BN98" s="14">
        <f>SUM(BN18:BN20)</f>
        <v>21949.770270000001</v>
      </c>
      <c r="BO98" s="14">
        <f>SUM(BO18:BO20)</f>
        <v>6508.66806</v>
      </c>
      <c r="BP98" s="14">
        <f>SUM(BP18:BP20)</f>
        <v>1827.4606800000001</v>
      </c>
      <c r="BQ98" s="14">
        <f>SUM(BQ18:BQ20)</f>
        <v>27.044350000000001</v>
      </c>
      <c r="BR98" s="14">
        <f>SUM(BR18:BR20)</f>
        <v>6.6889600000000007</v>
      </c>
      <c r="BS98" s="14">
        <f>SUM(BS18:BS20)</f>
        <v>11857.72357</v>
      </c>
      <c r="BT98" s="14">
        <f>SUM(BT18:BT20)</f>
        <v>17321.104230000001</v>
      </c>
      <c r="BU98" s="14">
        <f>SUM(BU18:BU20)</f>
        <v>39373.618270000006</v>
      </c>
      <c r="BV98" s="14">
        <f>SUM(BV18:BV20)</f>
        <v>860490.49171999958</v>
      </c>
      <c r="BW98" s="14">
        <f>SUM(BW18:BW20)</f>
        <v>105217.33689999999</v>
      </c>
      <c r="BX98" s="14">
        <f>SUM(BX18:BX20)</f>
        <v>47022.407699999996</v>
      </c>
      <c r="BY98" s="14">
        <f>SUM(BY18:BY20)</f>
        <v>54898.878820000005</v>
      </c>
      <c r="BZ98" s="14">
        <f>SUM(BZ18:BZ20)</f>
        <v>8.2086600000000001</v>
      </c>
      <c r="CA98" s="14">
        <f>SUM(CA18:CA20)</f>
        <v>110025.00412</v>
      </c>
      <c r="CB98" s="14">
        <f>SUM(CB18:CB20)</f>
        <v>1157.20236</v>
      </c>
      <c r="CC98" s="14">
        <f>SUM(CC18:CC20)</f>
        <v>81.234999999999999</v>
      </c>
      <c r="CD98" s="14">
        <f>SUM(CD18:CD20)</f>
        <v>41.326250000000002</v>
      </c>
      <c r="CE98" s="14">
        <f>SUM(CE18:CE20)</f>
        <v>324.99630999999999</v>
      </c>
      <c r="CF98" s="14">
        <f>SUM(CF18:CF20)</f>
        <v>14686.138229999999</v>
      </c>
      <c r="CG98" s="14">
        <f>SUM(CG18:CG20)</f>
        <v>9448.148720000001</v>
      </c>
      <c r="CH98" s="14">
        <f>SUM(CH18:CH20)</f>
        <v>83216.175529999935</v>
      </c>
      <c r="CI98" s="14">
        <f>SUM(CI18:CI20)</f>
        <v>113554.36887999998</v>
      </c>
      <c r="CJ98" s="14">
        <f>SUM(CJ18:CJ20)</f>
        <v>117.52240999999999</v>
      </c>
      <c r="CK98" s="14">
        <f>SUM(CK18:CK20)</f>
        <v>57689.561639999978</v>
      </c>
      <c r="CL98" s="14">
        <f>SUM(CL18:CL20)</f>
        <v>7650.0241099999994</v>
      </c>
      <c r="CM98" s="14">
        <f>SUM(CM18:CM20)</f>
        <v>2949.82744</v>
      </c>
      <c r="CN98" s="14">
        <f>SUM(CN18:CN20)</f>
        <v>18369.12341</v>
      </c>
      <c r="CO98" s="14">
        <f>SUM(CO18:CO20)</f>
        <v>450.79552000000001</v>
      </c>
      <c r="CP98" s="14">
        <f>SUM(CP18:CP20)</f>
        <v>17.798470000000002</v>
      </c>
      <c r="CQ98" s="14">
        <f>SUM(CQ18:CQ20)</f>
        <v>1669.00288</v>
      </c>
      <c r="CR98" s="14">
        <f>SUM(CR18:CR20)</f>
        <v>26135.710070000005</v>
      </c>
      <c r="CS98" s="14">
        <f>SUM(CS18:CS20)</f>
        <v>6605.9493800000018</v>
      </c>
      <c r="CT98" s="14">
        <f>SUM(CT18:CT20)</f>
        <v>25723.055339999999</v>
      </c>
      <c r="CU98" s="14">
        <f>SUM(CU18:CU20)</f>
        <v>351.30050000000006</v>
      </c>
      <c r="CV98" s="14">
        <f>SUM(CV18:CV20)</f>
        <v>2064.0956000000001</v>
      </c>
      <c r="CW98" s="14">
        <f>SUM(CW18:CW20)</f>
        <v>9255501.3303900026</v>
      </c>
    </row>
    <row r="99" spans="2:101">
      <c r="B99" s="140"/>
      <c r="C99" t="s">
        <v>3</v>
      </c>
      <c r="D99" s="14">
        <f>SUM(D21:D23)</f>
        <v>21429.549489999998</v>
      </c>
      <c r="E99" s="14">
        <f>SUM(E21:E23)</f>
        <v>77822.98318000001</v>
      </c>
      <c r="F99" s="14">
        <f>SUM(F21:F23)</f>
        <v>31543.863200000003</v>
      </c>
      <c r="G99" s="14">
        <f>SUM(G21:G23)</f>
        <v>8493.0838700000004</v>
      </c>
      <c r="H99" s="14">
        <f>SUM(H21:H23)</f>
        <v>12349.176070000001</v>
      </c>
      <c r="I99" s="14">
        <f>SUM(I21:I23)</f>
        <v>318862.63697999972</v>
      </c>
      <c r="J99" s="14">
        <f>SUM(J21:J23)</f>
        <v>5720.6684699999987</v>
      </c>
      <c r="K99" s="14">
        <f>SUM(K21:K23)</f>
        <v>344311.2143100003</v>
      </c>
      <c r="L99" s="14">
        <f>SUM(L21:L23)</f>
        <v>899614.6803500005</v>
      </c>
      <c r="M99" s="14">
        <f>SUM(M21:M23)</f>
        <v>1858.3818200000001</v>
      </c>
      <c r="N99" s="14">
        <f>SUM(N21:N23)</f>
        <v>15660.053879999999</v>
      </c>
      <c r="O99" s="14">
        <f>SUM(O21:O23)</f>
        <v>9579.4882499999985</v>
      </c>
      <c r="P99" s="14">
        <f>SUM(P21:P23)</f>
        <v>1714.2196100000001</v>
      </c>
      <c r="Q99" s="14">
        <f>SUM(Q21:Q23)</f>
        <v>301.84388999999999</v>
      </c>
      <c r="R99" s="14">
        <f>SUM(R21:R23)</f>
        <v>202256.02563000011</v>
      </c>
      <c r="S99" s="14">
        <f>SUM(S21:S23)</f>
        <v>9302.724000000002</v>
      </c>
      <c r="T99" s="14">
        <f>SUM(T21:T23)</f>
        <v>137290.66623000003</v>
      </c>
      <c r="U99" s="14">
        <f>SUM(U21:U23)</f>
        <v>34647.439959999989</v>
      </c>
      <c r="V99" s="14">
        <f>SUM(V21:V23)</f>
        <v>45519.674199999994</v>
      </c>
      <c r="W99" s="14">
        <f>SUM(W21:W23)</f>
        <v>34867.327319999997</v>
      </c>
      <c r="X99" s="14">
        <f>SUM(X21:X23)</f>
        <v>123547.85012999996</v>
      </c>
      <c r="Y99" s="14">
        <f>SUM(Y21:Y23)</f>
        <v>12539.95278</v>
      </c>
      <c r="Z99" s="14">
        <f>SUM(Z21:Z23)</f>
        <v>13968.329180000002</v>
      </c>
      <c r="AA99" s="14">
        <f>SUM(AA21:AA23)</f>
        <v>1006.8290500000001</v>
      </c>
      <c r="AB99" s="14">
        <f>SUM(AB21:AB23)</f>
        <v>5095.7205299999996</v>
      </c>
      <c r="AC99" s="14">
        <f>SUM(AC21:AC23)</f>
        <v>39847.619939999997</v>
      </c>
      <c r="AD99" s="14">
        <f>SUM(AD21:AD23)</f>
        <v>4782980.4826299995</v>
      </c>
      <c r="AE99" s="14">
        <f>SUM(AE21:AE23)</f>
        <v>35656.139290000006</v>
      </c>
      <c r="AF99" s="14">
        <f>SUM(AF21:AF23)</f>
        <v>36010.297770000012</v>
      </c>
      <c r="AG99" s="14">
        <f>SUM(AG21:AG23)</f>
        <v>114014.44333000004</v>
      </c>
      <c r="AH99" s="14">
        <f>SUM(AH21:AH23)</f>
        <v>14011.32409</v>
      </c>
      <c r="AI99" s="14">
        <f>SUM(AI21:AI23)</f>
        <v>30930.579489999996</v>
      </c>
      <c r="AJ99" s="14">
        <f>SUM(AJ21:AJ23)</f>
        <v>135304.67257000002</v>
      </c>
      <c r="AK99" s="14">
        <f>SUM(AK21:AK23)</f>
        <v>49085.903279999991</v>
      </c>
      <c r="AL99" s="14">
        <f>SUM(AL21:AL23)</f>
        <v>13482.68276</v>
      </c>
      <c r="AM99" s="14">
        <f>SUM(AM21:AM23)</f>
        <v>60.512370000000004</v>
      </c>
      <c r="AN99" s="14">
        <f>SUM(AN21:AN23)</f>
        <v>84.839510000000004</v>
      </c>
      <c r="AO99" s="14">
        <f>SUM(AO21:AO23)</f>
        <v>155815.92557999998</v>
      </c>
      <c r="AP99" s="14">
        <f>SUM(AP21:AP23)</f>
        <v>511927.33092000009</v>
      </c>
      <c r="AQ99" s="14">
        <f>SUM(AQ21:AQ23)</f>
        <v>30465.555589999996</v>
      </c>
      <c r="AR99" s="14">
        <f>SUM(AR21:AR23)</f>
        <v>21202.137860000003</v>
      </c>
      <c r="AS99" s="14">
        <f>SUM(AS21:AS23)</f>
        <v>11803.471660000001</v>
      </c>
      <c r="AT99" s="14">
        <f>SUM(AT21:AT23)</f>
        <v>1883.62797</v>
      </c>
      <c r="AU99" s="14">
        <f>SUM(AU21:AU23)</f>
        <v>12583.490230000003</v>
      </c>
      <c r="AV99" s="14">
        <f>SUM(AV21:AV23)</f>
        <v>58.86009</v>
      </c>
      <c r="AW99" s="14">
        <f>SUM(AW21:AW23)</f>
        <v>163.33064999999999</v>
      </c>
      <c r="AX99" s="14">
        <f>SUM(AX21:AX23)</f>
        <v>608.89453000000003</v>
      </c>
      <c r="AY99" s="14">
        <f>SUM(AY21:AY23)</f>
        <v>68845.956019999998</v>
      </c>
      <c r="AZ99" s="14">
        <f>SUM(AZ21:AZ23)</f>
        <v>10791.037389999998</v>
      </c>
      <c r="BA99" s="14">
        <f>SUM(BA21:BA23)</f>
        <v>5.2888000000000002</v>
      </c>
      <c r="BB99" s="14">
        <f>SUM(BB21:BB23)</f>
        <v>0</v>
      </c>
      <c r="BC99" s="14">
        <f>SUM(BC21:BC23)</f>
        <v>4604.6499100000001</v>
      </c>
      <c r="BD99" s="14">
        <f>SUM(BD21:BD23)</f>
        <v>1236.1075299999998</v>
      </c>
      <c r="BE99" s="14">
        <f>SUM(BE21:BE23)</f>
        <v>18316.922749999998</v>
      </c>
      <c r="BF99" s="14">
        <f>SUM(BF21:BF23)</f>
        <v>3703.8670599999991</v>
      </c>
      <c r="BG99" s="14">
        <f>SUM(BG21:BG23)</f>
        <v>4233.9444799999992</v>
      </c>
      <c r="BH99" s="14">
        <f>SUM(BH21:BH23)</f>
        <v>722.08076999999992</v>
      </c>
      <c r="BI99" s="14">
        <f>SUM(BI21:BI23)</f>
        <v>3486.9837900000002</v>
      </c>
      <c r="BJ99" s="14">
        <f>SUM(BJ21:BJ23)</f>
        <v>10904.11148</v>
      </c>
      <c r="BK99" s="14">
        <f>SUM(BK21:BK23)</f>
        <v>19283.392360000002</v>
      </c>
      <c r="BL99" s="14">
        <f>SUM(BL21:BL23)</f>
        <v>49568.259719999995</v>
      </c>
      <c r="BM99" s="14">
        <f>SUM(BM21:BM23)</f>
        <v>87810.96994000001</v>
      </c>
      <c r="BN99" s="14">
        <f>SUM(BN21:BN23)</f>
        <v>19936.507109999999</v>
      </c>
      <c r="BO99" s="14">
        <f>SUM(BO21:BO23)</f>
        <v>8435.7087499999998</v>
      </c>
      <c r="BP99" s="14">
        <f>SUM(BP21:BP23)</f>
        <v>2944.5595299999995</v>
      </c>
      <c r="BQ99" s="14">
        <f>SUM(BQ21:BQ23)</f>
        <v>285.02737999999999</v>
      </c>
      <c r="BR99" s="14">
        <f>SUM(BR21:BR23)</f>
        <v>19.14676</v>
      </c>
      <c r="BS99" s="14">
        <f>SUM(BS21:BS23)</f>
        <v>12774.005389999998</v>
      </c>
      <c r="BT99" s="14">
        <f>SUM(BT21:BT23)</f>
        <v>24317.747699999996</v>
      </c>
      <c r="BU99" s="14">
        <f>SUM(BU21:BU23)</f>
        <v>47594.242270000002</v>
      </c>
      <c r="BV99" s="14">
        <f>SUM(BV21:BV23)</f>
        <v>826730.92792999966</v>
      </c>
      <c r="BW99" s="14">
        <f>SUM(BW21:BW23)</f>
        <v>217657.97792</v>
      </c>
      <c r="BX99" s="14">
        <f>SUM(BX21:BX23)</f>
        <v>70355.565229999949</v>
      </c>
      <c r="BY99" s="14">
        <f>SUM(BY21:BY23)</f>
        <v>88238.442350000012</v>
      </c>
      <c r="BZ99" s="14">
        <f>SUM(BZ21:BZ23)</f>
        <v>140.51353</v>
      </c>
      <c r="CA99" s="14">
        <f>SUM(CA21:CA23)</f>
        <v>118627.45438000004</v>
      </c>
      <c r="CB99" s="14">
        <f>SUM(CB21:CB23)</f>
        <v>1361.6781800000001</v>
      </c>
      <c r="CC99" s="14">
        <f>SUM(CC21:CC23)</f>
        <v>233.58693</v>
      </c>
      <c r="CD99" s="14">
        <f>SUM(CD21:CD23)</f>
        <v>99.912549999999996</v>
      </c>
      <c r="CE99" s="14">
        <f>SUM(CE21:CE23)</f>
        <v>593.67157999999995</v>
      </c>
      <c r="CF99" s="14">
        <f>SUM(CF21:CF23)</f>
        <v>19031.761180000001</v>
      </c>
      <c r="CG99" s="14">
        <f>SUM(CG21:CG23)</f>
        <v>13003.202210000005</v>
      </c>
      <c r="CH99" s="14">
        <f>SUM(CH21:CH23)</f>
        <v>129132.40822999997</v>
      </c>
      <c r="CI99" s="14">
        <f>SUM(CI21:CI23)</f>
        <v>163066.4128700002</v>
      </c>
      <c r="CJ99" s="14">
        <f>SUM(CJ21:CJ23)</f>
        <v>214.83892</v>
      </c>
      <c r="CK99" s="14">
        <f>SUM(CK21:CK23)</f>
        <v>114662.98272000003</v>
      </c>
      <c r="CL99" s="14">
        <f>SUM(CL21:CL23)</f>
        <v>43925.801939999998</v>
      </c>
      <c r="CM99" s="14">
        <f>SUM(CM21:CM23)</f>
        <v>6779.3983100000005</v>
      </c>
      <c r="CN99" s="14">
        <f>SUM(CN21:CN23)</f>
        <v>22558.642680000004</v>
      </c>
      <c r="CO99" s="14">
        <f>SUM(CO21:CO23)</f>
        <v>354.19648000000001</v>
      </c>
      <c r="CP99" s="14">
        <f>SUM(CP21:CP23)</f>
        <v>6.691749999999999</v>
      </c>
      <c r="CQ99" s="14">
        <f>SUM(CQ21:CQ23)</f>
        <v>3875.0326400000004</v>
      </c>
      <c r="CR99" s="14">
        <f>SUM(CR21:CR23)</f>
        <v>42866.333579999999</v>
      </c>
      <c r="CS99" s="14">
        <f>SUM(CS21:CS23)</f>
        <v>10046.44469</v>
      </c>
      <c r="CT99" s="14">
        <f>SUM(CT21:CT23)</f>
        <v>35546.113689999991</v>
      </c>
      <c r="CU99" s="14">
        <f>SUM(CU21:CU23)</f>
        <v>893.42694000000006</v>
      </c>
      <c r="CV99" s="14">
        <f>SUM(CV21:CV23)</f>
        <v>4425.8742899999997</v>
      </c>
      <c r="CW99" s="14">
        <f>SUM(CW21:CW23)</f>
        <v>10701536.31508</v>
      </c>
    </row>
    <row r="100" spans="2:101">
      <c r="B100" s="140"/>
      <c r="C100" t="s">
        <v>4</v>
      </c>
      <c r="D100" s="14">
        <f>SUM(D24:D26)</f>
        <v>50948.432740000004</v>
      </c>
      <c r="E100" s="14">
        <f>SUM(E24:E26)</f>
        <v>73216.911330000003</v>
      </c>
      <c r="F100" s="14">
        <f>SUM(F24:F26)</f>
        <v>37250.222999999998</v>
      </c>
      <c r="G100" s="14">
        <f>SUM(G24:G26)</f>
        <v>5600.4592000000011</v>
      </c>
      <c r="H100" s="14">
        <f>SUM(H24:H26)</f>
        <v>12734.122879999999</v>
      </c>
      <c r="I100" s="14">
        <f>SUM(I24:I26)</f>
        <v>457272.27010000055</v>
      </c>
      <c r="J100" s="14">
        <f>SUM(J24:J26)</f>
        <v>6066.3782499999988</v>
      </c>
      <c r="K100" s="14">
        <f>SUM(K24:K26)</f>
        <v>334692.66547000012</v>
      </c>
      <c r="L100" s="14">
        <f>SUM(L24:L26)</f>
        <v>1021222.0538399998</v>
      </c>
      <c r="M100" s="14">
        <f>SUM(M24:M26)</f>
        <v>994.16977999999995</v>
      </c>
      <c r="N100" s="14">
        <f>SUM(N24:N26)</f>
        <v>19197.964390000001</v>
      </c>
      <c r="O100" s="14">
        <f>SUM(O24:O26)</f>
        <v>10617.38631</v>
      </c>
      <c r="P100" s="14">
        <f>SUM(P24:P26)</f>
        <v>609.20633999999995</v>
      </c>
      <c r="Q100" s="14">
        <f>SUM(Q24:Q26)</f>
        <v>131.09604999999999</v>
      </c>
      <c r="R100" s="14">
        <f>SUM(R24:R26)</f>
        <v>172584.27202999999</v>
      </c>
      <c r="S100" s="14">
        <f>SUM(S24:S26)</f>
        <v>9698.1542000000009</v>
      </c>
      <c r="T100" s="14">
        <f>SUM(T24:T26)</f>
        <v>158253.87671000001</v>
      </c>
      <c r="U100" s="14">
        <f>SUM(U24:U26)</f>
        <v>33487.06205</v>
      </c>
      <c r="V100" s="14">
        <f>SUM(V24:V26)</f>
        <v>43535.216280000008</v>
      </c>
      <c r="W100" s="14">
        <f>SUM(W24:W26)</f>
        <v>29477.042969999988</v>
      </c>
      <c r="X100" s="14">
        <f>SUM(X24:X26)</f>
        <v>122085.45646999999</v>
      </c>
      <c r="Y100" s="14">
        <f>SUM(Y24:Y26)</f>
        <v>14759.437330000001</v>
      </c>
      <c r="Z100" s="14">
        <f>SUM(Z24:Z26)</f>
        <v>14227.739869999998</v>
      </c>
      <c r="AA100" s="14">
        <f>SUM(AA24:AA26)</f>
        <v>37.772760000000005</v>
      </c>
      <c r="AB100" s="14">
        <f>SUM(AB24:AB26)</f>
        <v>6755.112610000001</v>
      </c>
      <c r="AC100" s="14">
        <f>SUM(AC24:AC26)</f>
        <v>54309.340169999996</v>
      </c>
      <c r="AD100" s="14">
        <f>SUM(AD24:AD26)</f>
        <v>6250277.45352</v>
      </c>
      <c r="AE100" s="14">
        <f>SUM(AE24:AE26)</f>
        <v>33261.563669999996</v>
      </c>
      <c r="AF100" s="14">
        <f>SUM(AF24:AF26)</f>
        <v>41488.719210000003</v>
      </c>
      <c r="AG100" s="14">
        <f>SUM(AG24:AG26)</f>
        <v>108679.81784</v>
      </c>
      <c r="AH100" s="14">
        <f>SUM(AH24:AH26)</f>
        <v>14192.428889999999</v>
      </c>
      <c r="AI100" s="14">
        <f>SUM(AI24:AI26)</f>
        <v>30847.634080000007</v>
      </c>
      <c r="AJ100" s="14">
        <f>SUM(AJ24:AJ26)</f>
        <v>142432.34494000001</v>
      </c>
      <c r="AK100" s="14">
        <f>SUM(AK24:AK26)</f>
        <v>45939.319789999994</v>
      </c>
      <c r="AL100" s="14">
        <f>SUM(AL24:AL26)</f>
        <v>14663.302939999998</v>
      </c>
      <c r="AM100" s="14">
        <f>SUM(AM24:AM26)</f>
        <v>1.63727</v>
      </c>
      <c r="AN100" s="14">
        <f>SUM(AN24:AN26)</f>
        <v>43.177210000000002</v>
      </c>
      <c r="AO100" s="14">
        <f>SUM(AO24:AO26)</f>
        <v>144159.73568000004</v>
      </c>
      <c r="AP100" s="14">
        <f>SUM(AP24:AP26)</f>
        <v>557919.55555000005</v>
      </c>
      <c r="AQ100" s="14">
        <f>SUM(AQ24:AQ26)</f>
        <v>31382.784989999993</v>
      </c>
      <c r="AR100" s="14">
        <f>SUM(AR24:AR26)</f>
        <v>21521.4077</v>
      </c>
      <c r="AS100" s="14">
        <f>SUM(AS24:AS26)</f>
        <v>16640.205819999988</v>
      </c>
      <c r="AT100" s="14">
        <f>SUM(AT24:AT26)</f>
        <v>2455.5960300000002</v>
      </c>
      <c r="AU100" s="14">
        <f>SUM(AU24:AU26)</f>
        <v>12024.775759999997</v>
      </c>
      <c r="AV100" s="14">
        <f>SUM(AV24:AV26)</f>
        <v>24.15842</v>
      </c>
      <c r="AW100" s="14">
        <f>SUM(AW24:AW26)</f>
        <v>365.69637</v>
      </c>
      <c r="AX100" s="14">
        <f>SUM(AX24:AX26)</f>
        <v>1033.5566900000001</v>
      </c>
      <c r="AY100" s="14">
        <f>SUM(AY24:AY26)</f>
        <v>70454.918909999993</v>
      </c>
      <c r="AZ100" s="14">
        <f>SUM(AZ24:AZ26)</f>
        <v>12024.01413</v>
      </c>
      <c r="BA100" s="14">
        <f>SUM(BA24:BA26)</f>
        <v>0</v>
      </c>
      <c r="BB100" s="14">
        <f>SUM(BB24:BB26)</f>
        <v>3.34023</v>
      </c>
      <c r="BC100" s="14">
        <f>SUM(BC24:BC26)</f>
        <v>7209.7635600000003</v>
      </c>
      <c r="BD100" s="14">
        <f>SUM(BD24:BD26)</f>
        <v>1022.58354</v>
      </c>
      <c r="BE100" s="14">
        <f>SUM(BE24:BE26)</f>
        <v>17916.897959999995</v>
      </c>
      <c r="BF100" s="14">
        <f>SUM(BF24:BF26)</f>
        <v>2915.1495999999997</v>
      </c>
      <c r="BG100" s="14">
        <f>SUM(BG24:BG26)</f>
        <v>3650.7599399999999</v>
      </c>
      <c r="BH100" s="14">
        <f>SUM(BH24:BH26)</f>
        <v>215.97205000000002</v>
      </c>
      <c r="BI100" s="14">
        <f>SUM(BI24:BI26)</f>
        <v>3672.3197099999998</v>
      </c>
      <c r="BJ100" s="14">
        <f>SUM(BJ24:BJ26)</f>
        <v>10850.05226</v>
      </c>
      <c r="BK100" s="14">
        <f>SUM(BK24:BK26)</f>
        <v>23391.419610000004</v>
      </c>
      <c r="BL100" s="14">
        <f>SUM(BL24:BL26)</f>
        <v>56998.781459999969</v>
      </c>
      <c r="BM100" s="14">
        <f>SUM(BM24:BM26)</f>
        <v>93439.377019999927</v>
      </c>
      <c r="BN100" s="14">
        <f>SUM(BN24:BN26)</f>
        <v>17946.320979999997</v>
      </c>
      <c r="BO100" s="14">
        <f>SUM(BO24:BO26)</f>
        <v>10715.978430000003</v>
      </c>
      <c r="BP100" s="14">
        <f>SUM(BP24:BP26)</f>
        <v>3502.1923400000005</v>
      </c>
      <c r="BQ100" s="14">
        <f>SUM(BQ24:BQ26)</f>
        <v>200.71381000000002</v>
      </c>
      <c r="BR100" s="14">
        <f>SUM(BR24:BR26)</f>
        <v>17.391780000000001</v>
      </c>
      <c r="BS100" s="14">
        <f>SUM(BS24:BS26)</f>
        <v>14450.245710000003</v>
      </c>
      <c r="BT100" s="14">
        <f>SUM(BT24:BT26)</f>
        <v>24120.729760000002</v>
      </c>
      <c r="BU100" s="14">
        <f>SUM(BU24:BU26)</f>
        <v>43270.588099999986</v>
      </c>
      <c r="BV100" s="14">
        <f>SUM(BV24:BV26)</f>
        <v>926531.77676999988</v>
      </c>
      <c r="BW100" s="14">
        <f>SUM(BW24:BW26)</f>
        <v>171282.30991000001</v>
      </c>
      <c r="BX100" s="14">
        <f>SUM(BX24:BX26)</f>
        <v>65059.65666000003</v>
      </c>
      <c r="BY100" s="14">
        <f>SUM(BY24:BY26)</f>
        <v>83293.36427000002</v>
      </c>
      <c r="BZ100" s="14">
        <f>SUM(BZ24:BZ26)</f>
        <v>17.657859999999999</v>
      </c>
      <c r="CA100" s="14">
        <f>SUM(CA24:CA26)</f>
        <v>146055.32749</v>
      </c>
      <c r="CB100" s="14">
        <f>SUM(CB24:CB26)</f>
        <v>277.49083999999999</v>
      </c>
      <c r="CC100" s="14">
        <f>SUM(CC24:CC26)</f>
        <v>56.968939999999996</v>
      </c>
      <c r="CD100" s="14">
        <f>SUM(CD24:CD26)</f>
        <v>56.153720000000007</v>
      </c>
      <c r="CE100" s="14">
        <f>SUM(CE24:CE26)</f>
        <v>411.16016000000002</v>
      </c>
      <c r="CF100" s="14">
        <f>SUM(CF24:CF26)</f>
        <v>19758.07086</v>
      </c>
      <c r="CG100" s="14">
        <f>SUM(CG24:CG26)</f>
        <v>12626.027930000002</v>
      </c>
      <c r="CH100" s="14">
        <f>SUM(CH24:CH26)</f>
        <v>105783.18544000003</v>
      </c>
      <c r="CI100" s="14">
        <f>SUM(CI24:CI26)</f>
        <v>173672.06052999993</v>
      </c>
      <c r="CJ100" s="14">
        <f>SUM(CJ24:CJ26)</f>
        <v>169.49021999999997</v>
      </c>
      <c r="CK100" s="14">
        <f>SUM(CK24:CK26)</f>
        <v>86294.433670000013</v>
      </c>
      <c r="CL100" s="14">
        <f>SUM(CL24:CL26)</f>
        <v>7595.1859600000007</v>
      </c>
      <c r="CM100" s="14">
        <f>SUM(CM24:CM26)</f>
        <v>2392.9265</v>
      </c>
      <c r="CN100" s="14">
        <f>SUM(CN24:CN26)</f>
        <v>23844.604899999998</v>
      </c>
      <c r="CO100" s="14">
        <f>SUM(CO24:CO26)</f>
        <v>296.66998999999998</v>
      </c>
      <c r="CP100" s="14">
        <f>SUM(CP24:CP26)</f>
        <v>199.29664</v>
      </c>
      <c r="CQ100" s="14">
        <f>SUM(CQ24:CQ26)</f>
        <v>1009.9791300000001</v>
      </c>
      <c r="CR100" s="14">
        <f>SUM(CR24:CR26)</f>
        <v>42976.069489999994</v>
      </c>
      <c r="CS100" s="14">
        <f>SUM(CS24:CS26)</f>
        <v>9766.0542100000021</v>
      </c>
      <c r="CT100" s="14">
        <f>SUM(CT24:CT26)</f>
        <v>40196.235549999983</v>
      </c>
      <c r="CU100" s="14">
        <f>SUM(CU24:CU26)</f>
        <v>783.32081999999991</v>
      </c>
      <c r="CV100" s="14">
        <f>SUM(CV24:CV26)</f>
        <v>1953.1248999999998</v>
      </c>
      <c r="CW100" s="14">
        <f>SUM(CW24:CW26)</f>
        <v>12499466.809750006</v>
      </c>
    </row>
    <row r="101" spans="2:101">
      <c r="B101" s="140">
        <v>2022</v>
      </c>
      <c r="C101" t="s">
        <v>1</v>
      </c>
      <c r="D101" s="14">
        <f>SUM(D27:D29)</f>
        <v>119381.13352</v>
      </c>
      <c r="E101" s="14">
        <f>SUM(E27:E29)</f>
        <v>45468.785759999999</v>
      </c>
      <c r="F101" s="14">
        <f>SUM(F27:F29)</f>
        <v>30171.777730000005</v>
      </c>
      <c r="G101" s="14">
        <f>SUM(G27:G29)</f>
        <v>3237.0334899999998</v>
      </c>
      <c r="H101" s="14">
        <f>SUM(H27:H29)</f>
        <v>13632.126549999997</v>
      </c>
      <c r="I101" s="14">
        <f>SUM(I27:I29)</f>
        <v>625035.10155999998</v>
      </c>
      <c r="J101" s="14">
        <f>SUM(J27:J29)</f>
        <v>7440.4274700000005</v>
      </c>
      <c r="K101" s="14">
        <f>SUM(K27:K29)</f>
        <v>328438.4561999999</v>
      </c>
      <c r="L101" s="14">
        <f>SUM(L27:L29)</f>
        <v>1127914.6339700003</v>
      </c>
      <c r="M101" s="14">
        <f>SUM(M27:M29)</f>
        <v>1885.3447300000003</v>
      </c>
      <c r="N101" s="14">
        <f>SUM(N27:N29)</f>
        <v>18669.27173</v>
      </c>
      <c r="O101" s="14">
        <f>SUM(O27:O29)</f>
        <v>11728.969050000002</v>
      </c>
      <c r="P101" s="14">
        <f>SUM(P27:P29)</f>
        <v>2044.72694</v>
      </c>
      <c r="Q101" s="14">
        <f>SUM(Q27:Q29)</f>
        <v>333.79662999999999</v>
      </c>
      <c r="R101" s="14">
        <f>SUM(R27:R29)</f>
        <v>241389.38319999998</v>
      </c>
      <c r="S101" s="14">
        <f>SUM(S27:S29)</f>
        <v>8005.4275600000001</v>
      </c>
      <c r="T101" s="14">
        <f>SUM(T27:T29)</f>
        <v>142960.35572000005</v>
      </c>
      <c r="U101" s="14">
        <f>SUM(U27:U29)</f>
        <v>30857.118279999995</v>
      </c>
      <c r="V101" s="14">
        <f>SUM(V27:V29)</f>
        <v>38621.877109999994</v>
      </c>
      <c r="W101" s="14">
        <f>SUM(W27:W29)</f>
        <v>28835.138670000011</v>
      </c>
      <c r="X101" s="14">
        <f>SUM(X27:X29)</f>
        <v>117077.35885000002</v>
      </c>
      <c r="Y101" s="14">
        <f>SUM(Y27:Y29)</f>
        <v>10631.383289999998</v>
      </c>
      <c r="Z101" s="14">
        <f>SUM(Z27:Z29)</f>
        <v>12889.873990000002</v>
      </c>
      <c r="AA101" s="14">
        <f>SUM(AA27:AA29)</f>
        <v>404.04957000000002</v>
      </c>
      <c r="AB101" s="14">
        <f>SUM(AB27:AB29)</f>
        <v>6161.3401399999993</v>
      </c>
      <c r="AC101" s="14">
        <f>SUM(AC27:AC29)</f>
        <v>47160.189780000001</v>
      </c>
      <c r="AD101" s="14">
        <f>SUM(AD27:AD29)</f>
        <v>6490023.9466099963</v>
      </c>
      <c r="AE101" s="14">
        <f>SUM(AE27:AE29)</f>
        <v>38406.148969999995</v>
      </c>
      <c r="AF101" s="14">
        <f>SUM(AF27:AF29)</f>
        <v>38060.244060000012</v>
      </c>
      <c r="AG101" s="14">
        <f>SUM(AG27:AG29)</f>
        <v>91706.923079999979</v>
      </c>
      <c r="AH101" s="14">
        <f>SUM(AH27:AH29)</f>
        <v>15272.130679999998</v>
      </c>
      <c r="AI101" s="14">
        <f>SUM(AI27:AI29)</f>
        <v>28177.63833999999</v>
      </c>
      <c r="AJ101" s="14">
        <f>SUM(AJ27:AJ29)</f>
        <v>120722.12888999992</v>
      </c>
      <c r="AK101" s="14">
        <f>SUM(AK27:AK29)</f>
        <v>49153.065680000014</v>
      </c>
      <c r="AL101" s="14">
        <f>SUM(AL27:AL29)</f>
        <v>13105.893010000003</v>
      </c>
      <c r="AM101" s="14">
        <f>SUM(AM27:AM29)</f>
        <v>2.2820100000000001</v>
      </c>
      <c r="AN101" s="14">
        <f>SUM(AN27:AN29)</f>
        <v>92.299629999999979</v>
      </c>
      <c r="AO101" s="14">
        <f>SUM(AO27:AO29)</f>
        <v>118512.90850000005</v>
      </c>
      <c r="AP101" s="14">
        <f>SUM(AP27:AP29)</f>
        <v>542671.27865999995</v>
      </c>
      <c r="AQ101" s="14">
        <f>SUM(AQ27:AQ29)</f>
        <v>26047.244260000007</v>
      </c>
      <c r="AR101" s="14">
        <f>SUM(AR27:AR29)</f>
        <v>14164.928190000001</v>
      </c>
      <c r="AS101" s="14">
        <f>SUM(AS27:AS29)</f>
        <v>13839.41827</v>
      </c>
      <c r="AT101" s="14">
        <f>SUM(AT27:AT29)</f>
        <v>1809.6840999999999</v>
      </c>
      <c r="AU101" s="14">
        <f>SUM(AU27:AU29)</f>
        <v>10453.486609999998</v>
      </c>
      <c r="AV101" s="14">
        <f>SUM(AV27:AV29)</f>
        <v>129.22810000000001</v>
      </c>
      <c r="AW101" s="14">
        <f>SUM(AW27:AW29)</f>
        <v>358.56640000000004</v>
      </c>
      <c r="AX101" s="14">
        <f>SUM(AX27:AX29)</f>
        <v>670.24599000000001</v>
      </c>
      <c r="AY101" s="14">
        <f>SUM(AY27:AY29)</f>
        <v>76567.002000000022</v>
      </c>
      <c r="AZ101" s="14">
        <f>SUM(AZ27:AZ29)</f>
        <v>9665.8481499999998</v>
      </c>
      <c r="BA101" s="14">
        <f>SUM(BA27:BA29)</f>
        <v>0.14784999999999998</v>
      </c>
      <c r="BB101" s="14">
        <f>SUM(BB27:BB29)</f>
        <v>15.997399999999999</v>
      </c>
      <c r="BC101" s="14">
        <f>SUM(BC27:BC29)</f>
        <v>4809.3230599999988</v>
      </c>
      <c r="BD101" s="14">
        <f>SUM(BD27:BD29)</f>
        <v>371.78632000000005</v>
      </c>
      <c r="BE101" s="14">
        <f>SUM(BE27:BE29)</f>
        <v>17617.042630000004</v>
      </c>
      <c r="BF101" s="14">
        <f>SUM(BF27:BF29)</f>
        <v>2693.0631000000003</v>
      </c>
      <c r="BG101" s="14">
        <f>SUM(BG27:BG29)</f>
        <v>3295.6926599999997</v>
      </c>
      <c r="BH101" s="14">
        <f>SUM(BH27:BH29)</f>
        <v>163.09037000000001</v>
      </c>
      <c r="BI101" s="14">
        <f>SUM(BI27:BI29)</f>
        <v>3116.6777599999996</v>
      </c>
      <c r="BJ101" s="14">
        <f>SUM(BJ27:BJ29)</f>
        <v>13325.00194</v>
      </c>
      <c r="BK101" s="14">
        <f>SUM(BK27:BK29)</f>
        <v>16997.699520000006</v>
      </c>
      <c r="BL101" s="14">
        <f>SUM(BL27:BL29)</f>
        <v>54930.333620000005</v>
      </c>
      <c r="BM101" s="14">
        <f>SUM(BM27:BM29)</f>
        <v>75369.962939999969</v>
      </c>
      <c r="BN101" s="14">
        <f>SUM(BN27:BN29)</f>
        <v>21904.130850000009</v>
      </c>
      <c r="BO101" s="14">
        <f>SUM(BO27:BO29)</f>
        <v>8410.1385399999999</v>
      </c>
      <c r="BP101" s="14">
        <f>SUM(BP27:BP29)</f>
        <v>3347.12084</v>
      </c>
      <c r="BQ101" s="14">
        <f>SUM(BQ27:BQ29)</f>
        <v>363.31727000000001</v>
      </c>
      <c r="BR101" s="14">
        <f>SUM(BR27:BR29)</f>
        <v>14.449770000000001</v>
      </c>
      <c r="BS101" s="14">
        <f>SUM(BS27:BS29)</f>
        <v>12089.17366</v>
      </c>
      <c r="BT101" s="14">
        <f>SUM(BT27:BT29)</f>
        <v>21252.034</v>
      </c>
      <c r="BU101" s="14">
        <f>SUM(BU27:BU29)</f>
        <v>36286.895830000009</v>
      </c>
      <c r="BV101" s="14">
        <f>SUM(BV27:BV29)</f>
        <v>711114.22655999986</v>
      </c>
      <c r="BW101" s="14">
        <f>SUM(BW27:BW29)</f>
        <v>201748.62109000003</v>
      </c>
      <c r="BX101" s="14">
        <f>SUM(BX27:BX29)</f>
        <v>69718.501129999975</v>
      </c>
      <c r="BY101" s="14">
        <f>SUM(BY27:BY29)</f>
        <v>84666.024069999999</v>
      </c>
      <c r="BZ101" s="14">
        <f>SUM(BZ27:BZ29)</f>
        <v>57.999969999999998</v>
      </c>
      <c r="CA101" s="14">
        <f>SUM(CA27:CA29)</f>
        <v>174012.5668</v>
      </c>
      <c r="CB101" s="14">
        <f>SUM(CB27:CB29)</f>
        <v>1357.0133099999998</v>
      </c>
      <c r="CC101" s="14">
        <f>SUM(CC27:CC29)</f>
        <v>95.088160000000016</v>
      </c>
      <c r="CD101" s="14">
        <f>SUM(CD27:CD29)</f>
        <v>48.129719999999999</v>
      </c>
      <c r="CE101" s="14">
        <f>SUM(CE27:CE29)</f>
        <v>507.99104999999997</v>
      </c>
      <c r="CF101" s="14">
        <f>SUM(CF27:CF29)</f>
        <v>16834.844210000003</v>
      </c>
      <c r="CG101" s="14">
        <f>SUM(CG27:CG29)</f>
        <v>11920.33021</v>
      </c>
      <c r="CH101" s="14">
        <f>SUM(CH27:CH29)</f>
        <v>108872.94317000001</v>
      </c>
      <c r="CI101" s="14">
        <f>SUM(CI27:CI29)</f>
        <v>147509.14309000003</v>
      </c>
      <c r="CJ101" s="14">
        <f>SUM(CJ27:CJ29)</f>
        <v>497.14208000000002</v>
      </c>
      <c r="CK101" s="14">
        <f>SUM(CK27:CK29)</f>
        <v>85527.181060000017</v>
      </c>
      <c r="CL101" s="14">
        <f>SUM(CL27:CL29)</f>
        <v>36568.008119999999</v>
      </c>
      <c r="CM101" s="14">
        <f>SUM(CM27:CM29)</f>
        <v>4571.2504000000008</v>
      </c>
      <c r="CN101" s="14">
        <f>SUM(CN27:CN29)</f>
        <v>27234.375359999998</v>
      </c>
      <c r="CO101" s="14">
        <f>SUM(CO27:CO29)</f>
        <v>312.32691</v>
      </c>
      <c r="CP101" s="14">
        <f>SUM(CP27:CP29)</f>
        <v>2.9703599999999999</v>
      </c>
      <c r="CQ101" s="14">
        <f>SUM(CQ27:CQ29)</f>
        <v>138.91819999999998</v>
      </c>
      <c r="CR101" s="14">
        <f>SUM(CR27:CR29)</f>
        <v>39987.231250000004</v>
      </c>
      <c r="CS101" s="14">
        <f>SUM(CS27:CS29)</f>
        <v>9518.9273700000012</v>
      </c>
      <c r="CT101" s="14">
        <f>SUM(CT27:CT29)</f>
        <v>38113.335710000007</v>
      </c>
      <c r="CU101" s="14">
        <f>SUM(CU27:CU29)</f>
        <v>1491.8529599999999</v>
      </c>
      <c r="CV101" s="14">
        <f>SUM(CV27:CV29)</f>
        <v>2229.0874100000001</v>
      </c>
      <c r="CW101" s="14">
        <f>SUM(CW27:CW29)</f>
        <v>12791016.731339995</v>
      </c>
    </row>
    <row r="102" spans="2:101">
      <c r="B102" s="140"/>
      <c r="C102" t="s">
        <v>2</v>
      </c>
      <c r="D102" s="14">
        <f>SUM(D30:D32)</f>
        <v>83798.31379</v>
      </c>
      <c r="E102" s="14">
        <f>SUM(E30:E32)</f>
        <v>35014.689869999995</v>
      </c>
      <c r="F102" s="14">
        <f>SUM(F30:F32)</f>
        <v>34652.805560000001</v>
      </c>
      <c r="G102" s="14">
        <f>SUM(G30:G32)</f>
        <v>4985.1168300000008</v>
      </c>
      <c r="H102" s="14">
        <f>SUM(H30:H32)</f>
        <v>13932.747790000001</v>
      </c>
      <c r="I102" s="14">
        <f>SUM(I30:I32)</f>
        <v>616996.5001900004</v>
      </c>
      <c r="J102" s="14">
        <f>SUM(J30:J32)</f>
        <v>6646.30645</v>
      </c>
      <c r="K102" s="14">
        <f>SUM(K30:K32)</f>
        <v>434005.51617000037</v>
      </c>
      <c r="L102" s="14">
        <f>SUM(L30:L32)</f>
        <v>972573.66503999988</v>
      </c>
      <c r="M102" s="14">
        <f>SUM(M30:M32)</f>
        <v>637.82311000000004</v>
      </c>
      <c r="N102" s="14">
        <f>SUM(N30:N32)</f>
        <v>24938.530559999999</v>
      </c>
      <c r="O102" s="14">
        <f>SUM(O30:O32)</f>
        <v>11112.53584</v>
      </c>
      <c r="P102" s="14">
        <f>SUM(P30:P32)</f>
        <v>1759.3947500000002</v>
      </c>
      <c r="Q102" s="14">
        <f>SUM(Q30:Q32)</f>
        <v>382.85382000000004</v>
      </c>
      <c r="R102" s="14">
        <f>SUM(R30:R32)</f>
        <v>453765.72259000008</v>
      </c>
      <c r="S102" s="14">
        <f>SUM(S30:S32)</f>
        <v>5393.0205500000002</v>
      </c>
      <c r="T102" s="14">
        <f>SUM(T30:T32)</f>
        <v>150150.67896000005</v>
      </c>
      <c r="U102" s="14">
        <f>SUM(U30:U32)</f>
        <v>30954.34552000001</v>
      </c>
      <c r="V102" s="14">
        <f>SUM(V30:V32)</f>
        <v>47042.365489999996</v>
      </c>
      <c r="W102" s="14">
        <f>SUM(W30:W32)</f>
        <v>36959.137190000009</v>
      </c>
      <c r="X102" s="14">
        <f>SUM(X30:X32)</f>
        <v>130927.48351000001</v>
      </c>
      <c r="Y102" s="14">
        <f>SUM(Y30:Y32)</f>
        <v>13931.281619999998</v>
      </c>
      <c r="Z102" s="14">
        <f>SUM(Z30:Z32)</f>
        <v>17573.218029999996</v>
      </c>
      <c r="AA102" s="14">
        <f>SUM(AA30:AA32)</f>
        <v>3160.9827800000003</v>
      </c>
      <c r="AB102" s="14">
        <f>SUM(AB30:AB32)</f>
        <v>6163.4123100000006</v>
      </c>
      <c r="AC102" s="14">
        <f>SUM(AC30:AC32)</f>
        <v>31931.090559999997</v>
      </c>
      <c r="AD102" s="14">
        <f>SUM(AD30:AD32)</f>
        <v>8891085.6389000006</v>
      </c>
      <c r="AE102" s="14">
        <f>SUM(AE30:AE32)</f>
        <v>46129.894960000012</v>
      </c>
      <c r="AF102" s="14">
        <f>SUM(AF30:AF32)</f>
        <v>50507.097299999987</v>
      </c>
      <c r="AG102" s="14">
        <f>SUM(AG30:AG32)</f>
        <v>100456.24197000002</v>
      </c>
      <c r="AH102" s="14">
        <f>SUM(AH30:AH32)</f>
        <v>32767.756059999996</v>
      </c>
      <c r="AI102" s="14">
        <f>SUM(AI30:AI32)</f>
        <v>30895.051869999985</v>
      </c>
      <c r="AJ102" s="14">
        <f>SUM(AJ30:AJ32)</f>
        <v>127726.18959000002</v>
      </c>
      <c r="AK102" s="14">
        <f>SUM(AK30:AK32)</f>
        <v>58794.757309999986</v>
      </c>
      <c r="AL102" s="14">
        <f>SUM(AL30:AL32)</f>
        <v>14145.332550000003</v>
      </c>
      <c r="AM102" s="14">
        <f>SUM(AM30:AM32)</f>
        <v>3.7783500000000005</v>
      </c>
      <c r="AN102" s="14">
        <f>SUM(AN30:AN32)</f>
        <v>76.667699999999996</v>
      </c>
      <c r="AO102" s="14">
        <f>SUM(AO30:AO32)</f>
        <v>142981.81608000002</v>
      </c>
      <c r="AP102" s="14">
        <f>SUM(AP30:AP32)</f>
        <v>472763.95272999932</v>
      </c>
      <c r="AQ102" s="14">
        <f>SUM(AQ30:AQ32)</f>
        <v>27795.078130000002</v>
      </c>
      <c r="AR102" s="14">
        <f>SUM(AR30:AR32)</f>
        <v>13599.966420000001</v>
      </c>
      <c r="AS102" s="14">
        <f>SUM(AS30:AS32)</f>
        <v>15092.342200000001</v>
      </c>
      <c r="AT102" s="14">
        <f>SUM(AT30:AT32)</f>
        <v>2121.4064899999998</v>
      </c>
      <c r="AU102" s="14">
        <f>SUM(AU30:AU32)</f>
        <v>13219.84281</v>
      </c>
      <c r="AV102" s="14">
        <f>SUM(AV30:AV32)</f>
        <v>20.076900000000002</v>
      </c>
      <c r="AW102" s="14">
        <f>SUM(AW30:AW32)</f>
        <v>281.45213000000001</v>
      </c>
      <c r="AX102" s="14">
        <f>SUM(AX30:AX32)</f>
        <v>591.39574000000005</v>
      </c>
      <c r="AY102" s="14">
        <f>SUM(AY30:AY32)</f>
        <v>97652.882469999953</v>
      </c>
      <c r="AZ102" s="14">
        <f>SUM(AZ30:AZ32)</f>
        <v>9423.4365700000017</v>
      </c>
      <c r="BA102" s="14">
        <f>SUM(BA30:BA32)</f>
        <v>0</v>
      </c>
      <c r="BB102" s="14">
        <f>SUM(BB30:BB32)</f>
        <v>12.270820000000001</v>
      </c>
      <c r="BC102" s="14">
        <f>SUM(BC30:BC32)</f>
        <v>5730.1463000000003</v>
      </c>
      <c r="BD102" s="14">
        <f>SUM(BD30:BD32)</f>
        <v>195.51823000000002</v>
      </c>
      <c r="BE102" s="14">
        <f>SUM(BE30:BE32)</f>
        <v>19031.113440000001</v>
      </c>
      <c r="BF102" s="14">
        <f>SUM(BF30:BF32)</f>
        <v>3199.4376900000002</v>
      </c>
      <c r="BG102" s="14">
        <f>SUM(BG30:BG32)</f>
        <v>3606.7236800000001</v>
      </c>
      <c r="BH102" s="14">
        <f>SUM(BH30:BH32)</f>
        <v>387.66683</v>
      </c>
      <c r="BI102" s="14">
        <f>SUM(BI30:BI32)</f>
        <v>3915.3674099999998</v>
      </c>
      <c r="BJ102" s="14">
        <f>SUM(BJ30:BJ32)</f>
        <v>13543.106089999999</v>
      </c>
      <c r="BK102" s="14">
        <f>SUM(BK30:BK32)</f>
        <v>15800.099140000004</v>
      </c>
      <c r="BL102" s="14">
        <f>SUM(BL30:BL32)</f>
        <v>55155.787320000032</v>
      </c>
      <c r="BM102" s="14">
        <f>SUM(BM30:BM32)</f>
        <v>79371.743459999998</v>
      </c>
      <c r="BN102" s="14">
        <f>SUM(BN30:BN32)</f>
        <v>21431.809969999995</v>
      </c>
      <c r="BO102" s="14">
        <f>SUM(BO30:BO32)</f>
        <v>10656.858340000001</v>
      </c>
      <c r="BP102" s="14">
        <f>SUM(BP30:BP32)</f>
        <v>3398.8465499999993</v>
      </c>
      <c r="BQ102" s="14">
        <f>SUM(BQ30:BQ32)</f>
        <v>194.86086000000003</v>
      </c>
      <c r="BR102" s="14">
        <f>SUM(BR30:BR32)</f>
        <v>12.42667</v>
      </c>
      <c r="BS102" s="14">
        <f>SUM(BS30:BS32)</f>
        <v>14289.515850000002</v>
      </c>
      <c r="BT102" s="14">
        <f>SUM(BT30:BT32)</f>
        <v>23379.052269999996</v>
      </c>
      <c r="BU102" s="14">
        <f>SUM(BU30:BU32)</f>
        <v>44187.285530000008</v>
      </c>
      <c r="BV102" s="14">
        <f>SUM(BV30:BV32)</f>
        <v>731464.60080999986</v>
      </c>
      <c r="BW102" s="14">
        <f>SUM(BW30:BW32)</f>
        <v>354963.88099999988</v>
      </c>
      <c r="BX102" s="14">
        <f>SUM(BX30:BX32)</f>
        <v>72833.011469999983</v>
      </c>
      <c r="BY102" s="14">
        <f>SUM(BY30:BY32)</f>
        <v>96580.240699999995</v>
      </c>
      <c r="BZ102" s="14">
        <f>SUM(BZ30:BZ32)</f>
        <v>66.193349999999995</v>
      </c>
      <c r="CA102" s="14">
        <f>SUM(CA30:CA32)</f>
        <v>175871.77726000006</v>
      </c>
      <c r="CB102" s="14">
        <f>SUM(CB30:CB32)</f>
        <v>879.19294000000002</v>
      </c>
      <c r="CC102" s="14">
        <f>SUM(CC30:CC32)</f>
        <v>2.3747999999999996</v>
      </c>
      <c r="CD102" s="14">
        <f>SUM(CD30:CD32)</f>
        <v>37.084279999999993</v>
      </c>
      <c r="CE102" s="14">
        <f>SUM(CE30:CE32)</f>
        <v>420.55866000000003</v>
      </c>
      <c r="CF102" s="14">
        <f>SUM(CF30:CF32)</f>
        <v>17793.33668</v>
      </c>
      <c r="CG102" s="14">
        <f>SUM(CG30:CG32)</f>
        <v>12950.344299999997</v>
      </c>
      <c r="CH102" s="14">
        <f>SUM(CH30:CH32)</f>
        <v>121024.98301000005</v>
      </c>
      <c r="CI102" s="14">
        <f>SUM(CI30:CI32)</f>
        <v>164903.46169000014</v>
      </c>
      <c r="CJ102" s="14">
        <f>SUM(CJ30:CJ32)</f>
        <v>437.99415999999997</v>
      </c>
      <c r="CK102" s="14">
        <f>SUM(CK30:CK32)</f>
        <v>93817.183670000013</v>
      </c>
      <c r="CL102" s="14">
        <f>SUM(CL30:CL32)</f>
        <v>8528.4891000000007</v>
      </c>
      <c r="CM102" s="14">
        <f>SUM(CM30:CM32)</f>
        <v>1870.6946599999999</v>
      </c>
      <c r="CN102" s="14">
        <f>SUM(CN30:CN32)</f>
        <v>27159.912169999981</v>
      </c>
      <c r="CO102" s="14">
        <f>SUM(CO30:CO32)</f>
        <v>194.02396999999999</v>
      </c>
      <c r="CP102" s="14">
        <f>SUM(CP30:CP32)</f>
        <v>1.8914600000000001</v>
      </c>
      <c r="CQ102" s="14">
        <f>SUM(CQ30:CQ32)</f>
        <v>2965.3738899999998</v>
      </c>
      <c r="CR102" s="14">
        <f>SUM(CR30:CR32)</f>
        <v>45711.783529999986</v>
      </c>
      <c r="CS102" s="14">
        <f>SUM(CS30:CS32)</f>
        <v>11055.79069</v>
      </c>
      <c r="CT102" s="14">
        <f>SUM(CT30:CT32)</f>
        <v>40849.158939999987</v>
      </c>
      <c r="CU102" s="14">
        <f>SUM(CU30:CU32)</f>
        <v>1156.22282</v>
      </c>
      <c r="CV102" s="14">
        <f>SUM(CV30:CV32)</f>
        <v>2107.5696699999999</v>
      </c>
      <c r="CW102" s="14">
        <f>SUM(CW30:CW32)</f>
        <v>15620668.360240001</v>
      </c>
    </row>
    <row r="103" spans="2:101">
      <c r="B103" s="140"/>
      <c r="C103" t="s">
        <v>3</v>
      </c>
      <c r="D103" s="14">
        <f>SUM(D33:D35)</f>
        <v>43378.433870000001</v>
      </c>
      <c r="E103" s="14">
        <f>SUM(E33:E35)</f>
        <v>63218.960310000009</v>
      </c>
      <c r="F103" s="14">
        <f>SUM(F33:F35)</f>
        <v>40807.365100000003</v>
      </c>
      <c r="G103" s="14">
        <f>SUM(G33:G35)</f>
        <v>6968.9573200000004</v>
      </c>
      <c r="H103" s="14">
        <f>SUM(H33:H35)</f>
        <v>15002.634510000002</v>
      </c>
      <c r="I103" s="14">
        <f>SUM(I33:I35)</f>
        <v>414431.31765999971</v>
      </c>
      <c r="J103" s="14">
        <f>SUM(J33:J35)</f>
        <v>5512.1827299999986</v>
      </c>
      <c r="K103" s="14">
        <f>SUM(K33:K35)</f>
        <v>355809.05262000009</v>
      </c>
      <c r="L103" s="14">
        <f>SUM(L33:L35)</f>
        <v>1057251.5889899996</v>
      </c>
      <c r="M103" s="14">
        <f>SUM(M33:M35)</f>
        <v>184.55491000000001</v>
      </c>
      <c r="N103" s="14">
        <f>SUM(N33:N35)</f>
        <v>22218.642320000003</v>
      </c>
      <c r="O103" s="14">
        <f>SUM(O33:O35)</f>
        <v>11793.740120000002</v>
      </c>
      <c r="P103" s="14">
        <f>SUM(P33:P35)</f>
        <v>173.07363999999998</v>
      </c>
      <c r="Q103" s="14">
        <f>SUM(Q33:Q35)</f>
        <v>323.85940999999997</v>
      </c>
      <c r="R103" s="14">
        <f>SUM(R33:R35)</f>
        <v>251409.35950999998</v>
      </c>
      <c r="S103" s="14">
        <f>SUM(S33:S35)</f>
        <v>11504.47258</v>
      </c>
      <c r="T103" s="14">
        <f>SUM(T33:T35)</f>
        <v>155732.91980999999</v>
      </c>
      <c r="U103" s="14">
        <f>SUM(U33:U35)</f>
        <v>36226.57181999999</v>
      </c>
      <c r="V103" s="14">
        <f>SUM(V33:V35)</f>
        <v>53381.790870000012</v>
      </c>
      <c r="W103" s="14">
        <f>SUM(W33:W35)</f>
        <v>36863.560449999997</v>
      </c>
      <c r="X103" s="14">
        <f>SUM(X33:X35)</f>
        <v>148323.40347999995</v>
      </c>
      <c r="Y103" s="14">
        <f>SUM(Y33:Y35)</f>
        <v>16790.77406</v>
      </c>
      <c r="Z103" s="14">
        <f>SUM(Z33:Z35)</f>
        <v>22057.124350000002</v>
      </c>
      <c r="AA103" s="14">
        <f>SUM(AA33:AA35)</f>
        <v>1094.7892400000001</v>
      </c>
      <c r="AB103" s="14">
        <f>SUM(AB33:AB35)</f>
        <v>6770.8073899999981</v>
      </c>
      <c r="AC103" s="14">
        <f>SUM(AC33:AC35)</f>
        <v>76739.951850000012</v>
      </c>
      <c r="AD103" s="14">
        <f>SUM(AD33:AD35)</f>
        <v>8465205.1265499983</v>
      </c>
      <c r="AE103" s="14">
        <f>SUM(AE33:AE35)</f>
        <v>51673.834420000014</v>
      </c>
      <c r="AF103" s="14">
        <f>SUM(AF33:AF35)</f>
        <v>55267.983240000016</v>
      </c>
      <c r="AG103" s="14">
        <f>SUM(AG33:AG35)</f>
        <v>109446.01824999999</v>
      </c>
      <c r="AH103" s="14">
        <f>SUM(AH33:AH35)</f>
        <v>29064.267370000001</v>
      </c>
      <c r="AI103" s="14">
        <f>SUM(AI33:AI35)</f>
        <v>33068.081680000003</v>
      </c>
      <c r="AJ103" s="14">
        <f>SUM(AJ33:AJ35)</f>
        <v>147213.23733000003</v>
      </c>
      <c r="AK103" s="14">
        <f>SUM(AK33:AK35)</f>
        <v>65611.213599999988</v>
      </c>
      <c r="AL103" s="14">
        <f>SUM(AL33:AL35)</f>
        <v>19722.836150000003</v>
      </c>
      <c r="AM103" s="14">
        <f>SUM(AM33:AM35)</f>
        <v>17.532410000000002</v>
      </c>
      <c r="AN103" s="14">
        <f>SUM(AN33:AN35)</f>
        <v>177.38573000000002</v>
      </c>
      <c r="AO103" s="14">
        <f>SUM(AO33:AO35)</f>
        <v>168200.34738000008</v>
      </c>
      <c r="AP103" s="14">
        <f>SUM(AP33:AP35)</f>
        <v>576665.62549999903</v>
      </c>
      <c r="AQ103" s="14">
        <f>SUM(AQ33:AQ35)</f>
        <v>37169.90932999998</v>
      </c>
      <c r="AR103" s="14">
        <f>SUM(AR33:AR35)</f>
        <v>11412.94443</v>
      </c>
      <c r="AS103" s="14">
        <f>SUM(AS33:AS35)</f>
        <v>13099.281329999998</v>
      </c>
      <c r="AT103" s="14">
        <f>SUM(AT33:AT35)</f>
        <v>1468.6781999999998</v>
      </c>
      <c r="AU103" s="14">
        <f>SUM(AU33:AU35)</f>
        <v>13155.763979999996</v>
      </c>
      <c r="AV103" s="14">
        <f>SUM(AV33:AV35)</f>
        <v>55.934380000000004</v>
      </c>
      <c r="AW103" s="14">
        <f>SUM(AW33:AW35)</f>
        <v>208.15985000000003</v>
      </c>
      <c r="AX103" s="14">
        <f>SUM(AX33:AX35)</f>
        <v>590.36322999999993</v>
      </c>
      <c r="AY103" s="14">
        <f>SUM(AY33:AY35)</f>
        <v>93925.570569999953</v>
      </c>
      <c r="AZ103" s="14">
        <f>SUM(AZ33:AZ35)</f>
        <v>11379.341400000003</v>
      </c>
      <c r="BA103" s="14">
        <f>SUM(BA33:BA35)</f>
        <v>0</v>
      </c>
      <c r="BB103" s="14">
        <f>SUM(BB33:BB35)</f>
        <v>2.1669</v>
      </c>
      <c r="BC103" s="14">
        <f>SUM(BC33:BC35)</f>
        <v>5906.2369099999996</v>
      </c>
      <c r="BD103" s="14">
        <f>SUM(BD33:BD35)</f>
        <v>285.89233999999999</v>
      </c>
      <c r="BE103" s="14">
        <f>SUM(BE33:BE35)</f>
        <v>19439.969939999995</v>
      </c>
      <c r="BF103" s="14">
        <f>SUM(BF33:BF35)</f>
        <v>2856.3729800000001</v>
      </c>
      <c r="BG103" s="14">
        <f>SUM(BG33:BG35)</f>
        <v>3654.6535599999997</v>
      </c>
      <c r="BH103" s="14">
        <f>SUM(BH33:BH35)</f>
        <v>450.22852</v>
      </c>
      <c r="BI103" s="14">
        <f>SUM(BI33:BI35)</f>
        <v>3386.5122599999995</v>
      </c>
      <c r="BJ103" s="14">
        <f>SUM(BJ33:BJ35)</f>
        <v>11913.5203</v>
      </c>
      <c r="BK103" s="14">
        <f>SUM(BK33:BK35)</f>
        <v>18075.108780000002</v>
      </c>
      <c r="BL103" s="14">
        <f>SUM(BL33:BL35)</f>
        <v>50746.88820999999</v>
      </c>
      <c r="BM103" s="14">
        <f>SUM(BM33:BM35)</f>
        <v>74358.600220000022</v>
      </c>
      <c r="BN103" s="14">
        <f>SUM(BN33:BN35)</f>
        <v>21999.023480000011</v>
      </c>
      <c r="BO103" s="14">
        <f>SUM(BO33:BO35)</f>
        <v>11221.120699999999</v>
      </c>
      <c r="BP103" s="14">
        <f>SUM(BP33:BP35)</f>
        <v>4038.17866</v>
      </c>
      <c r="BQ103" s="14">
        <f>SUM(BQ33:BQ35)</f>
        <v>210.11245000000002</v>
      </c>
      <c r="BR103" s="14">
        <f>SUM(BR33:BR35)</f>
        <v>55.458579999999991</v>
      </c>
      <c r="BS103" s="14">
        <f>SUM(BS33:BS35)</f>
        <v>12755.686139999998</v>
      </c>
      <c r="BT103" s="14">
        <f>SUM(BT33:BT35)</f>
        <v>25685.860150000008</v>
      </c>
      <c r="BU103" s="14">
        <f>SUM(BU33:BU35)</f>
        <v>49007.961219999983</v>
      </c>
      <c r="BV103" s="14">
        <f>SUM(BV33:BV35)</f>
        <v>832199.69250999996</v>
      </c>
      <c r="BW103" s="14">
        <f>SUM(BW33:BW35)</f>
        <v>262834.67551999993</v>
      </c>
      <c r="BX103" s="14">
        <f>SUM(BX33:BX35)</f>
        <v>68940.105320000002</v>
      </c>
      <c r="BY103" s="14">
        <f>SUM(BY33:BY35)</f>
        <v>72859.474760000012</v>
      </c>
      <c r="BZ103" s="14">
        <f>SUM(BZ33:BZ35)</f>
        <v>69.060280000000006</v>
      </c>
      <c r="CA103" s="14">
        <f>SUM(CA33:CA35)</f>
        <v>177622.27055999989</v>
      </c>
      <c r="CB103" s="14">
        <f>SUM(CB33:CB35)</f>
        <v>523.27877000000001</v>
      </c>
      <c r="CC103" s="14">
        <f>SUM(CC33:CC35)</f>
        <v>39.168120000000002</v>
      </c>
      <c r="CD103" s="14">
        <f>SUM(CD33:CD35)</f>
        <v>29.933880000000002</v>
      </c>
      <c r="CE103" s="14">
        <f>SUM(CE33:CE35)</f>
        <v>524.03418999999997</v>
      </c>
      <c r="CF103" s="14">
        <f>SUM(CF33:CF35)</f>
        <v>17827.640570000003</v>
      </c>
      <c r="CG103" s="14">
        <f>SUM(CG33:CG35)</f>
        <v>14894.291910000002</v>
      </c>
      <c r="CH103" s="14">
        <f>SUM(CH33:CH35)</f>
        <v>129482.64626000002</v>
      </c>
      <c r="CI103" s="14">
        <f>SUM(CI33:CI35)</f>
        <v>168821.85382999998</v>
      </c>
      <c r="CJ103" s="14">
        <f>SUM(CJ33:CJ35)</f>
        <v>876.42109000000005</v>
      </c>
      <c r="CK103" s="14">
        <f>SUM(CK33:CK35)</f>
        <v>114116.41103000002</v>
      </c>
      <c r="CL103" s="14">
        <f>SUM(CL33:CL35)</f>
        <v>14162.214669999998</v>
      </c>
      <c r="CM103" s="14">
        <f>SUM(CM33:CM35)</f>
        <v>7016.1007200000004</v>
      </c>
      <c r="CN103" s="14">
        <f>SUM(CN33:CN35)</f>
        <v>23846.729569999992</v>
      </c>
      <c r="CO103" s="14">
        <f>SUM(CO33:CO35)</f>
        <v>103.32722000000001</v>
      </c>
      <c r="CP103" s="14">
        <f>SUM(CP33:CP35)</f>
        <v>85.392350000000008</v>
      </c>
      <c r="CQ103" s="14">
        <f>SUM(CQ33:CQ35)</f>
        <v>371.64600000000002</v>
      </c>
      <c r="CR103" s="14">
        <f>SUM(CR33:CR35)</f>
        <v>41055.071609999985</v>
      </c>
      <c r="CS103" s="14">
        <f>SUM(CS33:CS35)</f>
        <v>9278.2947899999981</v>
      </c>
      <c r="CT103" s="14">
        <f>SUM(CT33:CT35)</f>
        <v>44466.505489999981</v>
      </c>
      <c r="CU103" s="14">
        <f>SUM(CU33:CU35)</f>
        <v>1373.1907200000001</v>
      </c>
      <c r="CV103" s="14">
        <f>SUM(CV33:CV35)</f>
        <v>3699.7124100000001</v>
      </c>
      <c r="CW103" s="14">
        <f>SUM(CW33:CW35)</f>
        <v>15080938.021679992</v>
      </c>
    </row>
    <row r="104" spans="2:101">
      <c r="B104" s="140"/>
      <c r="C104" t="s">
        <v>4</v>
      </c>
      <c r="D104" s="14">
        <f>SUM(D36:D38)</f>
        <v>74173.011339999997</v>
      </c>
      <c r="E104" s="14">
        <f>SUM(E36:E38)</f>
        <v>49914.370520000011</v>
      </c>
      <c r="F104" s="14">
        <f>SUM(F36:F38)</f>
        <v>46399.700779999992</v>
      </c>
      <c r="G104" s="14">
        <f>SUM(G36:G38)</f>
        <v>7705.1936299999998</v>
      </c>
      <c r="H104" s="14">
        <f>SUM(H36:H38)</f>
        <v>16164.408290000001</v>
      </c>
      <c r="I104" s="14">
        <f>SUM(I36:I38)</f>
        <v>426376.92580999993</v>
      </c>
      <c r="J104" s="14">
        <f>SUM(J36:J38)</f>
        <v>7617.0232699999979</v>
      </c>
      <c r="K104" s="14">
        <f>SUM(K36:K38)</f>
        <v>357540.37668999989</v>
      </c>
      <c r="L104" s="14">
        <f>SUM(L36:L38)</f>
        <v>965553.59157999977</v>
      </c>
      <c r="M104" s="14">
        <f>SUM(M36:M38)</f>
        <v>653.06268999999998</v>
      </c>
      <c r="N104" s="14">
        <f>SUM(N36:N38)</f>
        <v>16762.536739999996</v>
      </c>
      <c r="O104" s="14">
        <f>SUM(O36:O38)</f>
        <v>10989.522709999999</v>
      </c>
      <c r="P104" s="14">
        <f>SUM(P36:P38)</f>
        <v>890.54886999999997</v>
      </c>
      <c r="Q104" s="14">
        <f>SUM(Q36:Q38)</f>
        <v>355.59737000000001</v>
      </c>
      <c r="R104" s="14">
        <f>SUM(R36:R38)</f>
        <v>150709.82882</v>
      </c>
      <c r="S104" s="14">
        <f>SUM(S36:S38)</f>
        <v>8106.3543699999991</v>
      </c>
      <c r="T104" s="14">
        <f>SUM(T36:T38)</f>
        <v>195669.42147000018</v>
      </c>
      <c r="U104" s="14">
        <f>SUM(U36:U38)</f>
        <v>33072.783280000003</v>
      </c>
      <c r="V104" s="14">
        <f>SUM(V36:V38)</f>
        <v>50190.056180000007</v>
      </c>
      <c r="W104" s="14">
        <f>SUM(W36:W38)</f>
        <v>33585.958660000011</v>
      </c>
      <c r="X104" s="14">
        <f>SUM(X36:X38)</f>
        <v>167395.47224000003</v>
      </c>
      <c r="Y104" s="14">
        <f>SUM(Y36:Y38)</f>
        <v>18786.3171</v>
      </c>
      <c r="Z104" s="14">
        <f>SUM(Z36:Z38)</f>
        <v>19395.552919999998</v>
      </c>
      <c r="AA104" s="14">
        <f>SUM(AA36:AA38)</f>
        <v>1173.63948</v>
      </c>
      <c r="AB104" s="14">
        <f>SUM(AB36:AB38)</f>
        <v>8318.9526000000005</v>
      </c>
      <c r="AC104" s="14">
        <f>SUM(AC36:AC38)</f>
        <v>58904.233549999997</v>
      </c>
      <c r="AD104" s="14">
        <f>SUM(AD36:AD38)</f>
        <v>7184434.8177699968</v>
      </c>
      <c r="AE104" s="14">
        <f>SUM(AE36:AE38)</f>
        <v>46109.766180000006</v>
      </c>
      <c r="AF104" s="14">
        <f>SUM(AF36:AF38)</f>
        <v>44959.785890000014</v>
      </c>
      <c r="AG104" s="14">
        <f>SUM(AG36:AG38)</f>
        <v>104760.99182000005</v>
      </c>
      <c r="AH104" s="14">
        <f>SUM(AH36:AH38)</f>
        <v>16609.684590000001</v>
      </c>
      <c r="AI104" s="14">
        <f>SUM(AI36:AI38)</f>
        <v>37119.546589999991</v>
      </c>
      <c r="AJ104" s="14">
        <f>SUM(AJ36:AJ38)</f>
        <v>134702.11069999996</v>
      </c>
      <c r="AK104" s="14">
        <f>SUM(AK36:AK38)</f>
        <v>62603.755720000001</v>
      </c>
      <c r="AL104" s="14">
        <f>SUM(AL36:AL38)</f>
        <v>21288.128409999998</v>
      </c>
      <c r="AM104" s="14">
        <f>SUM(AM36:AM38)</f>
        <v>212.26136</v>
      </c>
      <c r="AN104" s="14">
        <f>SUM(AN36:AN38)</f>
        <v>250.01021999999998</v>
      </c>
      <c r="AO104" s="14">
        <f>SUM(AO36:AO38)</f>
        <v>139784.22431000002</v>
      </c>
      <c r="AP104" s="14">
        <f>SUM(AP36:AP38)</f>
        <v>407564.10765000002</v>
      </c>
      <c r="AQ104" s="14">
        <f>SUM(AQ36:AQ38)</f>
        <v>33015.380009999979</v>
      </c>
      <c r="AR104" s="14">
        <f>SUM(AR36:AR38)</f>
        <v>9801.399730000001</v>
      </c>
      <c r="AS104" s="14">
        <f>SUM(AS36:AS38)</f>
        <v>12689.157739999991</v>
      </c>
      <c r="AT104" s="14">
        <f>SUM(AT36:AT38)</f>
        <v>1883.17643</v>
      </c>
      <c r="AU104" s="14">
        <f>SUM(AU36:AU38)</f>
        <v>11628.15459</v>
      </c>
      <c r="AV104" s="14">
        <f>SUM(AV36:AV38)</f>
        <v>40.125380000000007</v>
      </c>
      <c r="AW104" s="14">
        <f>SUM(AW36:AW38)</f>
        <v>323.11081999999999</v>
      </c>
      <c r="AX104" s="14">
        <f>SUM(AX36:AX38)</f>
        <v>145.50785000000002</v>
      </c>
      <c r="AY104" s="14">
        <f>SUM(AY36:AY38)</f>
        <v>93112.404190000001</v>
      </c>
      <c r="AZ104" s="14">
        <f>SUM(AZ36:AZ38)</f>
        <v>10473.944159999999</v>
      </c>
      <c r="BA104" s="14">
        <f>SUM(BA36:BA38)</f>
        <v>0.06</v>
      </c>
      <c r="BB104" s="14">
        <f>SUM(BB36:BB38)</f>
        <v>1.00908</v>
      </c>
      <c r="BC104" s="14">
        <f>SUM(BC36:BC38)</f>
        <v>5703.8124100000023</v>
      </c>
      <c r="BD104" s="14">
        <f>SUM(BD36:BD38)</f>
        <v>263.85811000000001</v>
      </c>
      <c r="BE104" s="14">
        <f>SUM(BE36:BE38)</f>
        <v>17940.146679999998</v>
      </c>
      <c r="BF104" s="14">
        <f>SUM(BF36:BF38)</f>
        <v>3914.6038099999996</v>
      </c>
      <c r="BG104" s="14">
        <f>SUM(BG36:BG38)</f>
        <v>3609.88375</v>
      </c>
      <c r="BH104" s="14">
        <f>SUM(BH36:BH38)</f>
        <v>212.41482999999999</v>
      </c>
      <c r="BI104" s="14">
        <f>SUM(BI36:BI38)</f>
        <v>2894.8314200000004</v>
      </c>
      <c r="BJ104" s="14">
        <f>SUM(BJ36:BJ38)</f>
        <v>9245.0915200000018</v>
      </c>
      <c r="BK104" s="14">
        <f>SUM(BK36:BK38)</f>
        <v>16375.741539999999</v>
      </c>
      <c r="BL104" s="14">
        <f>SUM(BL36:BL38)</f>
        <v>57707.484289999957</v>
      </c>
      <c r="BM104" s="14">
        <f>SUM(BM36:BM38)</f>
        <v>78840.534279999993</v>
      </c>
      <c r="BN104" s="14">
        <f>SUM(BN36:BN38)</f>
        <v>20472.774489999996</v>
      </c>
      <c r="BO104" s="14">
        <f>SUM(BO36:BO38)</f>
        <v>12681.255699999998</v>
      </c>
      <c r="BP104" s="14">
        <f>SUM(BP36:BP38)</f>
        <v>4168.8262800000002</v>
      </c>
      <c r="BQ104" s="14">
        <f>SUM(BQ36:BQ38)</f>
        <v>143.03364999999999</v>
      </c>
      <c r="BR104" s="14">
        <f>SUM(BR36:BR38)</f>
        <v>20.788049999999998</v>
      </c>
      <c r="BS104" s="14">
        <f>SUM(BS36:BS38)</f>
        <v>13630.80025</v>
      </c>
      <c r="BT104" s="14">
        <f>SUM(BT36:BT38)</f>
        <v>23741.783730000003</v>
      </c>
      <c r="BU104" s="14">
        <f>SUM(BU36:BU38)</f>
        <v>41255.786000000007</v>
      </c>
      <c r="BV104" s="14">
        <f>SUM(BV36:BV38)</f>
        <v>872567.97418000014</v>
      </c>
      <c r="BW104" s="14">
        <f>SUM(BW36:BW38)</f>
        <v>181971.83071999997</v>
      </c>
      <c r="BX104" s="14">
        <f>SUM(BX36:BX38)</f>
        <v>73675.299670000008</v>
      </c>
      <c r="BY104" s="14">
        <f>SUM(BY36:BY38)</f>
        <v>76366.532009999995</v>
      </c>
      <c r="BZ104" s="14">
        <f>SUM(BZ36:BZ38)</f>
        <v>44.984160000000003</v>
      </c>
      <c r="CA104" s="14">
        <f>SUM(CA36:CA38)</f>
        <v>200580.34220000007</v>
      </c>
      <c r="CB104" s="14">
        <f>SUM(CB36:CB38)</f>
        <v>72.874619999999993</v>
      </c>
      <c r="CC104" s="14">
        <f>SUM(CC36:CC38)</f>
        <v>3979.1575900000003</v>
      </c>
      <c r="CD104" s="14">
        <f>SUM(CD36:CD38)</f>
        <v>25.222850000000001</v>
      </c>
      <c r="CE104" s="14">
        <f>SUM(CE36:CE38)</f>
        <v>319.08402999999998</v>
      </c>
      <c r="CF104" s="14">
        <f>SUM(CF36:CF38)</f>
        <v>17851.878500000003</v>
      </c>
      <c r="CG104" s="14">
        <f>SUM(CG36:CG38)</f>
        <v>12841.192630000001</v>
      </c>
      <c r="CH104" s="14">
        <f>SUM(CH36:CH38)</f>
        <v>131648.19722999987</v>
      </c>
      <c r="CI104" s="14">
        <f>SUM(CI36:CI38)</f>
        <v>173900.74462999991</v>
      </c>
      <c r="CJ104" s="14">
        <f>SUM(CJ36:CJ38)</f>
        <v>131.80236000000002</v>
      </c>
      <c r="CK104" s="14">
        <f>SUM(CK36:CK38)</f>
        <v>108062.76277</v>
      </c>
      <c r="CL104" s="14">
        <f>SUM(CL36:CL38)</f>
        <v>15198.87103</v>
      </c>
      <c r="CM104" s="14">
        <f>SUM(CM36:CM38)</f>
        <v>674.50113999999996</v>
      </c>
      <c r="CN104" s="14">
        <f>SUM(CN36:CN38)</f>
        <v>25000.528169999998</v>
      </c>
      <c r="CO104" s="14">
        <f>SUM(CO36:CO38)</f>
        <v>263.75766999999996</v>
      </c>
      <c r="CP104" s="14">
        <f>SUM(CP36:CP38)</f>
        <v>208.77037000000001</v>
      </c>
      <c r="CQ104" s="14">
        <f>SUM(CQ36:CQ38)</f>
        <v>4759.2354800000003</v>
      </c>
      <c r="CR104" s="14">
        <f>SUM(CR36:CR38)</f>
        <v>46445.384589999994</v>
      </c>
      <c r="CS104" s="14">
        <f>SUM(CS36:CS38)</f>
        <v>9868.0706499999997</v>
      </c>
      <c r="CT104" s="14">
        <f>SUM(CT36:CT38)</f>
        <v>44323.623599999984</v>
      </c>
      <c r="CU104" s="14">
        <f>SUM(CU36:CU38)</f>
        <v>1639.3683899999999</v>
      </c>
      <c r="CV104" s="14">
        <f>SUM(CV36:CV38)</f>
        <v>2351.0302799999999</v>
      </c>
      <c r="CW104" s="14">
        <f>SUM(CW36:CW38)</f>
        <v>13417513.534459993</v>
      </c>
    </row>
    <row r="105" spans="2:101">
      <c r="B105" s="140">
        <v>2023</v>
      </c>
      <c r="C105" t="s">
        <v>1</v>
      </c>
      <c r="D105" s="14">
        <f>SUM(D39:D41)</f>
        <v>53553.942469999995</v>
      </c>
      <c r="E105" s="14">
        <f>SUM(E39:E41)</f>
        <v>38275.5913</v>
      </c>
      <c r="F105" s="14">
        <f>SUM(F39:F41)</f>
        <v>32929.891390000004</v>
      </c>
      <c r="G105" s="14">
        <f>SUM(G39:G41)</f>
        <v>6324.4425600000004</v>
      </c>
      <c r="H105" s="14">
        <f>SUM(H39:H41)</f>
        <v>15516.11644</v>
      </c>
      <c r="I105" s="14">
        <f>SUM(I39:I41)</f>
        <v>600144.08764000016</v>
      </c>
      <c r="J105" s="14">
        <f>SUM(J39:J41)</f>
        <v>9937.9173899999987</v>
      </c>
      <c r="K105" s="14">
        <f>SUM(K39:K41)</f>
        <v>273647.63944000006</v>
      </c>
      <c r="L105" s="14">
        <f>SUM(L39:L41)</f>
        <v>804223.66340000031</v>
      </c>
      <c r="M105" s="14">
        <f>SUM(M39:M41)</f>
        <v>265.77720999999997</v>
      </c>
      <c r="N105" s="14">
        <f>SUM(N39:N41)</f>
        <v>18719.536189999992</v>
      </c>
      <c r="O105" s="14">
        <f>SUM(O39:O41)</f>
        <v>12529.67742</v>
      </c>
      <c r="P105" s="14">
        <f>SUM(P39:P41)</f>
        <v>800.71523999999999</v>
      </c>
      <c r="Q105" s="14">
        <f>SUM(Q39:Q41)</f>
        <v>323.37891000000002</v>
      </c>
      <c r="R105" s="14">
        <f>SUM(R39:R41)</f>
        <v>245777.09902999995</v>
      </c>
      <c r="S105" s="14">
        <f>SUM(S39:S41)</f>
        <v>9794.17641</v>
      </c>
      <c r="T105" s="14">
        <f>SUM(T39:T41)</f>
        <v>159337.01570999995</v>
      </c>
      <c r="U105" s="14">
        <f>SUM(U39:U41)</f>
        <v>26824.330589999998</v>
      </c>
      <c r="V105" s="14">
        <f>SUM(V39:V41)</f>
        <v>45631.400809999992</v>
      </c>
      <c r="W105" s="14">
        <f>SUM(W39:W41)</f>
        <v>35291.616410000002</v>
      </c>
      <c r="X105" s="14">
        <f>SUM(X39:X41)</f>
        <v>139551.88935000001</v>
      </c>
      <c r="Y105" s="14">
        <f>SUM(Y39:Y41)</f>
        <v>15039.119070000001</v>
      </c>
      <c r="Z105" s="14">
        <f>SUM(Z39:Z41)</f>
        <v>18497.68533</v>
      </c>
      <c r="AA105" s="14">
        <f>SUM(AA39:AA41)</f>
        <v>1183.4158399999999</v>
      </c>
      <c r="AB105" s="14">
        <f>SUM(AB39:AB41)</f>
        <v>6104.4982600000003</v>
      </c>
      <c r="AC105" s="14">
        <f>SUM(AC39:AC41)</f>
        <v>54314.572619999999</v>
      </c>
      <c r="AD105" s="14">
        <f>SUM(AD39:AD41)</f>
        <v>6486383.8260399997</v>
      </c>
      <c r="AE105" s="14">
        <f>SUM(AE39:AE41)</f>
        <v>39935.746089999993</v>
      </c>
      <c r="AF105" s="14">
        <f>SUM(AF39:AF41)</f>
        <v>39835.643919999988</v>
      </c>
      <c r="AG105" s="14">
        <f>SUM(AG39:AG41)</f>
        <v>97871.669389999981</v>
      </c>
      <c r="AH105" s="14">
        <f>SUM(AH39:AH41)</f>
        <v>31956.009859999998</v>
      </c>
      <c r="AI105" s="14">
        <f>SUM(AI39:AI41)</f>
        <v>28312.57935</v>
      </c>
      <c r="AJ105" s="14">
        <f>SUM(AJ39:AJ41)</f>
        <v>136685.73948999995</v>
      </c>
      <c r="AK105" s="14">
        <f>SUM(AK39:AK41)</f>
        <v>56171.733999999989</v>
      </c>
      <c r="AL105" s="14">
        <f>SUM(AL39:AL41)</f>
        <v>20413.807180000003</v>
      </c>
      <c r="AM105" s="14">
        <f>SUM(AM39:AM41)</f>
        <v>358.08</v>
      </c>
      <c r="AN105" s="14">
        <f>SUM(AN39:AN41)</f>
        <v>106.1407</v>
      </c>
      <c r="AO105" s="14">
        <f>SUM(AO39:AO41)</f>
        <v>105252.24396000002</v>
      </c>
      <c r="AP105" s="14">
        <f>SUM(AP39:AP41)</f>
        <v>370977.11697000032</v>
      </c>
      <c r="AQ105" s="14">
        <f>SUM(AQ39:AQ41)</f>
        <v>26671.330209999996</v>
      </c>
      <c r="AR105" s="14">
        <f>SUM(AR39:AR41)</f>
        <v>8571.63933</v>
      </c>
      <c r="AS105" s="14">
        <f>SUM(AS39:AS41)</f>
        <v>10941.183539999998</v>
      </c>
      <c r="AT105" s="14">
        <f>SUM(AT39:AT41)</f>
        <v>1610.96002</v>
      </c>
      <c r="AU105" s="14">
        <f>SUM(AU39:AU41)</f>
        <v>12549.025310000001</v>
      </c>
      <c r="AV105" s="14">
        <f>SUM(AV39:AV41)</f>
        <v>25.837649999999996</v>
      </c>
      <c r="AW105" s="14">
        <f>SUM(AW39:AW41)</f>
        <v>362.06299000000001</v>
      </c>
      <c r="AX105" s="14">
        <f>SUM(AX39:AX41)</f>
        <v>158.59162000000001</v>
      </c>
      <c r="AY105" s="14">
        <f>SUM(AY39:AY41)</f>
        <v>89601.143910000013</v>
      </c>
      <c r="AZ105" s="14">
        <f>SUM(AZ39:AZ41)</f>
        <v>10557.977600000002</v>
      </c>
      <c r="BA105" s="14">
        <f>SUM(BA39:BA41)</f>
        <v>0.53354999999999997</v>
      </c>
      <c r="BB105" s="14">
        <f>SUM(BB39:BB41)</f>
        <v>4.3986700000000001</v>
      </c>
      <c r="BC105" s="14">
        <f>SUM(BC39:BC41)</f>
        <v>4107.2286000000022</v>
      </c>
      <c r="BD105" s="14">
        <f>SUM(BD39:BD41)</f>
        <v>139.16272000000001</v>
      </c>
      <c r="BE105" s="14">
        <f>SUM(BE39:BE41)</f>
        <v>15920.987079999995</v>
      </c>
      <c r="BF105" s="14">
        <f>SUM(BF39:BF41)</f>
        <v>2703.5412500000016</v>
      </c>
      <c r="BG105" s="14">
        <f>SUM(BG39:BG41)</f>
        <v>3161.4851899999999</v>
      </c>
      <c r="BH105" s="14">
        <f>SUM(BH39:BH41)</f>
        <v>406.84491000000003</v>
      </c>
      <c r="BI105" s="14">
        <f>SUM(BI39:BI41)</f>
        <v>2265.7399699999996</v>
      </c>
      <c r="BJ105" s="14">
        <f>SUM(BJ39:BJ41)</f>
        <v>10698.747590000001</v>
      </c>
      <c r="BK105" s="14">
        <f>SUM(BK39:BK41)</f>
        <v>12987.753960000005</v>
      </c>
      <c r="BL105" s="14">
        <f>SUM(BL39:BL41)</f>
        <v>49199.441980000018</v>
      </c>
      <c r="BM105" s="14">
        <f>SUM(BM39:BM41)</f>
        <v>60814.683440000052</v>
      </c>
      <c r="BN105" s="14">
        <f>SUM(BN39:BN41)</f>
        <v>18911.889800000004</v>
      </c>
      <c r="BO105" s="14">
        <f>SUM(BO39:BO41)</f>
        <v>7515.8015300000006</v>
      </c>
      <c r="BP105" s="14">
        <f>SUM(BP39:BP41)</f>
        <v>2993.7006700000002</v>
      </c>
      <c r="BQ105" s="14">
        <f>SUM(BQ39:BQ41)</f>
        <v>179.18314000000001</v>
      </c>
      <c r="BR105" s="14">
        <f>SUM(BR39:BR41)</f>
        <v>8.1290399999999998</v>
      </c>
      <c r="BS105" s="14">
        <f>SUM(BS39:BS41)</f>
        <v>12425.318709999998</v>
      </c>
      <c r="BT105" s="14">
        <f>SUM(BT39:BT41)</f>
        <v>22891.158799999997</v>
      </c>
      <c r="BU105" s="14">
        <f>SUM(BU39:BU41)</f>
        <v>39109.394070000009</v>
      </c>
      <c r="BV105" s="14">
        <f>SUM(BV39:BV41)</f>
        <v>845222.61283000023</v>
      </c>
      <c r="BW105" s="14">
        <f>SUM(BW39:BW41)</f>
        <v>225356.92979000002</v>
      </c>
      <c r="BX105" s="14">
        <f>SUM(BX39:BX41)</f>
        <v>59989.536220000031</v>
      </c>
      <c r="BY105" s="14">
        <f>SUM(BY39:BY41)</f>
        <v>87778.979359999998</v>
      </c>
      <c r="BZ105" s="14">
        <f>SUM(BZ39:BZ41)</f>
        <v>29.346539999999997</v>
      </c>
      <c r="CA105" s="14">
        <f>SUM(CA39:CA41)</f>
        <v>258981.60102000023</v>
      </c>
      <c r="CB105" s="14">
        <f>SUM(CB39:CB41)</f>
        <v>1794.76098</v>
      </c>
      <c r="CC105" s="14">
        <f>SUM(CC39:CC41)</f>
        <v>1803.8925800000002</v>
      </c>
      <c r="CD105" s="14">
        <f>SUM(CD39:CD41)</f>
        <v>28.085799999999999</v>
      </c>
      <c r="CE105" s="14">
        <f>SUM(CE39:CE41)</f>
        <v>527.71789000000001</v>
      </c>
      <c r="CF105" s="14">
        <f>SUM(CF39:CF41)</f>
        <v>13688.799209999997</v>
      </c>
      <c r="CG105" s="14">
        <f>SUM(CG39:CG41)</f>
        <v>11517.63118</v>
      </c>
      <c r="CH105" s="14">
        <f>SUM(CH39:CH41)</f>
        <v>105585.63691000002</v>
      </c>
      <c r="CI105" s="14">
        <f>SUM(CI39:CI41)</f>
        <v>164137.76308999996</v>
      </c>
      <c r="CJ105" s="14">
        <f>SUM(CJ39:CJ41)</f>
        <v>126.17311000000001</v>
      </c>
      <c r="CK105" s="14">
        <f>SUM(CK39:CK41)</f>
        <v>74437.688500000062</v>
      </c>
      <c r="CL105" s="14">
        <f>SUM(CL39:CL41)</f>
        <v>1214.6305200000002</v>
      </c>
      <c r="CM105" s="14">
        <f>SUM(CM39:CM41)</f>
        <v>902.45771999999988</v>
      </c>
      <c r="CN105" s="14">
        <f>SUM(CN39:CN41)</f>
        <v>19844.561010000009</v>
      </c>
      <c r="CO105" s="14">
        <f>SUM(CO39:CO41)</f>
        <v>112.41213999999999</v>
      </c>
      <c r="CP105" s="14">
        <f>SUM(CP39:CP41)</f>
        <v>15.592399999999998</v>
      </c>
      <c r="CQ105" s="14">
        <f>SUM(CQ39:CQ41)</f>
        <v>2825.4047100000003</v>
      </c>
      <c r="CR105" s="14">
        <f>SUM(CR39:CR41)</f>
        <v>47906.799839999992</v>
      </c>
      <c r="CS105" s="14">
        <f>SUM(CS39:CS41)</f>
        <v>7088.115130000001</v>
      </c>
      <c r="CT105" s="14">
        <f>SUM(CT39:CT41)</f>
        <v>35543.680120000005</v>
      </c>
      <c r="CU105" s="14">
        <f>SUM(CU39:CU41)</f>
        <v>1494.7054599999999</v>
      </c>
      <c r="CV105" s="14">
        <f>SUM(CV39:CV41)</f>
        <v>3009.0474699999995</v>
      </c>
      <c r="CW105" s="14">
        <f>SUM(CW39:CW41)</f>
        <v>12437258.971760001</v>
      </c>
    </row>
    <row r="106" spans="2:101">
      <c r="B106" s="140"/>
      <c r="C106" t="s">
        <v>2</v>
      </c>
      <c r="D106" s="14">
        <f>SUM(D42:D44)</f>
        <v>69465.855790000001</v>
      </c>
      <c r="E106" s="14">
        <f>SUM(E42:E44)</f>
        <v>33834.756150000001</v>
      </c>
      <c r="F106" s="14">
        <f>SUM(F42:F44)</f>
        <v>52807.950310000007</v>
      </c>
      <c r="G106" s="14">
        <f>SUM(G42:G44)</f>
        <v>7143.8133800000005</v>
      </c>
      <c r="H106" s="14">
        <f>SUM(H42:H44)</f>
        <v>13021.417019999999</v>
      </c>
      <c r="I106" s="14">
        <f>SUM(I42:I44)</f>
        <v>547177.21882999945</v>
      </c>
      <c r="J106" s="14">
        <f>SUM(J42:J44)</f>
        <v>8146.7502799999993</v>
      </c>
      <c r="K106" s="14">
        <f>SUM(K42:K44)</f>
        <v>382624.76593999984</v>
      </c>
      <c r="L106" s="14">
        <f>SUM(L42:L44)</f>
        <v>689816.95491999981</v>
      </c>
      <c r="M106" s="14">
        <f>SUM(M42:M44)</f>
        <v>1781.9942799999999</v>
      </c>
      <c r="N106" s="14">
        <f>SUM(N42:N44)</f>
        <v>24870.850410000003</v>
      </c>
      <c r="O106" s="14">
        <f>SUM(O42:O44)</f>
        <v>11959.268690000001</v>
      </c>
      <c r="P106" s="14">
        <f>SUM(P42:P44)</f>
        <v>1393.0886999999998</v>
      </c>
      <c r="Q106" s="14">
        <f>SUM(Q42:Q44)</f>
        <v>444.86360999999999</v>
      </c>
      <c r="R106" s="14">
        <f>SUM(R42:R44)</f>
        <v>262849.08906999993</v>
      </c>
      <c r="S106" s="14">
        <f>SUM(S42:S44)</f>
        <v>6676.2674900000002</v>
      </c>
      <c r="T106" s="14">
        <f>SUM(T42:T44)</f>
        <v>161436.83858999994</v>
      </c>
      <c r="U106" s="14">
        <f>SUM(U42:U44)</f>
        <v>30762.050640000001</v>
      </c>
      <c r="V106" s="14">
        <f>SUM(V42:V44)</f>
        <v>59898.605139999985</v>
      </c>
      <c r="W106" s="14">
        <f>SUM(W42:W44)</f>
        <v>42749.384989999999</v>
      </c>
      <c r="X106" s="14">
        <f>SUM(X42:X44)</f>
        <v>135284.53732000006</v>
      </c>
      <c r="Y106" s="14">
        <f>SUM(Y42:Y44)</f>
        <v>15657.844639999999</v>
      </c>
      <c r="Z106" s="14">
        <f>SUM(Z42:Z44)</f>
        <v>19944.3586</v>
      </c>
      <c r="AA106" s="14">
        <f>SUM(AA42:AA44)</f>
        <v>3204.8474500000002</v>
      </c>
      <c r="AB106" s="14">
        <f>SUM(AB42:AB44)</f>
        <v>8145.8691100000015</v>
      </c>
      <c r="AC106" s="14">
        <f>SUM(AC42:AC44)</f>
        <v>125549.15572999998</v>
      </c>
      <c r="AD106" s="14">
        <f>SUM(AD42:AD44)</f>
        <v>5908389.9845000003</v>
      </c>
      <c r="AE106" s="14">
        <f>SUM(AE42:AE44)</f>
        <v>37791.41247000001</v>
      </c>
      <c r="AF106" s="14">
        <f>SUM(AF42:AF44)</f>
        <v>51862.579879999998</v>
      </c>
      <c r="AG106" s="14">
        <f>SUM(AG42:AG44)</f>
        <v>111035.58420999999</v>
      </c>
      <c r="AH106" s="14">
        <f>SUM(AH42:AH44)</f>
        <v>29620.547530000003</v>
      </c>
      <c r="AI106" s="14">
        <f>SUM(AI42:AI44)</f>
        <v>32798.893700000015</v>
      </c>
      <c r="AJ106" s="14">
        <f>SUM(AJ42:AJ44)</f>
        <v>148866.85899999994</v>
      </c>
      <c r="AK106" s="14">
        <f>SUM(AK42:AK44)</f>
        <v>63153.946779999969</v>
      </c>
      <c r="AL106" s="14">
        <f>SUM(AL42:AL44)</f>
        <v>16351.103599999999</v>
      </c>
      <c r="AM106" s="14">
        <f>SUM(AM42:AM44)</f>
        <v>0</v>
      </c>
      <c r="AN106" s="14">
        <f>SUM(AN42:AN44)</f>
        <v>93.465000000000003</v>
      </c>
      <c r="AO106" s="14">
        <f>SUM(AO42:AO44)</f>
        <v>157921.34751999995</v>
      </c>
      <c r="AP106" s="14">
        <f>SUM(AP42:AP44)</f>
        <v>374602.36455999978</v>
      </c>
      <c r="AQ106" s="14">
        <f>SUM(AQ42:AQ44)</f>
        <v>30353.178379999994</v>
      </c>
      <c r="AR106" s="14">
        <f>SUM(AR42:AR44)</f>
        <v>9516.5639599999995</v>
      </c>
      <c r="AS106" s="14">
        <f>SUM(AS42:AS44)</f>
        <v>14734.798799999997</v>
      </c>
      <c r="AT106" s="14">
        <f>SUM(AT42:AT44)</f>
        <v>1660.8034499999999</v>
      </c>
      <c r="AU106" s="14">
        <f>SUM(AU42:AU44)</f>
        <v>14293.115469999993</v>
      </c>
      <c r="AV106" s="14">
        <f>SUM(AV42:AV44)</f>
        <v>30.085979999999999</v>
      </c>
      <c r="AW106" s="14">
        <f>SUM(AW42:AW44)</f>
        <v>288.48853999999994</v>
      </c>
      <c r="AX106" s="14">
        <f>SUM(AX42:AX44)</f>
        <v>591.55226000000005</v>
      </c>
      <c r="AY106" s="14">
        <f>SUM(AY42:AY44)</f>
        <v>106771.42384999998</v>
      </c>
      <c r="AZ106" s="14">
        <f>SUM(AZ42:AZ44)</f>
        <v>11811.060030000002</v>
      </c>
      <c r="BA106" s="14">
        <f>SUM(BA42:BA44)</f>
        <v>0.60677000000000003</v>
      </c>
      <c r="BB106" s="14">
        <f>SUM(BB42:BB44)</f>
        <v>1.4981099999999998</v>
      </c>
      <c r="BC106" s="14">
        <f>SUM(BC42:BC44)</f>
        <v>4827.7001600000003</v>
      </c>
      <c r="BD106" s="14">
        <f>SUM(BD42:BD44)</f>
        <v>257.90311000000003</v>
      </c>
      <c r="BE106" s="14">
        <f>SUM(BE42:BE44)</f>
        <v>17386.425449999995</v>
      </c>
      <c r="BF106" s="14">
        <f>SUM(BF42:BF44)</f>
        <v>3199.9870699999997</v>
      </c>
      <c r="BG106" s="14">
        <f>SUM(BG42:BG44)</f>
        <v>3849.0533399999999</v>
      </c>
      <c r="BH106" s="14">
        <f>SUM(BH42:BH44)</f>
        <v>273.06593999999996</v>
      </c>
      <c r="BI106" s="14">
        <f>SUM(BI42:BI44)</f>
        <v>2927.1570700000007</v>
      </c>
      <c r="BJ106" s="14">
        <f>SUM(BJ42:BJ44)</f>
        <v>10163.273489999998</v>
      </c>
      <c r="BK106" s="14">
        <f>SUM(BK42:BK44)</f>
        <v>14726.648989999998</v>
      </c>
      <c r="BL106" s="14">
        <f>SUM(BL42:BL44)</f>
        <v>53583.570909999966</v>
      </c>
      <c r="BM106" s="14">
        <f>SUM(BM42:BM44)</f>
        <v>65214.434449999993</v>
      </c>
      <c r="BN106" s="14">
        <f>SUM(BN42:BN44)</f>
        <v>23013.587430000003</v>
      </c>
      <c r="BO106" s="14">
        <f>SUM(BO42:BO44)</f>
        <v>11438.266720000003</v>
      </c>
      <c r="BP106" s="14">
        <f>SUM(BP42:BP44)</f>
        <v>3829.5299699999996</v>
      </c>
      <c r="BQ106" s="14">
        <f>SUM(BQ42:BQ44)</f>
        <v>124.81645000000002</v>
      </c>
      <c r="BR106" s="14">
        <f>SUM(BR42:BR44)</f>
        <v>14.409520000000001</v>
      </c>
      <c r="BS106" s="14">
        <f>SUM(BS42:BS44)</f>
        <v>16499.420260000003</v>
      </c>
      <c r="BT106" s="14">
        <f>SUM(BT42:BT44)</f>
        <v>24918.49696</v>
      </c>
      <c r="BU106" s="14">
        <f>SUM(BU42:BU44)</f>
        <v>50810.728600000017</v>
      </c>
      <c r="BV106" s="14">
        <f>SUM(BV42:BV44)</f>
        <v>881062.91430999991</v>
      </c>
      <c r="BW106" s="14">
        <f>SUM(BW42:BW44)</f>
        <v>194506.83424000005</v>
      </c>
      <c r="BX106" s="14">
        <f>SUM(BX42:BX44)</f>
        <v>58167.880709999983</v>
      </c>
      <c r="BY106" s="14">
        <f>SUM(BY42:BY44)</f>
        <v>69621.915200000003</v>
      </c>
      <c r="BZ106" s="14">
        <f>SUM(BZ42:BZ44)</f>
        <v>40.928359999999998</v>
      </c>
      <c r="CA106" s="14">
        <f>SUM(CA42:CA44)</f>
        <v>228246.33570000003</v>
      </c>
      <c r="CB106" s="14">
        <f>SUM(CB42:CB44)</f>
        <v>2518.5463300000001</v>
      </c>
      <c r="CC106" s="14">
        <f>SUM(CC42:CC44)</f>
        <v>131.68824000000001</v>
      </c>
      <c r="CD106" s="14">
        <f>SUM(CD42:CD44)</f>
        <v>4.5747599999999995</v>
      </c>
      <c r="CE106" s="14">
        <f>SUM(CE42:CE44)</f>
        <v>276.10005999999998</v>
      </c>
      <c r="CF106" s="14">
        <f>SUM(CF42:CF44)</f>
        <v>17638.399219999999</v>
      </c>
      <c r="CG106" s="14">
        <f>SUM(CG42:CG44)</f>
        <v>12339.022599999998</v>
      </c>
      <c r="CH106" s="14">
        <f>SUM(CH42:CH44)</f>
        <v>132568.03173999995</v>
      </c>
      <c r="CI106" s="14">
        <f>SUM(CI42:CI44)</f>
        <v>196811.48552999992</v>
      </c>
      <c r="CJ106" s="14">
        <f>SUM(CJ42:CJ44)</f>
        <v>31.312160000000002</v>
      </c>
      <c r="CK106" s="14">
        <f>SUM(CK42:CK44)</f>
        <v>184598.97396000003</v>
      </c>
      <c r="CL106" s="14">
        <f>SUM(CL42:CL44)</f>
        <v>8830.0257799999999</v>
      </c>
      <c r="CM106" s="14">
        <f>SUM(CM42:CM44)</f>
        <v>813.32889999999998</v>
      </c>
      <c r="CN106" s="14">
        <f>SUM(CN42:CN44)</f>
        <v>26830.622740000006</v>
      </c>
      <c r="CO106" s="14">
        <f>SUM(CO42:CO44)</f>
        <v>64.161329999999992</v>
      </c>
      <c r="CP106" s="14">
        <f>SUM(CP42:CP44)</f>
        <v>130.58777999999998</v>
      </c>
      <c r="CQ106" s="14">
        <f>SUM(CQ42:CQ44)</f>
        <v>1463.1241</v>
      </c>
      <c r="CR106" s="14">
        <f>SUM(CR42:CR44)</f>
        <v>47117.382370000007</v>
      </c>
      <c r="CS106" s="14">
        <f>SUM(CS42:CS44)</f>
        <v>9538.7209400000011</v>
      </c>
      <c r="CT106" s="14">
        <f>SUM(CT42:CT44)</f>
        <v>36077.051729999999</v>
      </c>
      <c r="CU106" s="14">
        <f>SUM(CU42:CU44)</f>
        <v>366.50317999999999</v>
      </c>
      <c r="CV106" s="14">
        <f>SUM(CV42:CV44)</f>
        <v>2450.86481</v>
      </c>
      <c r="CW106" s="14">
        <f>SUM(CW42:CW44)</f>
        <v>12258495.454099998</v>
      </c>
    </row>
    <row r="107" spans="2:101">
      <c r="B107" s="140"/>
      <c r="C107" t="s">
        <v>3</v>
      </c>
      <c r="D107" s="14">
        <f>SUM(D45:D47)</f>
        <v>34733.871220000001</v>
      </c>
      <c r="E107" s="14">
        <f>SUM(E45:E47)</f>
        <v>17095.098870000002</v>
      </c>
      <c r="F107" s="14">
        <f>SUM(F45:F47)</f>
        <v>41680.343479999996</v>
      </c>
      <c r="G107" s="14">
        <f>SUM(G45:G47)</f>
        <v>5430.3190400000003</v>
      </c>
      <c r="H107" s="14">
        <f>SUM(H45:H47)</f>
        <v>14404.323490000001</v>
      </c>
      <c r="I107" s="14">
        <f>SUM(I45:I47)</f>
        <v>487855.02365000022</v>
      </c>
      <c r="J107" s="14">
        <f>SUM(J45:J47)</f>
        <v>7807.5183899999993</v>
      </c>
      <c r="K107" s="14">
        <f>SUM(K45:K47)</f>
        <v>296164.61594999983</v>
      </c>
      <c r="L107" s="14">
        <f>SUM(L45:L47)</f>
        <v>688806.17865999974</v>
      </c>
      <c r="M107" s="14">
        <f>SUM(M45:M47)</f>
        <v>794.55362000000002</v>
      </c>
      <c r="N107" s="14">
        <f>SUM(N45:N47)</f>
        <v>26374.948369999995</v>
      </c>
      <c r="O107" s="14">
        <f>SUM(O45:O47)</f>
        <v>10922.859619999999</v>
      </c>
      <c r="P107" s="14">
        <f>SUM(P45:P47)</f>
        <v>308.48200000000003</v>
      </c>
      <c r="Q107" s="14">
        <f>SUM(Q45:Q47)</f>
        <v>544.28580999999997</v>
      </c>
      <c r="R107" s="14">
        <f>SUM(R45:R47)</f>
        <v>173204.41726999998</v>
      </c>
      <c r="S107" s="14">
        <f>SUM(S45:S47)</f>
        <v>8266.1668700000009</v>
      </c>
      <c r="T107" s="14">
        <f>SUM(T45:T47)</f>
        <v>214144.61123999997</v>
      </c>
      <c r="U107" s="14">
        <f>SUM(U45:U47)</f>
        <v>38321.380770000003</v>
      </c>
      <c r="V107" s="14">
        <f>SUM(V45:V47)</f>
        <v>62718.424450000035</v>
      </c>
      <c r="W107" s="14">
        <f>SUM(W45:W47)</f>
        <v>47854.302089999997</v>
      </c>
      <c r="X107" s="14">
        <f>SUM(X45:X47)</f>
        <v>136517.10006999996</v>
      </c>
      <c r="Y107" s="14">
        <f>SUM(Y45:Y47)</f>
        <v>17008.600320000001</v>
      </c>
      <c r="Z107" s="14">
        <f>SUM(Z45:Z47)</f>
        <v>18389.65208</v>
      </c>
      <c r="AA107" s="14">
        <f>SUM(AA45:AA47)</f>
        <v>391.29388</v>
      </c>
      <c r="AB107" s="14">
        <f>SUM(AB45:AB47)</f>
        <v>8473.7597399999977</v>
      </c>
      <c r="AC107" s="14">
        <f>SUM(AC45:AC47)</f>
        <v>135712.33551999999</v>
      </c>
      <c r="AD107" s="14">
        <f>SUM(AD45:AD47)</f>
        <v>6207455.8201600015</v>
      </c>
      <c r="AE107" s="14">
        <f>SUM(AE45:AE47)</f>
        <v>34705.433430000012</v>
      </c>
      <c r="AF107" s="14">
        <f>SUM(AF45:AF47)</f>
        <v>50485.55085</v>
      </c>
      <c r="AG107" s="14">
        <f>SUM(AG45:AG47)</f>
        <v>112424.61540000005</v>
      </c>
      <c r="AH107" s="14">
        <f>SUM(AH45:AH47)</f>
        <v>10507.290599999998</v>
      </c>
      <c r="AI107" s="14">
        <f>SUM(AI45:AI47)</f>
        <v>34030.519959999991</v>
      </c>
      <c r="AJ107" s="14">
        <f>SUM(AJ45:AJ47)</f>
        <v>155520.81319000002</v>
      </c>
      <c r="AK107" s="14">
        <f>SUM(AK45:AK47)</f>
        <v>63874.795079999982</v>
      </c>
      <c r="AL107" s="14">
        <f>SUM(AL45:AL47)</f>
        <v>20822.682220000006</v>
      </c>
      <c r="AM107" s="14">
        <f>SUM(AM45:AM47)</f>
        <v>182.30778000000001</v>
      </c>
      <c r="AN107" s="14">
        <f>SUM(AN45:AN47)</f>
        <v>61.636469999999996</v>
      </c>
      <c r="AO107" s="14">
        <f>SUM(AO45:AO47)</f>
        <v>157768.19338999991</v>
      </c>
      <c r="AP107" s="14">
        <f>SUM(AP45:AP47)</f>
        <v>381454.25755999988</v>
      </c>
      <c r="AQ107" s="14">
        <f>SUM(AQ45:AQ47)</f>
        <v>25536.346230000003</v>
      </c>
      <c r="AR107" s="14">
        <f>SUM(AR45:AR47)</f>
        <v>8444.6182100000005</v>
      </c>
      <c r="AS107" s="14">
        <f>SUM(AS45:AS47)</f>
        <v>13139.193289999999</v>
      </c>
      <c r="AT107" s="14">
        <f>SUM(AT45:AT47)</f>
        <v>1435.8504</v>
      </c>
      <c r="AU107" s="14">
        <f>SUM(AU45:AU47)</f>
        <v>12905.862790000003</v>
      </c>
      <c r="AV107" s="14">
        <f>SUM(AV45:AV47)</f>
        <v>80.810450000000003</v>
      </c>
      <c r="AW107" s="14">
        <f>SUM(AW45:AW47)</f>
        <v>295.77906999999999</v>
      </c>
      <c r="AX107" s="14">
        <f>SUM(AX45:AX47)</f>
        <v>172.75638000000001</v>
      </c>
      <c r="AY107" s="14">
        <f>SUM(AY45:AY47)</f>
        <v>89553.459240000055</v>
      </c>
      <c r="AZ107" s="14">
        <f>SUM(AZ45:AZ47)</f>
        <v>13414.03897</v>
      </c>
      <c r="BA107" s="14">
        <f>SUM(BA45:BA47)</f>
        <v>6.3452999999999991</v>
      </c>
      <c r="BB107" s="14">
        <f>SUM(BB45:BB47)</f>
        <v>5.12216</v>
      </c>
      <c r="BC107" s="14">
        <f>SUM(BC45:BC47)</f>
        <v>4363.0547400000014</v>
      </c>
      <c r="BD107" s="14">
        <f>SUM(BD45:BD47)</f>
        <v>598.16975000000002</v>
      </c>
      <c r="BE107" s="14">
        <f>SUM(BE45:BE47)</f>
        <v>17589.294689999992</v>
      </c>
      <c r="BF107" s="14">
        <f>SUM(BF45:BF47)</f>
        <v>3070.0668899999991</v>
      </c>
      <c r="BG107" s="14">
        <f>SUM(BG45:BG47)</f>
        <v>3503.5697699999996</v>
      </c>
      <c r="BH107" s="14">
        <f>SUM(BH45:BH47)</f>
        <v>241.84933999999998</v>
      </c>
      <c r="BI107" s="14">
        <f>SUM(BI45:BI47)</f>
        <v>2480.3863600000004</v>
      </c>
      <c r="BJ107" s="14">
        <f>SUM(BJ45:BJ47)</f>
        <v>8796.5698799999973</v>
      </c>
      <c r="BK107" s="14">
        <f>SUM(BK45:BK47)</f>
        <v>16748.289389999998</v>
      </c>
      <c r="BL107" s="14">
        <f>SUM(BL45:BL47)</f>
        <v>51110.875979999997</v>
      </c>
      <c r="BM107" s="14">
        <f>SUM(BM45:BM47)</f>
        <v>62891.720089999959</v>
      </c>
      <c r="BN107" s="14">
        <f>SUM(BN45:BN47)</f>
        <v>19988.597360000014</v>
      </c>
      <c r="BO107" s="14">
        <f>SUM(BO45:BO47)</f>
        <v>10738.059790000001</v>
      </c>
      <c r="BP107" s="14">
        <f>SUM(BP45:BP47)</f>
        <v>4336.65481</v>
      </c>
      <c r="BQ107" s="14">
        <f>SUM(BQ45:BQ47)</f>
        <v>205.16326000000001</v>
      </c>
      <c r="BR107" s="14">
        <f>SUM(BR45:BR47)</f>
        <v>31.147600000000004</v>
      </c>
      <c r="BS107" s="14">
        <f>SUM(BS45:BS47)</f>
        <v>16536.492149999998</v>
      </c>
      <c r="BT107" s="14">
        <f>SUM(BT45:BT47)</f>
        <v>26669.066520000004</v>
      </c>
      <c r="BU107" s="14">
        <f>SUM(BU45:BU47)</f>
        <v>47544.884309999979</v>
      </c>
      <c r="BV107" s="14">
        <f>SUM(BV45:BV47)</f>
        <v>948187.47461999999</v>
      </c>
      <c r="BW107" s="14">
        <f>SUM(BW45:BW47)</f>
        <v>161950.35260000007</v>
      </c>
      <c r="BX107" s="14">
        <f>SUM(BX45:BX47)</f>
        <v>61022.368449999987</v>
      </c>
      <c r="BY107" s="14">
        <f>SUM(BY45:BY47)</f>
        <v>70419.145009999993</v>
      </c>
      <c r="BZ107" s="14">
        <f>SUM(BZ45:BZ47)</f>
        <v>79.677890000000005</v>
      </c>
      <c r="CA107" s="14">
        <f>SUM(CA45:CA47)</f>
        <v>179713.13817000002</v>
      </c>
      <c r="CB107" s="14">
        <f>SUM(CB45:CB47)</f>
        <v>2515.3755900000001</v>
      </c>
      <c r="CC107" s="14">
        <f>SUM(CC45:CC47)</f>
        <v>210.85194999999999</v>
      </c>
      <c r="CD107" s="14">
        <f>SUM(CD45:CD47)</f>
        <v>9.9124400000000001</v>
      </c>
      <c r="CE107" s="14">
        <f>SUM(CE45:CE47)</f>
        <v>469.34598</v>
      </c>
      <c r="CF107" s="14">
        <f>SUM(CF45:CF47)</f>
        <v>17574.664630000003</v>
      </c>
      <c r="CG107" s="14">
        <f>SUM(CG45:CG47)</f>
        <v>14802.689039999997</v>
      </c>
      <c r="CH107" s="14">
        <f>SUM(CH45:CH47)</f>
        <v>144174.87133999998</v>
      </c>
      <c r="CI107" s="14">
        <f>SUM(CI45:CI47)</f>
        <v>202381.39128000001</v>
      </c>
      <c r="CJ107" s="14">
        <f>SUM(CJ45:CJ47)</f>
        <v>337.84908000000001</v>
      </c>
      <c r="CK107" s="14">
        <f>SUM(CK45:CK47)</f>
        <v>159618.20246</v>
      </c>
      <c r="CL107" s="14">
        <f>SUM(CL45:CL47)</f>
        <v>5924.5353299999997</v>
      </c>
      <c r="CM107" s="14">
        <f>SUM(CM45:CM47)</f>
        <v>5026.0379600000006</v>
      </c>
      <c r="CN107" s="14">
        <f>SUM(CN45:CN47)</f>
        <v>21291.130809999981</v>
      </c>
      <c r="CO107" s="14">
        <f>SUM(CO45:CO47)</f>
        <v>226.52940999999998</v>
      </c>
      <c r="CP107" s="14">
        <f>SUM(CP45:CP47)</f>
        <v>9.9029199999999999</v>
      </c>
      <c r="CQ107" s="14">
        <f>SUM(CQ45:CQ47)</f>
        <v>1181.183</v>
      </c>
      <c r="CR107" s="14">
        <f>SUM(CR45:CR47)</f>
        <v>43467.415859999994</v>
      </c>
      <c r="CS107" s="14">
        <f>SUM(CS45:CS47)</f>
        <v>8734.484840000001</v>
      </c>
      <c r="CT107" s="14">
        <f>SUM(CT45:CT47)</f>
        <v>39255.557980000012</v>
      </c>
      <c r="CU107" s="14">
        <f>SUM(CU45:CU47)</f>
        <v>700.08447000000001</v>
      </c>
      <c r="CV107" s="14">
        <f>SUM(CV45:CV47)</f>
        <v>3919.0484999999994</v>
      </c>
      <c r="CW107" s="14">
        <f>SUM(CW45:CW47)</f>
        <v>12278855.699340001</v>
      </c>
    </row>
    <row r="108" spans="2:101">
      <c r="B108" s="140"/>
      <c r="C108" t="s">
        <v>4</v>
      </c>
      <c r="D108" s="14">
        <f>SUM(D48:D50)</f>
        <v>84209.018990000011</v>
      </c>
      <c r="E108" s="14">
        <f>SUM(E48:E50)</f>
        <v>27894.349349999997</v>
      </c>
      <c r="F108" s="14">
        <f>SUM(F48:F50)</f>
        <v>35974.366549999999</v>
      </c>
      <c r="G108" s="14">
        <f>SUM(G48:G50)</f>
        <v>6026.0631400000002</v>
      </c>
      <c r="H108" s="14">
        <f>SUM(H48:H50)</f>
        <v>15702.664289999999</v>
      </c>
      <c r="I108" s="14">
        <f>SUM(I48:I50)</f>
        <v>479973.61167999962</v>
      </c>
      <c r="J108" s="14">
        <f>SUM(J48:J50)</f>
        <v>9546.3602400000018</v>
      </c>
      <c r="K108" s="14">
        <f>SUM(K48:K50)</f>
        <v>398049.12970000051</v>
      </c>
      <c r="L108" s="14">
        <f>SUM(L48:L50)</f>
        <v>746350.25330000033</v>
      </c>
      <c r="M108" s="14">
        <f>SUM(M48:M50)</f>
        <v>648.83042</v>
      </c>
      <c r="N108" s="14">
        <f>SUM(N48:N50)</f>
        <v>18735.275790000007</v>
      </c>
      <c r="O108" s="14">
        <f>SUM(O48:O50)</f>
        <v>13417.049400000004</v>
      </c>
      <c r="P108" s="14">
        <f>SUM(P48:P50)</f>
        <v>534.72373000000005</v>
      </c>
      <c r="Q108" s="14">
        <f>SUM(Q48:Q50)</f>
        <v>501.07352000000003</v>
      </c>
      <c r="R108" s="14">
        <f>SUM(R48:R50)</f>
        <v>169253.26635999998</v>
      </c>
      <c r="S108" s="14">
        <f>SUM(S48:S50)</f>
        <v>6525.6935099999992</v>
      </c>
      <c r="T108" s="14">
        <f>SUM(T48:T50)</f>
        <v>209321.71710999997</v>
      </c>
      <c r="U108" s="14">
        <f>SUM(U48:U50)</f>
        <v>32752.015609999999</v>
      </c>
      <c r="V108" s="14">
        <f>SUM(V48:V50)</f>
        <v>47569.587120000011</v>
      </c>
      <c r="W108" s="14">
        <f>SUM(W48:W50)</f>
        <v>46096.812819999992</v>
      </c>
      <c r="X108" s="14">
        <f>SUM(X48:X50)</f>
        <v>137961.09982000006</v>
      </c>
      <c r="Y108" s="14">
        <f>SUM(Y48:Y50)</f>
        <v>21760.890890000002</v>
      </c>
      <c r="Z108" s="14">
        <f>SUM(Z48:Z50)</f>
        <v>22153.64632</v>
      </c>
      <c r="AA108" s="14">
        <f>SUM(AA48:AA50)</f>
        <v>1715.7160800000001</v>
      </c>
      <c r="AB108" s="14">
        <f>SUM(AB48:AB50)</f>
        <v>8655.5818900000013</v>
      </c>
      <c r="AC108" s="14">
        <f>SUM(AC48:AC50)</f>
        <v>52083.124380000008</v>
      </c>
      <c r="AD108" s="14">
        <f>SUM(AD48:AD50)</f>
        <v>6645727.198450001</v>
      </c>
      <c r="AE108" s="14">
        <f>SUM(AE48:AE50)</f>
        <v>37239.184929999989</v>
      </c>
      <c r="AF108" s="14">
        <f>SUM(AF48:AF50)</f>
        <v>49488.037000000004</v>
      </c>
      <c r="AG108" s="14">
        <f>SUM(AG48:AG50)</f>
        <v>113209.88785000003</v>
      </c>
      <c r="AH108" s="14">
        <f>SUM(AH48:AH50)</f>
        <v>13081.767529999999</v>
      </c>
      <c r="AI108" s="14">
        <f>SUM(AI48:AI50)</f>
        <v>32479.224940000015</v>
      </c>
      <c r="AJ108" s="14">
        <f>SUM(AJ48:AJ50)</f>
        <v>162383.37139999997</v>
      </c>
      <c r="AK108" s="14">
        <f>SUM(AK48:AK50)</f>
        <v>55412.471689999991</v>
      </c>
      <c r="AL108" s="14">
        <f>SUM(AL48:AL50)</f>
        <v>17732.475089999996</v>
      </c>
      <c r="AM108" s="14">
        <f>SUM(AM48:AM50)</f>
        <v>8.4636099999999992</v>
      </c>
      <c r="AN108" s="14">
        <f>SUM(AN48:AN50)</f>
        <v>76.368709999999993</v>
      </c>
      <c r="AO108" s="14">
        <f>SUM(AO48:AO50)</f>
        <v>133477.88061999998</v>
      </c>
      <c r="AP108" s="14">
        <f>SUM(AP48:AP50)</f>
        <v>424422.20663000009</v>
      </c>
      <c r="AQ108" s="14">
        <f>SUM(AQ48:AQ50)</f>
        <v>25824.163219999988</v>
      </c>
      <c r="AR108" s="14">
        <f>SUM(AR48:AR50)</f>
        <v>8912.6439900000005</v>
      </c>
      <c r="AS108" s="14">
        <f>SUM(AS48:AS50)</f>
        <v>15405.319500000003</v>
      </c>
      <c r="AT108" s="14">
        <f>SUM(AT48:AT50)</f>
        <v>1825.8269700000001</v>
      </c>
      <c r="AU108" s="14">
        <f>SUM(AU48:AU50)</f>
        <v>10391.510610000001</v>
      </c>
      <c r="AV108" s="14">
        <f>SUM(AV48:AV50)</f>
        <v>96.099979999999988</v>
      </c>
      <c r="AW108" s="14">
        <f>SUM(AW48:AW50)</f>
        <v>373.88867999999997</v>
      </c>
      <c r="AX108" s="14">
        <f>SUM(AX48:AX50)</f>
        <v>225.84296000000001</v>
      </c>
      <c r="AY108" s="14">
        <f>SUM(AY48:AY50)</f>
        <v>86926.015179999973</v>
      </c>
      <c r="AZ108" s="14">
        <f>SUM(AZ48:AZ50)</f>
        <v>9990.5124600000017</v>
      </c>
      <c r="BA108" s="14">
        <f>SUM(BA48:BA50)</f>
        <v>0.31323000000000001</v>
      </c>
      <c r="BB108" s="14">
        <f>SUM(BB48:BB50)</f>
        <v>40.832250000000002</v>
      </c>
      <c r="BC108" s="14">
        <f>SUM(BC48:BC50)</f>
        <v>3951.8180699999998</v>
      </c>
      <c r="BD108" s="14">
        <f>SUM(BD48:BD50)</f>
        <v>353.60218999999995</v>
      </c>
      <c r="BE108" s="14">
        <f>SUM(BE48:BE50)</f>
        <v>18606.060189999989</v>
      </c>
      <c r="BF108" s="14">
        <f>SUM(BF48:BF50)</f>
        <v>2436.7799399999994</v>
      </c>
      <c r="BG108" s="14">
        <f>SUM(BG48:BG50)</f>
        <v>3721.1518799999994</v>
      </c>
      <c r="BH108" s="14">
        <f>SUM(BH48:BH50)</f>
        <v>656.04692999999997</v>
      </c>
      <c r="BI108" s="14">
        <f>SUM(BI48:BI50)</f>
        <v>2502.9050799999995</v>
      </c>
      <c r="BJ108" s="14">
        <f>SUM(BJ48:BJ50)</f>
        <v>7986.2281199999979</v>
      </c>
      <c r="BK108" s="14">
        <f>SUM(BK48:BK50)</f>
        <v>14563.670889999998</v>
      </c>
      <c r="BL108" s="14">
        <f>SUM(BL48:BL50)</f>
        <v>48419.197589999996</v>
      </c>
      <c r="BM108" s="14">
        <f>SUM(BM48:BM50)</f>
        <v>70008.40582999996</v>
      </c>
      <c r="BN108" s="14">
        <f>SUM(BN48:BN50)</f>
        <v>23003.903740000009</v>
      </c>
      <c r="BO108" s="14">
        <f>SUM(BO48:BO50)</f>
        <v>12911.697830000001</v>
      </c>
      <c r="BP108" s="14">
        <f>SUM(BP48:BP50)</f>
        <v>5058.53352</v>
      </c>
      <c r="BQ108" s="14">
        <f>SUM(BQ48:BQ50)</f>
        <v>361.76196000000004</v>
      </c>
      <c r="BR108" s="14">
        <f>SUM(BR48:BR50)</f>
        <v>26.18703</v>
      </c>
      <c r="BS108" s="14">
        <f>SUM(BS48:BS50)</f>
        <v>15001.3374</v>
      </c>
      <c r="BT108" s="14">
        <f>SUM(BT48:BT50)</f>
        <v>25424.972130000002</v>
      </c>
      <c r="BU108" s="14">
        <f>SUM(BU48:BU50)</f>
        <v>46308.460340000005</v>
      </c>
      <c r="BV108" s="14">
        <f>SUM(BV48:BV50)</f>
        <v>947835.74206000031</v>
      </c>
      <c r="BW108" s="14">
        <f>SUM(BW48:BW50)</f>
        <v>130229.43743999995</v>
      </c>
      <c r="BX108" s="14">
        <f>SUM(BX48:BX50)</f>
        <v>60809.83095000001</v>
      </c>
      <c r="BY108" s="14">
        <f>SUM(BY48:BY50)</f>
        <v>60703.842720000001</v>
      </c>
      <c r="BZ108" s="14">
        <f>SUM(BZ48:BZ50)</f>
        <v>128.16143</v>
      </c>
      <c r="CA108" s="14">
        <f>SUM(CA48:CA50)</f>
        <v>175639.75234000001</v>
      </c>
      <c r="CB108" s="14">
        <f>SUM(CB48:CB50)</f>
        <v>1956.6725899999999</v>
      </c>
      <c r="CC108" s="14">
        <f>SUM(CC48:CC50)</f>
        <v>115.10068000000001</v>
      </c>
      <c r="CD108" s="14">
        <f>SUM(CD48:CD50)</f>
        <v>26.87753</v>
      </c>
      <c r="CE108" s="14">
        <f>SUM(CE48:CE50)</f>
        <v>611.06661999999994</v>
      </c>
      <c r="CF108" s="14">
        <f>SUM(CF48:CF50)</f>
        <v>19061.443380000001</v>
      </c>
      <c r="CG108" s="14">
        <f>SUM(CG48:CG50)</f>
        <v>13175.09772</v>
      </c>
      <c r="CH108" s="14">
        <f>SUM(CH48:CH50)</f>
        <v>170170.80405000021</v>
      </c>
      <c r="CI108" s="14">
        <f>SUM(CI48:CI50)</f>
        <v>224355.66322999989</v>
      </c>
      <c r="CJ108" s="14">
        <f>SUM(CJ48:CJ50)</f>
        <v>71.056339999999992</v>
      </c>
      <c r="CK108" s="14">
        <f>SUM(CK48:CK50)</f>
        <v>108300.28017999993</v>
      </c>
      <c r="CL108" s="14">
        <f>SUM(CL48:CL50)</f>
        <v>25188.412540000001</v>
      </c>
      <c r="CM108" s="14">
        <f>SUM(CM48:CM50)</f>
        <v>338.54669000000001</v>
      </c>
      <c r="CN108" s="14">
        <f>SUM(CN48:CN50)</f>
        <v>21285.58064</v>
      </c>
      <c r="CO108" s="14">
        <f>SUM(CO48:CO50)</f>
        <v>55.991709999999998</v>
      </c>
      <c r="CP108" s="14">
        <f>SUM(CP48:CP50)</f>
        <v>125.49822999999998</v>
      </c>
      <c r="CQ108" s="14">
        <f>SUM(CQ48:CQ50)</f>
        <v>2038.3213799999999</v>
      </c>
      <c r="CR108" s="14">
        <f>SUM(CR48:CR50)</f>
        <v>42456.598980000002</v>
      </c>
      <c r="CS108" s="14">
        <f>SUM(CS48:CS50)</f>
        <v>9824.0897300000015</v>
      </c>
      <c r="CT108" s="14">
        <f>SUM(CT48:CT50)</f>
        <v>36988.458880000006</v>
      </c>
      <c r="CU108" s="14">
        <f>SUM(CU48:CU50)</f>
        <v>1050.7002600000001</v>
      </c>
      <c r="CV108" s="14">
        <f>SUM(CV48:CV50)</f>
        <v>2507.0139199999999</v>
      </c>
      <c r="CW108" s="14">
        <f>SUM(CW48:CW50)</f>
        <v>12794516.192370001</v>
      </c>
    </row>
    <row r="109" spans="2:101">
      <c r="B109" s="140">
        <v>2024</v>
      </c>
      <c r="C109" t="s">
        <v>1</v>
      </c>
      <c r="D109" s="14">
        <f>SUM(D51:D53)</f>
        <v>79296.297330000001</v>
      </c>
      <c r="E109" s="14">
        <f>SUM(E51:E53)</f>
        <v>20881.87802</v>
      </c>
      <c r="F109" s="14">
        <f>SUM(F51:F53)</f>
        <v>40754.08578999999</v>
      </c>
      <c r="G109" s="14">
        <f>SUM(G51:G53)</f>
        <v>11111.66568</v>
      </c>
      <c r="H109" s="14">
        <f>SUM(H51:H53)</f>
        <v>13433.43592</v>
      </c>
      <c r="I109" s="14">
        <f>SUM(I51:I53)</f>
        <v>646885.34496999905</v>
      </c>
      <c r="J109" s="14">
        <f>SUM(J51:J53)</f>
        <v>11930.986410000001</v>
      </c>
      <c r="K109" s="14">
        <f>SUM(K51:K53)</f>
        <v>442071.38851000002</v>
      </c>
      <c r="L109" s="14">
        <f>SUM(L51:L53)</f>
        <v>728413.54267</v>
      </c>
      <c r="M109" s="14">
        <f>SUM(M51:M53)</f>
        <v>669.20140000000004</v>
      </c>
      <c r="N109" s="14">
        <f>SUM(N51:N53)</f>
        <v>20823.029129999999</v>
      </c>
      <c r="O109" s="14">
        <f>SUM(O51:O53)</f>
        <v>16400.28932</v>
      </c>
      <c r="P109" s="14">
        <f>SUM(P51:P53)</f>
        <v>1065.92039</v>
      </c>
      <c r="Q109" s="14">
        <f>SUM(Q51:Q53)</f>
        <v>487.31545000000006</v>
      </c>
      <c r="R109" s="14">
        <f>SUM(R51:R53)</f>
        <v>183407.35094999999</v>
      </c>
      <c r="S109" s="14">
        <f>SUM(S51:S53)</f>
        <v>4920.4920099999999</v>
      </c>
      <c r="T109" s="14">
        <f>SUM(T51:T53)</f>
        <v>172810.20346000008</v>
      </c>
      <c r="U109" s="14">
        <f>SUM(U51:U53)</f>
        <v>51792.22524</v>
      </c>
      <c r="V109" s="14">
        <f>SUM(V51:V53)</f>
        <v>39459.954700000002</v>
      </c>
      <c r="W109" s="14">
        <f>SUM(W51:W53)</f>
        <v>45410.006659999999</v>
      </c>
      <c r="X109" s="14">
        <f>SUM(X51:X53)</f>
        <v>112344.34651999999</v>
      </c>
      <c r="Y109" s="14">
        <f>SUM(Y51:Y53)</f>
        <v>15792.229699999989</v>
      </c>
      <c r="Z109" s="14">
        <f>SUM(Z51:Z53)</f>
        <v>16315.891650000001</v>
      </c>
      <c r="AA109" s="14">
        <f>SUM(AA51:AA53)</f>
        <v>1235.54439</v>
      </c>
      <c r="AB109" s="14">
        <f>SUM(AB51:AB53)</f>
        <v>10620.99287</v>
      </c>
      <c r="AC109" s="14">
        <f>SUM(AC51:AC53)</f>
        <v>49574.730210000002</v>
      </c>
      <c r="AD109" s="14">
        <f>SUM(AD51:AD53)</f>
        <v>5405825.8798199994</v>
      </c>
      <c r="AE109" s="14">
        <f>SUM(AE51:AE53)</f>
        <v>35142.714209999998</v>
      </c>
      <c r="AF109" s="14">
        <f>SUM(AF51:AF53)</f>
        <v>41938.593439999997</v>
      </c>
      <c r="AG109" s="14">
        <f>SUM(AG51:AG53)</f>
        <v>90713.351089999996</v>
      </c>
      <c r="AH109" s="14">
        <f>SUM(AH51:AH53)</f>
        <v>18511.08628</v>
      </c>
      <c r="AI109" s="14">
        <f>SUM(AI51:AI53)</f>
        <v>34598.663810000005</v>
      </c>
      <c r="AJ109" s="14">
        <f>SUM(AJ51:AJ53)</f>
        <v>154801.90785999992</v>
      </c>
      <c r="AK109" s="14">
        <f>SUM(AK51:AK53)</f>
        <v>56786.403449999998</v>
      </c>
      <c r="AL109" s="14">
        <f>SUM(AL51:AL53)</f>
        <v>15488.539929999999</v>
      </c>
      <c r="AM109" s="14">
        <f>SUM(AM51:AM53)</f>
        <v>399.64247999999998</v>
      </c>
      <c r="AN109" s="14">
        <f>SUM(AN51:AN53)</f>
        <v>69.799809999999994</v>
      </c>
      <c r="AO109" s="14">
        <f>SUM(AO51:AO53)</f>
        <v>105510.83339999989</v>
      </c>
      <c r="AP109" s="14">
        <f>SUM(AP51:AP53)</f>
        <v>374345.65957000002</v>
      </c>
      <c r="AQ109" s="14">
        <f>SUM(AQ51:AQ53)</f>
        <v>23849.598700000002</v>
      </c>
      <c r="AR109" s="14">
        <f>SUM(AR51:AR53)</f>
        <v>6803.3257300000005</v>
      </c>
      <c r="AS109" s="14">
        <f>SUM(AS51:AS53)</f>
        <v>10672.52783999999</v>
      </c>
      <c r="AT109" s="14">
        <f>SUM(AT51:AT53)</f>
        <v>1174.5140700000002</v>
      </c>
      <c r="AU109" s="14">
        <f>SUM(AU51:AU53)</f>
        <v>12914.552530000001</v>
      </c>
      <c r="AV109" s="14">
        <f>SUM(AV51:AV53)</f>
        <v>29.628980000000002</v>
      </c>
      <c r="AW109" s="14">
        <f>SUM(AW51:AW53)</f>
        <v>293.31672000000003</v>
      </c>
      <c r="AX109" s="14">
        <f>SUM(AX51:AX53)</f>
        <v>120.83669</v>
      </c>
      <c r="AY109" s="14">
        <f>SUM(AY51:AY53)</f>
        <v>86211.008309999903</v>
      </c>
      <c r="AZ109" s="14">
        <f>SUM(AZ51:AZ53)</f>
        <v>11696.65964</v>
      </c>
      <c r="BA109" s="14">
        <f>SUM(BA51:BA53)</f>
        <v>0</v>
      </c>
      <c r="BB109" s="14">
        <f>SUM(BB51:BB53)</f>
        <v>3.52915</v>
      </c>
      <c r="BC109" s="14">
        <f>SUM(BC51:BC53)</f>
        <v>3100.5934499999998</v>
      </c>
      <c r="BD109" s="14">
        <f>SUM(BD51:BD53)</f>
        <v>310.11439999999999</v>
      </c>
      <c r="BE109" s="14">
        <f>SUM(BE51:BE53)</f>
        <v>15538.603290000001</v>
      </c>
      <c r="BF109" s="14">
        <f>SUM(BF51:BF53)</f>
        <v>2110.3123700000001</v>
      </c>
      <c r="BG109" s="14">
        <f>SUM(BG51:BG53)</f>
        <v>3193.2891099999997</v>
      </c>
      <c r="BH109" s="14">
        <f>SUM(BH51:BH53)</f>
        <v>699.01396999999997</v>
      </c>
      <c r="BI109" s="14">
        <f>SUM(BI51:BI53)</f>
        <v>2151.3913000000002</v>
      </c>
      <c r="BJ109" s="14">
        <f>SUM(BJ51:BJ53)</f>
        <v>7124.3216200000006</v>
      </c>
      <c r="BK109" s="14">
        <f>SUM(BK51:BK53)</f>
        <v>14619.532419999989</v>
      </c>
      <c r="BL109" s="14">
        <f>SUM(BL51:BL53)</f>
        <v>46228.788549999997</v>
      </c>
      <c r="BM109" s="14">
        <f>SUM(BM51:BM53)</f>
        <v>48654.51468</v>
      </c>
      <c r="BN109" s="14">
        <f>SUM(BN51:BN53)</f>
        <v>20034.27574999999</v>
      </c>
      <c r="BO109" s="14">
        <f>SUM(BO51:BO53)</f>
        <v>8518.5237500000003</v>
      </c>
      <c r="BP109" s="14">
        <f>SUM(BP51:BP53)</f>
        <v>3381.6224799999995</v>
      </c>
      <c r="BQ109" s="14">
        <f>SUM(BQ51:BQ53)</f>
        <v>511.48140000000001</v>
      </c>
      <c r="BR109" s="14">
        <f>SUM(BR51:BR53)</f>
        <v>9.8754100000000005</v>
      </c>
      <c r="BS109" s="14">
        <f>SUM(BS51:BS53)</f>
        <v>14333.024570000009</v>
      </c>
      <c r="BT109" s="14">
        <f>SUM(BT51:BT53)</f>
        <v>22626.023530000002</v>
      </c>
      <c r="BU109" s="14">
        <f>SUM(BU51:BU53)</f>
        <v>37029.654029999998</v>
      </c>
      <c r="BV109" s="14">
        <f>SUM(BV51:BV53)</f>
        <v>770092.02278</v>
      </c>
      <c r="BW109" s="14">
        <f>SUM(BW51:BW53)</f>
        <v>113031.05385999999</v>
      </c>
      <c r="BX109" s="14">
        <f>SUM(BX51:BX53)</f>
        <v>71466.982660000009</v>
      </c>
      <c r="BY109" s="14">
        <f>SUM(BY51:BY53)</f>
        <v>84020.570619999999</v>
      </c>
      <c r="BZ109" s="14">
        <f>SUM(BZ51:BZ53)</f>
        <v>41.225439999999999</v>
      </c>
      <c r="CA109" s="14">
        <f>SUM(CA51:CA53)</f>
        <v>182696.17949000001</v>
      </c>
      <c r="CB109" s="14">
        <f>SUM(CB51:CB53)</f>
        <v>1583.4688099999998</v>
      </c>
      <c r="CC109" s="14">
        <f>SUM(CC51:CC53)</f>
        <v>40.113080000000004</v>
      </c>
      <c r="CD109" s="14">
        <f>SUM(CD51:CD53)</f>
        <v>8.8921799999999998</v>
      </c>
      <c r="CE109" s="14">
        <f>SUM(CE51:CE53)</f>
        <v>563.33421999999996</v>
      </c>
      <c r="CF109" s="14">
        <f>SUM(CF51:CF53)</f>
        <v>14663.301779999989</v>
      </c>
      <c r="CG109" s="14">
        <f>SUM(CG51:CG53)</f>
        <v>11451.242270000001</v>
      </c>
      <c r="CH109" s="14">
        <f>SUM(CH51:CH53)</f>
        <v>139143.34825000021</v>
      </c>
      <c r="CI109" s="14">
        <f>SUM(CI51:CI53)</f>
        <v>212143.11080000008</v>
      </c>
      <c r="CJ109" s="14">
        <f>SUM(CJ51:CJ53)</f>
        <v>166.30067</v>
      </c>
      <c r="CK109" s="14">
        <f>SUM(CK51:CK53)</f>
        <v>115770.29428999999</v>
      </c>
      <c r="CL109" s="14">
        <f>SUM(CL51:CL53)</f>
        <v>3570.9453100000001</v>
      </c>
      <c r="CM109" s="14">
        <f>SUM(CM51:CM53)</f>
        <v>1832.96443</v>
      </c>
      <c r="CN109" s="14">
        <f>SUM(CN51:CN53)</f>
        <v>25729.687299999991</v>
      </c>
      <c r="CO109" s="14">
        <f>SUM(CO51:CO53)</f>
        <v>30.40324</v>
      </c>
      <c r="CP109" s="14">
        <f>SUM(CP51:CP53)</f>
        <v>13.452909999999999</v>
      </c>
      <c r="CQ109" s="14">
        <f>SUM(CQ51:CQ53)</f>
        <v>1187.2607499999999</v>
      </c>
      <c r="CR109" s="14">
        <f>SUM(CR51:CR53)</f>
        <v>36108.744459999994</v>
      </c>
      <c r="CS109" s="14">
        <f>SUM(CS51:CS53)</f>
        <v>4811.4491400000006</v>
      </c>
      <c r="CT109" s="14">
        <f>SUM(CT51:CT53)</f>
        <v>29954.69478999999</v>
      </c>
      <c r="CU109" s="14">
        <f>SUM(CU51:CU53)</f>
        <v>654.91240999999991</v>
      </c>
      <c r="CV109" s="14">
        <f>SUM(CV51:CV53)</f>
        <v>2258.6927700000001</v>
      </c>
      <c r="CW109" s="14">
        <f>SUM(CW51:CW53)</f>
        <v>11299020.527649995</v>
      </c>
    </row>
    <row r="110" spans="2:101">
      <c r="B110" s="140"/>
      <c r="C110" t="s">
        <v>2</v>
      </c>
      <c r="D110" s="14">
        <f>SUM(D54:D56)</f>
        <v>27137.443899999998</v>
      </c>
      <c r="E110" s="14">
        <f>SUM(E54:E56)</f>
        <v>18997.96717</v>
      </c>
      <c r="F110" s="14">
        <f>SUM(F54:F56)</f>
        <v>34805.427049999998</v>
      </c>
      <c r="G110" s="14">
        <f>SUM(G54:G56)</f>
        <v>17044.83538</v>
      </c>
      <c r="H110" s="14">
        <f>SUM(H54:H56)</f>
        <v>14828.07274</v>
      </c>
      <c r="I110" s="14">
        <f>SUM(I54:I56)</f>
        <v>642042.39202000003</v>
      </c>
      <c r="J110" s="14">
        <f>SUM(J54:J56)</f>
        <v>9643.2525999999998</v>
      </c>
      <c r="K110" s="14">
        <f>SUM(K54:K56)</f>
        <v>530106.36597999895</v>
      </c>
      <c r="L110" s="14">
        <f>SUM(L54:L56)</f>
        <v>815033.97516999999</v>
      </c>
      <c r="M110" s="14">
        <f>SUM(M54:M56)</f>
        <v>1194.7510400000001</v>
      </c>
      <c r="N110" s="14">
        <f>SUM(N54:N56)</f>
        <v>20059.223070000011</v>
      </c>
      <c r="O110" s="14">
        <f>SUM(O54:O56)</f>
        <v>13615.797279999999</v>
      </c>
      <c r="P110" s="14">
        <f>SUM(P54:P56)</f>
        <v>1154.9387300000001</v>
      </c>
      <c r="Q110" s="14">
        <f>SUM(Q54:Q56)</f>
        <v>509.57961999999998</v>
      </c>
      <c r="R110" s="14">
        <f>SUM(R54:R56)</f>
        <v>237472.49885000012</v>
      </c>
      <c r="S110" s="14">
        <f>SUM(S54:S56)</f>
        <v>5547.0383000000002</v>
      </c>
      <c r="T110" s="14">
        <f>SUM(T54:T56)</f>
        <v>154405.31145999991</v>
      </c>
      <c r="U110" s="14">
        <f>SUM(U54:U56)</f>
        <v>68818.23251999999</v>
      </c>
      <c r="V110" s="14">
        <f>SUM(V54:V56)</f>
        <v>51963.630749999997</v>
      </c>
      <c r="W110" s="14">
        <f>SUM(W54:W56)</f>
        <v>49900.156510000001</v>
      </c>
      <c r="X110" s="14">
        <f>SUM(X54:X56)</f>
        <v>131404.231</v>
      </c>
      <c r="Y110" s="14">
        <f>SUM(Y54:Y56)</f>
        <v>15280.396980000009</v>
      </c>
      <c r="Z110" s="14">
        <f>SUM(Z54:Z56)</f>
        <v>19398.843489999999</v>
      </c>
      <c r="AA110" s="14">
        <f>SUM(AA54:AA56)</f>
        <v>3992.85745</v>
      </c>
      <c r="AB110" s="14">
        <f>SUM(AB54:AB56)</f>
        <v>8568.1370600000009</v>
      </c>
      <c r="AC110" s="14">
        <f>SUM(AC54:AC56)</f>
        <v>44277.815560000003</v>
      </c>
      <c r="AD110" s="14">
        <f>SUM(AD54:AD56)</f>
        <v>5905002.4046499999</v>
      </c>
      <c r="AE110" s="14">
        <f>SUM(AE54:AE56)</f>
        <v>43826.719290000001</v>
      </c>
      <c r="AF110" s="14">
        <f>SUM(AF54:AF56)</f>
        <v>60342.916399999995</v>
      </c>
      <c r="AG110" s="14">
        <f>SUM(AG54:AG56)</f>
        <v>94147.493240000011</v>
      </c>
      <c r="AH110" s="14">
        <f>SUM(AH54:AH56)</f>
        <v>26141.581460000001</v>
      </c>
      <c r="AI110" s="14">
        <f>SUM(AI54:AI56)</f>
        <v>34983.697220000002</v>
      </c>
      <c r="AJ110" s="14">
        <f>SUM(AJ54:AJ56)</f>
        <v>192051.44938999991</v>
      </c>
      <c r="AK110" s="14">
        <f>SUM(AK54:AK56)</f>
        <v>66489.635940000095</v>
      </c>
      <c r="AL110" s="14">
        <f>SUM(AL54:AL56)</f>
        <v>19175.075410000001</v>
      </c>
      <c r="AM110" s="14">
        <f>SUM(AM54:AM56)</f>
        <v>0</v>
      </c>
      <c r="AN110" s="14">
        <f>SUM(AN54:AN56)</f>
        <v>220.11928</v>
      </c>
      <c r="AO110" s="14">
        <f>SUM(AO54:AO56)</f>
        <v>138570.46021999989</v>
      </c>
      <c r="AP110" s="14">
        <f>SUM(AP54:AP56)</f>
        <v>438937.80705</v>
      </c>
      <c r="AQ110" s="14">
        <f>SUM(AQ54:AQ56)</f>
        <v>25833.92987</v>
      </c>
      <c r="AR110" s="14">
        <f>SUM(AR54:AR56)</f>
        <v>8206.9901499999996</v>
      </c>
      <c r="AS110" s="14">
        <f>SUM(AS54:AS56)</f>
        <v>11667.28529</v>
      </c>
      <c r="AT110" s="14">
        <f>SUM(AT54:AT56)</f>
        <v>1181.3938699999999</v>
      </c>
      <c r="AU110" s="14">
        <f>SUM(AU54:AU56)</f>
        <v>12515.88571</v>
      </c>
      <c r="AV110" s="14">
        <f>SUM(AV54:AV56)</f>
        <v>54.729370000000003</v>
      </c>
      <c r="AW110" s="14">
        <f>SUM(AW54:AW56)</f>
        <v>255.61914999999999</v>
      </c>
      <c r="AX110" s="14">
        <f>SUM(AX54:AX56)</f>
        <v>743.36273000000006</v>
      </c>
      <c r="AY110" s="14">
        <f>SUM(AY54:AY56)</f>
        <v>104826.2251500001</v>
      </c>
      <c r="AZ110" s="14">
        <f>SUM(AZ54:AZ56)</f>
        <v>12893.618530000011</v>
      </c>
      <c r="BA110" s="14">
        <f>SUM(BA54:BA56)</f>
        <v>2.0979999999999999E-2</v>
      </c>
      <c r="BB110" s="14">
        <f>SUM(BB54:BB56)</f>
        <v>1.41438</v>
      </c>
      <c r="BC110" s="14">
        <f>SUM(BC54:BC56)</f>
        <v>2893.8550299999997</v>
      </c>
      <c r="BD110" s="14">
        <f>SUM(BD54:BD56)</f>
        <v>266.82301000000001</v>
      </c>
      <c r="BE110" s="14">
        <f>SUM(BE54:BE56)</f>
        <v>16824.582559999999</v>
      </c>
      <c r="BF110" s="14">
        <f>SUM(BF54:BF56)</f>
        <v>3096.7698700000001</v>
      </c>
      <c r="BG110" s="14">
        <f>SUM(BG54:BG56)</f>
        <v>3963.0781700000002</v>
      </c>
      <c r="BH110" s="14">
        <f>SUM(BH54:BH56)</f>
        <v>883.71451000000002</v>
      </c>
      <c r="BI110" s="14">
        <f>SUM(BI54:BI56)</f>
        <v>2673.80197</v>
      </c>
      <c r="BJ110" s="14">
        <f>SUM(BJ54:BJ56)</f>
        <v>9216.7251400000005</v>
      </c>
      <c r="BK110" s="14">
        <f>SUM(BK54:BK56)</f>
        <v>16464.468059999999</v>
      </c>
      <c r="BL110" s="14">
        <f>SUM(BL54:BL56)</f>
        <v>46875.748489999896</v>
      </c>
      <c r="BM110" s="14">
        <f>SUM(BM54:BM56)</f>
        <v>58338.11563</v>
      </c>
      <c r="BN110" s="14">
        <f>SUM(BN54:BN56)</f>
        <v>24894.192809999979</v>
      </c>
      <c r="BO110" s="14">
        <f>SUM(BO54:BO56)</f>
        <v>10471.017889999999</v>
      </c>
      <c r="BP110" s="14">
        <f>SUM(BP54:BP56)</f>
        <v>5314.8325999999997</v>
      </c>
      <c r="BQ110" s="14">
        <f>SUM(BQ54:BQ56)</f>
        <v>148.27547999999999</v>
      </c>
      <c r="BR110" s="14">
        <f>SUM(BR54:BR56)</f>
        <v>10.47381</v>
      </c>
      <c r="BS110" s="14">
        <f>SUM(BS54:BS56)</f>
        <v>18070.6253</v>
      </c>
      <c r="BT110" s="14">
        <f>SUM(BT54:BT56)</f>
        <v>27609.934229999992</v>
      </c>
      <c r="BU110" s="14">
        <f>SUM(BU54:BU56)</f>
        <v>39206.344580000004</v>
      </c>
      <c r="BV110" s="14">
        <f>SUM(BV54:BV56)</f>
        <v>1022763.1321599999</v>
      </c>
      <c r="BW110" s="14">
        <f>SUM(BW54:BW56)</f>
        <v>169917.04130000001</v>
      </c>
      <c r="BX110" s="14">
        <f>SUM(BX54:BX56)</f>
        <v>80371.297869999995</v>
      </c>
      <c r="BY110" s="14">
        <f>SUM(BY54:BY56)</f>
        <v>105673.07981</v>
      </c>
      <c r="BZ110" s="14">
        <f>SUM(BZ54:BZ56)</f>
        <v>82.608620000000002</v>
      </c>
      <c r="CA110" s="14">
        <f>SUM(CA54:CA56)</f>
        <v>210285.5661600001</v>
      </c>
      <c r="CB110" s="14">
        <f>SUM(CB54:CB56)</f>
        <v>1378.9976200000001</v>
      </c>
      <c r="CC110" s="14">
        <f>SUM(CC54:CC56)</f>
        <v>220.96402</v>
      </c>
      <c r="CD110" s="14">
        <f>SUM(CD54:CD56)</f>
        <v>27.529029999999999</v>
      </c>
      <c r="CE110" s="14">
        <f>SUM(CE54:CE56)</f>
        <v>442.54455999999999</v>
      </c>
      <c r="CF110" s="14">
        <f>SUM(CF54:CF56)</f>
        <v>17134.338790000009</v>
      </c>
      <c r="CG110" s="14">
        <f>SUM(CG54:CG56)</f>
        <v>13291.66591</v>
      </c>
      <c r="CH110" s="14">
        <f>SUM(CH54:CH56)</f>
        <v>147300.86675999989</v>
      </c>
      <c r="CI110" s="14">
        <f>SUM(CI54:CI56)</f>
        <v>251142.05631000007</v>
      </c>
      <c r="CJ110" s="14">
        <f>SUM(CJ54:CJ56)</f>
        <v>218.49281000000002</v>
      </c>
      <c r="CK110" s="14">
        <f>SUM(CK54:CK56)</f>
        <v>128231.30465000001</v>
      </c>
      <c r="CL110" s="14">
        <f>SUM(CL54:CL56)</f>
        <v>21471.574090000002</v>
      </c>
      <c r="CM110" s="14">
        <f>SUM(CM54:CM56)</f>
        <v>550.12332000000004</v>
      </c>
      <c r="CN110" s="14">
        <f>SUM(CN54:CN56)</f>
        <v>29489.424279999999</v>
      </c>
      <c r="CO110" s="14">
        <f>SUM(CO54:CO56)</f>
        <v>234.18011000000001</v>
      </c>
      <c r="CP110" s="14">
        <f>SUM(CP54:CP56)</f>
        <v>79.734610000000004</v>
      </c>
      <c r="CQ110" s="14">
        <f>SUM(CQ54:CQ56)</f>
        <v>3669.4253900000003</v>
      </c>
      <c r="CR110" s="14">
        <f>SUM(CR54:CR56)</f>
        <v>47885.21847</v>
      </c>
      <c r="CS110" s="14">
        <f>SUM(CS54:CS56)</f>
        <v>4738.42562</v>
      </c>
      <c r="CT110" s="14">
        <f>SUM(CT54:CT56)</f>
        <v>36861.866759999997</v>
      </c>
      <c r="CU110" s="14">
        <f>SUM(CU54:CU56)</f>
        <v>854.59898999999996</v>
      </c>
      <c r="CV110" s="14">
        <f>SUM(CV54:CV56)</f>
        <v>2256.3697299999999</v>
      </c>
      <c r="CW110" s="14">
        <f>SUM(CW54:CW56)</f>
        <v>12719068.813300001</v>
      </c>
    </row>
    <row r="111" spans="2:101">
      <c r="B111" s="140"/>
      <c r="C111" t="s">
        <v>3</v>
      </c>
      <c r="D111" s="14">
        <f>SUM(D57:D59)</f>
        <v>27273.442939999997</v>
      </c>
      <c r="E111" s="14">
        <f>SUM(E57:E59)</f>
        <v>31916.659930000002</v>
      </c>
      <c r="F111" s="14">
        <f>SUM(F57:F59)</f>
        <v>42065.816760000002</v>
      </c>
      <c r="G111" s="14">
        <f>SUM(G57:G59)</f>
        <v>15930.876050000001</v>
      </c>
      <c r="H111" s="14">
        <f>SUM(H57:H59)</f>
        <v>17510.493999999999</v>
      </c>
      <c r="I111" s="14">
        <f>SUM(I57:I59)</f>
        <v>542754.04238999996</v>
      </c>
      <c r="J111" s="14">
        <f>SUM(J57:J59)</f>
        <v>7690.2968999999994</v>
      </c>
      <c r="K111" s="14">
        <f>SUM(K57:K59)</f>
        <v>405056.66231000004</v>
      </c>
      <c r="L111" s="14">
        <f>SUM(L57:L59)</f>
        <v>893323.43633000006</v>
      </c>
      <c r="M111" s="14">
        <f>SUM(M57:M59)</f>
        <v>10954.636719999999</v>
      </c>
      <c r="N111" s="14">
        <f>SUM(N57:N59)</f>
        <v>17365.744209999997</v>
      </c>
      <c r="O111" s="14">
        <f>SUM(O57:O59)</f>
        <v>12521.52756</v>
      </c>
      <c r="P111" s="14">
        <f>SUM(P57:P59)</f>
        <v>935.19119999999998</v>
      </c>
      <c r="Q111" s="14">
        <f>SUM(Q57:Q59)</f>
        <v>559.94526999999994</v>
      </c>
      <c r="R111" s="14">
        <f>SUM(R57:R59)</f>
        <v>165056.9764999999</v>
      </c>
      <c r="S111" s="14">
        <f>SUM(S57:S59)</f>
        <v>5667.0266200000005</v>
      </c>
      <c r="T111" s="14">
        <f>SUM(T57:T59)</f>
        <v>181904.83459999989</v>
      </c>
      <c r="U111" s="14">
        <f>SUM(U57:U59)</f>
        <v>74735.064360000004</v>
      </c>
      <c r="V111" s="14">
        <f>SUM(V57:V59)</f>
        <v>52959.793810000003</v>
      </c>
      <c r="W111" s="14">
        <f>SUM(W57:W59)</f>
        <v>52197.705809999999</v>
      </c>
      <c r="X111" s="14">
        <f>SUM(X57:X59)</f>
        <v>138288.64989999999</v>
      </c>
      <c r="Y111" s="14">
        <f>SUM(Y57:Y59)</f>
        <v>19372.287339999999</v>
      </c>
      <c r="Z111" s="14">
        <f>SUM(Z57:Z59)</f>
        <v>20990.94772</v>
      </c>
      <c r="AA111" s="14">
        <f>SUM(AA57:AA59)</f>
        <v>1114.8150599999999</v>
      </c>
      <c r="AB111" s="14">
        <f>SUM(AB57:AB59)</f>
        <v>5996.1526800000001</v>
      </c>
      <c r="AC111" s="14">
        <f>SUM(AC57:AC59)</f>
        <v>65659.392999999996</v>
      </c>
      <c r="AD111" s="14">
        <f>SUM(AD57:AD59)</f>
        <v>5675623.74348999</v>
      </c>
      <c r="AE111" s="14">
        <f>SUM(AE57:AE59)</f>
        <v>45524.157670000001</v>
      </c>
      <c r="AF111" s="14">
        <f>SUM(AF57:AF59)</f>
        <v>55065.806159999993</v>
      </c>
      <c r="AG111" s="14">
        <f>SUM(AG57:AG59)</f>
        <v>104440.63909</v>
      </c>
      <c r="AH111" s="14">
        <f>SUM(AH57:AH59)</f>
        <v>12039.68368</v>
      </c>
      <c r="AI111" s="14">
        <f>SUM(AI57:AI59)</f>
        <v>37117.859100000001</v>
      </c>
      <c r="AJ111" s="14">
        <f>SUM(AJ57:AJ59)</f>
        <v>183110.13215999969</v>
      </c>
      <c r="AK111" s="14">
        <f>SUM(AK57:AK59)</f>
        <v>68268.693899999998</v>
      </c>
      <c r="AL111" s="14">
        <f>SUM(AL57:AL59)</f>
        <v>17998.280859999999</v>
      </c>
      <c r="AM111" s="14">
        <f>SUM(AM57:AM59)</f>
        <v>0</v>
      </c>
      <c r="AN111" s="14">
        <f>SUM(AN57:AN59)</f>
        <v>172.90617</v>
      </c>
      <c r="AO111" s="14">
        <f>SUM(AO57:AO59)</f>
        <v>189794.37682999991</v>
      </c>
      <c r="AP111" s="14">
        <f>SUM(AP57:AP59)</f>
        <v>433530.58830000099</v>
      </c>
      <c r="AQ111" s="14">
        <f>SUM(AQ57:AQ59)</f>
        <v>29777.87417000001</v>
      </c>
      <c r="AR111" s="14">
        <f>SUM(AR57:AR59)</f>
        <v>7832.7566299999999</v>
      </c>
      <c r="AS111" s="14">
        <f>SUM(AS57:AS59)</f>
        <v>10535.77362</v>
      </c>
      <c r="AT111" s="14">
        <f>SUM(AT57:AT59)</f>
        <v>1548.12382</v>
      </c>
      <c r="AU111" s="14">
        <f>SUM(AU57:AU59)</f>
        <v>12835.59186</v>
      </c>
      <c r="AV111" s="14">
        <f>SUM(AV57:AV59)</f>
        <v>66.572400000000002</v>
      </c>
      <c r="AW111" s="14">
        <f>SUM(AW57:AW59)</f>
        <v>216.82688000000002</v>
      </c>
      <c r="AX111" s="14">
        <f>SUM(AX57:AX59)</f>
        <v>450.90814</v>
      </c>
      <c r="AY111" s="14">
        <f>SUM(AY57:AY59)</f>
        <v>97972.979840000102</v>
      </c>
      <c r="AZ111" s="14">
        <f>SUM(AZ57:AZ59)</f>
        <v>17539.635210000011</v>
      </c>
      <c r="BA111" s="14">
        <f>SUM(BA57:BA59)</f>
        <v>4.8009199999999996</v>
      </c>
      <c r="BB111" s="14">
        <f>SUM(BB57:BB59)</f>
        <v>1.2006800000000002</v>
      </c>
      <c r="BC111" s="14">
        <f>SUM(BC57:BC59)</f>
        <v>3236.6887200000001</v>
      </c>
      <c r="BD111" s="14">
        <f>SUM(BD57:BD59)</f>
        <v>282.00283000000002</v>
      </c>
      <c r="BE111" s="14">
        <f>SUM(BE57:BE59)</f>
        <v>17773.76859</v>
      </c>
      <c r="BF111" s="14">
        <f>SUM(BF57:BF59)</f>
        <v>1915.76134</v>
      </c>
      <c r="BG111" s="14">
        <f>SUM(BG57:BG59)</f>
        <v>3541.6027299999996</v>
      </c>
      <c r="BH111" s="14">
        <f>SUM(BH57:BH59)</f>
        <v>415.33875999999998</v>
      </c>
      <c r="BI111" s="14">
        <f>SUM(BI57:BI59)</f>
        <v>2688.31747</v>
      </c>
      <c r="BJ111" s="14">
        <f>SUM(BJ57:BJ59)</f>
        <v>8908.7144000000008</v>
      </c>
      <c r="BK111" s="14">
        <f>SUM(BK57:BK59)</f>
        <v>16954.641989999989</v>
      </c>
      <c r="BL111" s="14">
        <f>SUM(BL57:BL59)</f>
        <v>44764.402150000002</v>
      </c>
      <c r="BM111" s="14">
        <f>SUM(BM57:BM59)</f>
        <v>55717.847049999997</v>
      </c>
      <c r="BN111" s="14">
        <f>SUM(BN57:BN59)</f>
        <v>24346.205010000012</v>
      </c>
      <c r="BO111" s="14">
        <f>SUM(BO57:BO59)</f>
        <v>9828.5187499999993</v>
      </c>
      <c r="BP111" s="14">
        <f>SUM(BP57:BP59)</f>
        <v>4821.3208299999997</v>
      </c>
      <c r="BQ111" s="14">
        <f>SUM(BQ57:BQ59)</f>
        <v>319.07443000000001</v>
      </c>
      <c r="BR111" s="14">
        <f>SUM(BR57:BR59)</f>
        <v>24.037210000000002</v>
      </c>
      <c r="BS111" s="14">
        <f>SUM(BS57:BS59)</f>
        <v>17295.470949999992</v>
      </c>
      <c r="BT111" s="14">
        <f>SUM(BT57:BT59)</f>
        <v>26973.363780000029</v>
      </c>
      <c r="BU111" s="14">
        <f>SUM(BU57:BU59)</f>
        <v>44764.228799999997</v>
      </c>
      <c r="BV111" s="14">
        <f>SUM(BV57:BV59)</f>
        <v>1197290.0492100001</v>
      </c>
      <c r="BW111" s="14">
        <f>SUM(BW57:BW59)</f>
        <v>189971.77963</v>
      </c>
      <c r="BX111" s="14">
        <f>SUM(BX57:BX59)</f>
        <v>66142.611680000002</v>
      </c>
      <c r="BY111" s="14">
        <f>SUM(BY57:BY59)</f>
        <v>116167.35256</v>
      </c>
      <c r="BZ111" s="14">
        <f>SUM(BZ57:BZ59)</f>
        <v>138.91169000000002</v>
      </c>
      <c r="CA111" s="14">
        <f>SUM(CA57:CA59)</f>
        <v>227917.94162</v>
      </c>
      <c r="CB111" s="14">
        <f>SUM(CB57:CB59)</f>
        <v>1791.03982</v>
      </c>
      <c r="CC111" s="14">
        <f>SUM(CC57:CC59)</f>
        <v>290.83022</v>
      </c>
      <c r="CD111" s="14">
        <f>SUM(CD57:CD59)</f>
        <v>9.9087999999999994</v>
      </c>
      <c r="CE111" s="14">
        <f>SUM(CE57:CE59)</f>
        <v>562.46976999999993</v>
      </c>
      <c r="CF111" s="14">
        <f>SUM(CF57:CF59)</f>
        <v>15752.624270000009</v>
      </c>
      <c r="CG111" s="14">
        <f>SUM(CG57:CG59)</f>
        <v>11281.020229999998</v>
      </c>
      <c r="CH111" s="14">
        <f>SUM(CH57:CH59)</f>
        <v>150695.31878999961</v>
      </c>
      <c r="CI111" s="14">
        <f>SUM(CI57:CI59)</f>
        <v>270716.40514999971</v>
      </c>
      <c r="CJ111" s="14">
        <f>SUM(CJ57:CJ59)</f>
        <v>255.58188999999999</v>
      </c>
      <c r="CK111" s="14">
        <f>SUM(CK57:CK59)</f>
        <v>125312.28511000011</v>
      </c>
      <c r="CL111" s="14">
        <f>SUM(CL57:CL59)</f>
        <v>13606.46499</v>
      </c>
      <c r="CM111" s="14">
        <f>SUM(CM57:CM59)</f>
        <v>2132.2713000000003</v>
      </c>
      <c r="CN111" s="14">
        <f>SUM(CN57:CN59)</f>
        <v>35945.885170000009</v>
      </c>
      <c r="CO111" s="14">
        <f>SUM(CO57:CO59)</f>
        <v>1799.27973</v>
      </c>
      <c r="CP111" s="14">
        <f>SUM(CP57:CP59)</f>
        <v>38.429600000000001</v>
      </c>
      <c r="CQ111" s="14">
        <f>SUM(CQ57:CQ59)</f>
        <v>1752.48641</v>
      </c>
      <c r="CR111" s="14">
        <f>SUM(CR57:CR59)</f>
        <v>44585.94382</v>
      </c>
      <c r="CS111" s="14">
        <f>SUM(CS57:CS59)</f>
        <v>6554.15535</v>
      </c>
      <c r="CT111" s="14">
        <f>SUM(CT57:CT59)</f>
        <v>41004.094929999999</v>
      </c>
      <c r="CU111" s="14">
        <f>SUM(CU57:CU59)</f>
        <v>1913.11249</v>
      </c>
      <c r="CV111" s="14">
        <f>SUM(CV57:CV59)</f>
        <v>3215.7772999999997</v>
      </c>
      <c r="CW111" s="14">
        <f>SUM(CW57:CW59)</f>
        <v>12622687.668869993</v>
      </c>
    </row>
    <row r="112" spans="2:101">
      <c r="B112" s="140"/>
      <c r="C112" t="s">
        <v>4</v>
      </c>
      <c r="D112" s="14">
        <f>SUM(D60:D62)</f>
        <v>65975.085909999994</v>
      </c>
      <c r="E112" s="14">
        <f>SUM(E60:E62)</f>
        <v>50160.031589999999</v>
      </c>
      <c r="F112" s="14">
        <f>SUM(F60:F62)</f>
        <v>26758.717309999996</v>
      </c>
      <c r="G112" s="14">
        <f>SUM(G60:G62)</f>
        <v>14244.102589999999</v>
      </c>
      <c r="H112" s="14">
        <f>SUM(H60:H62)</f>
        <v>10457.42309</v>
      </c>
      <c r="I112" s="14">
        <f>SUM(I60:I62)</f>
        <v>554163.98395999987</v>
      </c>
      <c r="J112" s="14">
        <f>SUM(J60:J62)</f>
        <v>10772.226589999998</v>
      </c>
      <c r="K112" s="14">
        <f>SUM(K60:K62)</f>
        <v>444972.61407999997</v>
      </c>
      <c r="L112" s="14">
        <f>SUM(L60:L62)</f>
        <v>1126551.7941200002</v>
      </c>
      <c r="M112" s="14">
        <f>SUM(M60:M62)</f>
        <v>15852.667110000002</v>
      </c>
      <c r="N112" s="14">
        <f>SUM(N60:N62)</f>
        <v>19112.863540000006</v>
      </c>
      <c r="O112" s="14">
        <f>SUM(O60:O62)</f>
        <v>12730.295500000002</v>
      </c>
      <c r="P112" s="14">
        <f>SUM(P60:P62)</f>
        <v>1581.4939100000001</v>
      </c>
      <c r="Q112" s="14">
        <f>SUM(Q60:Q62)</f>
        <v>282.19284999999996</v>
      </c>
      <c r="R112" s="14">
        <f>SUM(R60:R62)</f>
        <v>195274.86388000002</v>
      </c>
      <c r="S112" s="14">
        <f>SUM(S60:S62)</f>
        <v>7616.2836099999995</v>
      </c>
      <c r="T112" s="14">
        <f>SUM(T60:T62)</f>
        <v>206104.67897000012</v>
      </c>
      <c r="U112" s="14">
        <f>SUM(U60:U62)</f>
        <v>69766.73205999998</v>
      </c>
      <c r="V112" s="14">
        <f>SUM(V60:V62)</f>
        <v>54290.181679999994</v>
      </c>
      <c r="W112" s="14">
        <f>SUM(W60:W62)</f>
        <v>50554.376999999993</v>
      </c>
      <c r="X112" s="14">
        <f>SUM(X60:X62)</f>
        <v>136498.1008999999</v>
      </c>
      <c r="Y112" s="14">
        <f>SUM(Y60:Y62)</f>
        <v>29373.241349999997</v>
      </c>
      <c r="Z112" s="14">
        <f>SUM(Z60:Z62)</f>
        <v>27576.279839999999</v>
      </c>
      <c r="AA112" s="14">
        <f>SUM(AA60:AA62)</f>
        <v>1350.3108400000001</v>
      </c>
      <c r="AB112" s="14">
        <f>SUM(AB60:AB62)</f>
        <v>8484.5032299999984</v>
      </c>
      <c r="AC112" s="14">
        <f>SUM(AC60:AC62)</f>
        <v>78635.655709999992</v>
      </c>
      <c r="AD112" s="14">
        <f>SUM(AD60:AD62)</f>
        <v>5473943.8341700006</v>
      </c>
      <c r="AE112" s="14">
        <f>SUM(AE60:AE62)</f>
        <v>42344.809999999983</v>
      </c>
      <c r="AF112" s="14">
        <f>SUM(AF60:AF62)</f>
        <v>49600.623660000005</v>
      </c>
      <c r="AG112" s="14">
        <f>SUM(AG60:AG62)</f>
        <v>106666.76416000005</v>
      </c>
      <c r="AH112" s="14">
        <f>SUM(AH60:AH62)</f>
        <v>11688.12247</v>
      </c>
      <c r="AI112" s="14">
        <f>SUM(AI60:AI62)</f>
        <v>40996.996910000002</v>
      </c>
      <c r="AJ112" s="14">
        <f>SUM(AJ60:AJ62)</f>
        <v>183098.72150999989</v>
      </c>
      <c r="AK112" s="14">
        <f>SUM(AK60:AK62)</f>
        <v>70994.51923999998</v>
      </c>
      <c r="AL112" s="14">
        <f>SUM(AL60:AL62)</f>
        <v>21860.350140000002</v>
      </c>
      <c r="AM112" s="14">
        <f>SUM(AM60:AM62)</f>
        <v>10.8262</v>
      </c>
      <c r="AN112" s="14">
        <f>SUM(AN60:AN62)</f>
        <v>116.00697</v>
      </c>
      <c r="AO112" s="14">
        <f>SUM(AO60:AO62)</f>
        <v>170828.49825999999</v>
      </c>
      <c r="AP112" s="14">
        <f>SUM(AP60:AP62)</f>
        <v>430103.68918999971</v>
      </c>
      <c r="AQ112" s="14">
        <f>SUM(AQ60:AQ62)</f>
        <v>32509.817350000012</v>
      </c>
      <c r="AR112" s="14">
        <f>SUM(AR60:AR62)</f>
        <v>9591.4520699999994</v>
      </c>
      <c r="AS112" s="14">
        <f>SUM(AS60:AS62)</f>
        <v>13956.783430000003</v>
      </c>
      <c r="AT112" s="14">
        <f>SUM(AT60:AT62)</f>
        <v>1434.13004</v>
      </c>
      <c r="AU112" s="14">
        <f>SUM(AU60:AU62)</f>
        <v>8869.004530000002</v>
      </c>
      <c r="AV112" s="14">
        <f>SUM(AV60:AV62)</f>
        <v>33.519740000000006</v>
      </c>
      <c r="AW112" s="14">
        <f>SUM(AW60:AW62)</f>
        <v>274.09689000000003</v>
      </c>
      <c r="AX112" s="14">
        <f>SUM(AX60:AX62)</f>
        <v>742.52770999999996</v>
      </c>
      <c r="AY112" s="14">
        <f>SUM(AY60:AY62)</f>
        <v>109165.04932999989</v>
      </c>
      <c r="AZ112" s="14">
        <f>SUM(AZ60:AZ62)</f>
        <v>16140.315899999989</v>
      </c>
      <c r="BA112" s="14">
        <f>SUM(BA60:BA62)</f>
        <v>2.2364700000000002</v>
      </c>
      <c r="BB112" s="14">
        <f>SUM(BB60:BB62)</f>
        <v>3.7723200000000001</v>
      </c>
      <c r="BC112" s="14">
        <f>SUM(BC60:BC62)</f>
        <v>3213.5370700000012</v>
      </c>
      <c r="BD112" s="14">
        <f>SUM(BD60:BD62)</f>
        <v>144.50560000000002</v>
      </c>
      <c r="BE112" s="14">
        <f>SUM(BE60:BE62)</f>
        <v>15175.662019999996</v>
      </c>
      <c r="BF112" s="14">
        <f>SUM(BF60:BF62)</f>
        <v>3202.2031200000001</v>
      </c>
      <c r="BG112" s="14">
        <f>SUM(BG60:BG62)</f>
        <v>3831.21704</v>
      </c>
      <c r="BH112" s="14">
        <f>SUM(BH60:BH62)</f>
        <v>871.08077999999989</v>
      </c>
      <c r="BI112" s="14">
        <f>SUM(BI60:BI62)</f>
        <v>2246.5209100000002</v>
      </c>
      <c r="BJ112" s="14">
        <f>SUM(BJ60:BJ62)</f>
        <v>6960.0435999999991</v>
      </c>
      <c r="BK112" s="14">
        <f>SUM(BK60:BK62)</f>
        <v>16535.005799999995</v>
      </c>
      <c r="BL112" s="14">
        <f>SUM(BL60:BL62)</f>
        <v>50837.065939999891</v>
      </c>
      <c r="BM112" s="14">
        <f>SUM(BM60:BM62)</f>
        <v>62513.862430000037</v>
      </c>
      <c r="BN112" s="14">
        <f>SUM(BN60:BN62)</f>
        <v>27366.289470000003</v>
      </c>
      <c r="BO112" s="14">
        <f>SUM(BO60:BO62)</f>
        <v>11637.101899999998</v>
      </c>
      <c r="BP112" s="14">
        <f>SUM(BP60:BP62)</f>
        <v>5201.7760700000008</v>
      </c>
      <c r="BQ112" s="14">
        <f>SUM(BQ60:BQ62)</f>
        <v>92.88664</v>
      </c>
      <c r="BR112" s="14">
        <f>SUM(BR60:BR62)</f>
        <v>26.104019999999998</v>
      </c>
      <c r="BS112" s="14">
        <f>SUM(BS60:BS62)</f>
        <v>14451.438609999999</v>
      </c>
      <c r="BT112" s="14">
        <f>SUM(BT60:BT62)</f>
        <v>24848.314530000011</v>
      </c>
      <c r="BU112" s="14">
        <f>SUM(BU60:BU62)</f>
        <v>40477.473510000003</v>
      </c>
      <c r="BV112" s="14">
        <f>SUM(BV60:BV62)</f>
        <v>1335020.5864800001</v>
      </c>
      <c r="BW112" s="14">
        <f>SUM(BW60:BW62)</f>
        <v>157441.8493</v>
      </c>
      <c r="BX112" s="14">
        <f>SUM(BX60:BX62)</f>
        <v>69006.171509999956</v>
      </c>
      <c r="BY112" s="14">
        <f>SUM(BY60:BY62)</f>
        <v>107705.92343</v>
      </c>
      <c r="BZ112" s="14">
        <f>SUM(BZ60:BZ62)</f>
        <v>34.610570000000003</v>
      </c>
      <c r="CA112" s="14">
        <f>SUM(CA60:CA62)</f>
        <v>205979.66783000002</v>
      </c>
      <c r="CB112" s="14">
        <f>SUM(CB60:CB62)</f>
        <v>3961.5162399999999</v>
      </c>
      <c r="CC112" s="14">
        <f>SUM(CC60:CC62)</f>
        <v>114.00393000000001</v>
      </c>
      <c r="CD112" s="14">
        <f>SUM(CD60:CD62)</f>
        <v>55.474460000000008</v>
      </c>
      <c r="CE112" s="14">
        <f>SUM(CE60:CE62)</f>
        <v>422.17527000000001</v>
      </c>
      <c r="CF112" s="14">
        <f>SUM(CF60:CF62)</f>
        <v>20068.472559999998</v>
      </c>
      <c r="CG112" s="14">
        <f>SUM(CG60:CG62)</f>
        <v>12036.832149999998</v>
      </c>
      <c r="CH112" s="14">
        <f>SUM(CH60:CH62)</f>
        <v>170967.2444999998</v>
      </c>
      <c r="CI112" s="14">
        <f>SUM(CI60:CI62)</f>
        <v>271363.99537000008</v>
      </c>
      <c r="CJ112" s="14">
        <f>SUM(CJ60:CJ62)</f>
        <v>406.51337999999998</v>
      </c>
      <c r="CK112" s="14">
        <f>SUM(CK60:CK62)</f>
        <v>116114.80152000001</v>
      </c>
      <c r="CL112" s="14">
        <f>SUM(CL60:CL62)</f>
        <v>7352.22613</v>
      </c>
      <c r="CM112" s="14">
        <f>SUM(CM60:CM62)</f>
        <v>6989.1582799999996</v>
      </c>
      <c r="CN112" s="14">
        <f>SUM(CN60:CN62)</f>
        <v>28052.240919999989</v>
      </c>
      <c r="CO112" s="14">
        <f>SUM(CO60:CO62)</f>
        <v>1958.0858799999999</v>
      </c>
      <c r="CP112" s="14">
        <f>SUM(CP60:CP62)</f>
        <v>44.87623</v>
      </c>
      <c r="CQ112" s="14">
        <f>SUM(CQ60:CQ62)</f>
        <v>1329.1159000000002</v>
      </c>
      <c r="CR112" s="14">
        <f>SUM(CR60:CR62)</f>
        <v>49269.144840000023</v>
      </c>
      <c r="CS112" s="14">
        <f>SUM(CS60:CS62)</f>
        <v>5079.7039399999994</v>
      </c>
      <c r="CT112" s="14">
        <f>SUM(CT60:CT62)</f>
        <v>38520.71712999999</v>
      </c>
      <c r="CU112" s="14">
        <f>SUM(CU60:CU62)</f>
        <v>301.17683999999997</v>
      </c>
      <c r="CV112" s="14">
        <f>SUM(CV60:CV62)</f>
        <v>2398.6308800000002</v>
      </c>
      <c r="CW112" s="14">
        <f>SUM(CW60:CW62)</f>
        <v>12915744.174409999</v>
      </c>
    </row>
    <row r="113" spans="2:101">
      <c r="B113" s="140">
        <v>2025</v>
      </c>
      <c r="C113" t="s">
        <v>1</v>
      </c>
      <c r="D113" s="14">
        <f>SUM(D63:D65)</f>
        <v>70700.732629999999</v>
      </c>
      <c r="E113" s="14">
        <f>SUM(E64:E66)</f>
        <v>48642.429850000008</v>
      </c>
      <c r="F113" s="14">
        <f>SUM(F64:F66)</f>
        <v>34379.02029</v>
      </c>
      <c r="G113" s="14">
        <f>SUM(G64:G66)</f>
        <v>18095.988799999999</v>
      </c>
      <c r="H113" s="14">
        <f>SUM(H64:H66)</f>
        <v>10800.918309999999</v>
      </c>
      <c r="I113" s="14">
        <f>SUM(I64:I66)</f>
        <v>710421.47928999981</v>
      </c>
      <c r="J113" s="14">
        <f>SUM(J64:J66)</f>
        <v>10438.282709999999</v>
      </c>
      <c r="K113" s="14">
        <f>SUM(K64:K66)</f>
        <v>538411.33010000014</v>
      </c>
      <c r="L113" s="14">
        <f>SUM(L64:L66)</f>
        <v>1468517.3557799989</v>
      </c>
      <c r="M113" s="14">
        <f>SUM(M64:M66)</f>
        <v>2837.5215500000004</v>
      </c>
      <c r="N113" s="14">
        <f>SUM(N64:N66)</f>
        <v>18846.081369999993</v>
      </c>
      <c r="O113" s="14">
        <f>SUM(O64:O66)</f>
        <v>14481.654649999997</v>
      </c>
      <c r="P113" s="14">
        <f>SUM(P64:P66)</f>
        <v>562.03543000000013</v>
      </c>
      <c r="Q113" s="14">
        <f>SUM(Q64:Q66)</f>
        <v>586.46080999999992</v>
      </c>
      <c r="R113" s="14">
        <f>SUM(R64:R66)</f>
        <v>347571.19937000005</v>
      </c>
      <c r="S113" s="14">
        <f>SUM(S64:S66)</f>
        <v>5903.7319299999999</v>
      </c>
      <c r="T113" s="14">
        <f>SUM(T64:T66)</f>
        <v>185614.24926999997</v>
      </c>
      <c r="U113" s="14">
        <f>SUM(U64:U66)</f>
        <v>133037.61197000003</v>
      </c>
      <c r="V113" s="14">
        <f>SUM(V64:V66)</f>
        <v>52755.349170000001</v>
      </c>
      <c r="W113" s="14">
        <f>SUM(W64:W66)</f>
        <v>51128.596600000004</v>
      </c>
      <c r="X113" s="14">
        <f>SUM(X64:X66)</f>
        <v>145768.75103000004</v>
      </c>
      <c r="Y113" s="14">
        <f>SUM(Y64:Y66)</f>
        <v>23907.247099999997</v>
      </c>
      <c r="Z113" s="14">
        <f>SUM(Z64:Z66)</f>
        <v>27081.715099999998</v>
      </c>
      <c r="AA113" s="14">
        <f>SUM(AA64:AA66)</f>
        <v>2367.2146400000001</v>
      </c>
      <c r="AB113" s="14">
        <f>SUM(AB64:AB66)</f>
        <v>8389.1258100000014</v>
      </c>
      <c r="AC113" s="14">
        <f>SUM(AC64:AC66)</f>
        <v>118777.39559999999</v>
      </c>
      <c r="AD113" s="14">
        <f>SUM(AD64:AD66)</f>
        <v>4423934.7912399974</v>
      </c>
      <c r="AE113" s="14">
        <f>SUM(AE64:AE66)</f>
        <v>45874.634129999991</v>
      </c>
      <c r="AF113" s="14">
        <f>SUM(AF64:AF66)</f>
        <v>47796.984049999992</v>
      </c>
      <c r="AG113" s="14">
        <f>SUM(AG64:AG66)</f>
        <v>101513.40792999999</v>
      </c>
      <c r="AH113" s="14">
        <f>SUM(AH64:AH66)</f>
        <v>23453.734280000001</v>
      </c>
      <c r="AI113" s="14">
        <f>SUM(AI64:AI66)</f>
        <v>41440.086050000005</v>
      </c>
      <c r="AJ113" s="14">
        <f>SUM(AJ64:AJ66)</f>
        <v>193246.55836999993</v>
      </c>
      <c r="AK113" s="14">
        <f>SUM(AK64:AK66)</f>
        <v>75626.787260000012</v>
      </c>
      <c r="AL113" s="14">
        <f>SUM(AL64:AL66)</f>
        <v>17380.02102</v>
      </c>
      <c r="AM113" s="14">
        <f>SUM(AM64:AM66)</f>
        <v>332.036</v>
      </c>
      <c r="AN113" s="14">
        <f>SUM(AN64:AN66)</f>
        <v>86.612729999999999</v>
      </c>
      <c r="AO113" s="14">
        <f>SUM(AO64:AO66)</f>
        <v>126031.71744000001</v>
      </c>
      <c r="AP113" s="14">
        <f>SUM(AP64:AP66)</f>
        <v>434336.29405999999</v>
      </c>
      <c r="AQ113" s="14">
        <f>SUM(AQ64:AQ66)</f>
        <v>20186.436269999998</v>
      </c>
      <c r="AR113" s="14">
        <f>SUM(AR64:AR66)</f>
        <v>10387.32747</v>
      </c>
      <c r="AS113" s="14">
        <f>SUM(AS64:AS66)</f>
        <v>12985.341349999999</v>
      </c>
      <c r="AT113" s="14">
        <f>SUM(AT64:AT66)</f>
        <v>1454.21722</v>
      </c>
      <c r="AU113" s="14">
        <f>SUM(AU64:AU66)</f>
        <v>13006.594239999999</v>
      </c>
      <c r="AV113" s="14">
        <f>SUM(AV64:AV66)</f>
        <v>92.006159999999994</v>
      </c>
      <c r="AW113" s="14">
        <f>SUM(AW64:AW66)</f>
        <v>355.16918000000004</v>
      </c>
      <c r="AX113" s="14">
        <f>SUM(AX64:AX66)</f>
        <v>1277.7962399999999</v>
      </c>
      <c r="AY113" s="14">
        <f>SUM(AY64:AY66)</f>
        <v>117600.19962999996</v>
      </c>
      <c r="AZ113" s="14">
        <f>SUM(AZ64:AZ66)</f>
        <v>12915.89992</v>
      </c>
      <c r="BA113" s="14">
        <f>SUM(BA64:BA66)</f>
        <v>12.481010000000001</v>
      </c>
      <c r="BB113" s="14">
        <f>SUM(BB64:BB66)</f>
        <v>4.1176199999999996</v>
      </c>
      <c r="BC113" s="14">
        <f>SUM(BC64:BC66)</f>
        <v>4317.1583800000008</v>
      </c>
      <c r="BD113" s="14">
        <f>SUM(BD64:BD66)</f>
        <v>171.24217999999999</v>
      </c>
      <c r="BE113" s="14">
        <f>SUM(BE64:BE66)</f>
        <v>15425.99152</v>
      </c>
      <c r="BF113" s="14">
        <f>SUM(BF64:BF66)</f>
        <v>3779.3756400000007</v>
      </c>
      <c r="BG113" s="14">
        <f>SUM(BG64:BG66)</f>
        <v>3442.6829200000002</v>
      </c>
      <c r="BH113" s="14">
        <f>SUM(BH64:BH66)</f>
        <v>598.40882999999997</v>
      </c>
      <c r="BI113" s="14">
        <f>SUM(BI64:BI66)</f>
        <v>2525.5782700000009</v>
      </c>
      <c r="BJ113" s="14">
        <f>SUM(BJ64:BJ66)</f>
        <v>7734.5469700000003</v>
      </c>
      <c r="BK113" s="14">
        <f>SUM(BK64:BK66)</f>
        <v>15047.024530000002</v>
      </c>
      <c r="BL113" s="14">
        <f>SUM(BL64:BL66)</f>
        <v>52756.99916000005</v>
      </c>
      <c r="BM113" s="14">
        <f>SUM(BM64:BM66)</f>
        <v>54650.114669999937</v>
      </c>
      <c r="BN113" s="14">
        <f>SUM(BN64:BN66)</f>
        <v>23313.571520000001</v>
      </c>
      <c r="BO113" s="14">
        <f>SUM(BO64:BO66)</f>
        <v>9233.6490599999997</v>
      </c>
      <c r="BP113" s="14">
        <f>SUM(BP64:BP66)</f>
        <v>5443.8713800000005</v>
      </c>
      <c r="BQ113" s="14">
        <f>SUM(BQ64:BQ66)</f>
        <v>26.240839999999999</v>
      </c>
      <c r="BR113" s="14">
        <f>SUM(BR64:BR66)</f>
        <v>57.908230000000003</v>
      </c>
      <c r="BS113" s="14">
        <f>SUM(BS64:BS66)</f>
        <v>17408.269</v>
      </c>
      <c r="BT113" s="14">
        <f>SUM(BT64:BT66)</f>
        <v>28059.313039999994</v>
      </c>
      <c r="BU113" s="14">
        <f>SUM(BU64:BU66)</f>
        <v>34311.274099999995</v>
      </c>
      <c r="BV113" s="14">
        <f>SUM(BV64:BV66)</f>
        <v>1070021.0738299999</v>
      </c>
      <c r="BW113" s="14">
        <f>SUM(BW64:BW66)</f>
        <v>141222.13197000007</v>
      </c>
      <c r="BX113" s="14">
        <f>SUM(BX64:BX66)</f>
        <v>60893.080970000025</v>
      </c>
      <c r="BY113" s="14">
        <f>SUM(BY64:BY66)</f>
        <v>94393.281930000012</v>
      </c>
      <c r="BZ113" s="14">
        <f>SUM(BZ64:BZ66)</f>
        <v>290.11185999999998</v>
      </c>
      <c r="CA113" s="14">
        <f>SUM(CA64:CA66)</f>
        <v>190312.40841999993</v>
      </c>
      <c r="CB113" s="14">
        <f>SUM(CB64:CB66)</f>
        <v>4248.6769999999997</v>
      </c>
      <c r="CC113" s="14">
        <f>SUM(CC64:CC66)</f>
        <v>241.62209999999999</v>
      </c>
      <c r="CD113" s="14">
        <f>SUM(CD64:CD66)</f>
        <v>986.82519000000002</v>
      </c>
      <c r="CE113" s="14">
        <f>SUM(CE64:CE66)</f>
        <v>469.78191000000004</v>
      </c>
      <c r="CF113" s="14">
        <f>SUM(CF64:CF66)</f>
        <v>17233.554520000005</v>
      </c>
      <c r="CG113" s="14">
        <f>SUM(CG64:CG66)</f>
        <v>11473.422460000002</v>
      </c>
      <c r="CH113" s="14">
        <f>SUM(CH64:CH66)</f>
        <v>165557.27445000008</v>
      </c>
      <c r="CI113" s="14">
        <f>SUM(CI64:CI66)</f>
        <v>280803.07771999994</v>
      </c>
      <c r="CJ113" s="14">
        <f>SUM(CJ64:CJ66)</f>
        <v>444.71221000000003</v>
      </c>
      <c r="CK113" s="14">
        <f>SUM(CK64:CK66)</f>
        <v>87539.52370999995</v>
      </c>
      <c r="CL113" s="14">
        <f>SUM(CL64:CL66)</f>
        <v>9410.5682199999992</v>
      </c>
      <c r="CM113" s="14">
        <f>SUM(CM64:CM66)</f>
        <v>4631.42292</v>
      </c>
      <c r="CN113" s="14">
        <f>SUM(CN64:CN66)</f>
        <v>24234.997490000012</v>
      </c>
      <c r="CO113" s="14">
        <f>SUM(CO64:CO66)</f>
        <v>1571.8539599999999</v>
      </c>
      <c r="CP113" s="14">
        <f>SUM(CP64:CP66)</f>
        <v>25.37687</v>
      </c>
      <c r="CQ113" s="14">
        <f>SUM(CQ64:CQ66)</f>
        <v>762.97063000000003</v>
      </c>
      <c r="CR113" s="14">
        <f>SUM(CR64:CR66)</f>
        <v>37699.788320000021</v>
      </c>
      <c r="CS113" s="14">
        <f>SUM(CS64:CS66)</f>
        <v>3817.0801799999999</v>
      </c>
      <c r="CT113" s="14">
        <f>SUM(CT64:CT66)</f>
        <v>38591.339130000008</v>
      </c>
      <c r="CU113" s="14">
        <f>SUM(CU64:CU66)</f>
        <v>426.19369000000006</v>
      </c>
      <c r="CV113" s="14">
        <f>SUM(CV64:CV66)</f>
        <v>1801.3757700000001</v>
      </c>
      <c r="CW113" s="14">
        <f>SUM(CW64:CW66)</f>
        <v>12297506.175789993</v>
      </c>
    </row>
    <row r="114" spans="2:101">
      <c r="B114" s="140"/>
      <c r="C114" t="s">
        <v>2</v>
      </c>
      <c r="D114" s="14">
        <f>SUM(D66:D68)</f>
        <v>40217.528899999998</v>
      </c>
      <c r="E114" s="14">
        <f>SUM(E66:E68)</f>
        <v>32351.040729999993</v>
      </c>
      <c r="F114" s="14">
        <f>SUM(F66:F68)</f>
        <v>52890.247689999997</v>
      </c>
      <c r="G114" s="14">
        <f>SUM(G66:G68)</f>
        <v>13708.26987</v>
      </c>
      <c r="H114" s="14">
        <f>SUM(H66:H68)</f>
        <v>15390.998630000002</v>
      </c>
      <c r="I114" s="14">
        <f>SUM(I66:I68)</f>
        <v>711459.1019399995</v>
      </c>
      <c r="J114" s="14">
        <f>SUM(J66:J68)</f>
        <v>8649.6779999999999</v>
      </c>
      <c r="K114" s="14">
        <f>SUM(K66:K68)</f>
        <v>636607.12959999964</v>
      </c>
      <c r="L114" s="14">
        <f>SUM(L66:L68)</f>
        <v>1331665.9269999994</v>
      </c>
      <c r="M114" s="14">
        <f>SUM(M66:M68)</f>
        <v>4878.9221200000002</v>
      </c>
      <c r="N114" s="14">
        <f>SUM(N66:N68)</f>
        <v>20457.210809999997</v>
      </c>
      <c r="O114" s="14">
        <f>SUM(O66:O68)</f>
        <v>12687.635909999997</v>
      </c>
      <c r="P114" s="14">
        <f>SUM(P66:P68)</f>
        <v>1055.40074</v>
      </c>
      <c r="Q114" s="14">
        <f>SUM(Q66:Q68)</f>
        <v>549.26963000000001</v>
      </c>
      <c r="R114" s="14">
        <f>SUM(R66:R68)</f>
        <v>428476.17097999994</v>
      </c>
      <c r="S114" s="14">
        <f>SUM(S66:S68)</f>
        <v>4548.5772900000011</v>
      </c>
      <c r="T114" s="14">
        <f>SUM(T66:T68)</f>
        <v>169650.64539999995</v>
      </c>
      <c r="U114" s="14">
        <f>SUM(U66:U68)</f>
        <v>108125.65535000002</v>
      </c>
      <c r="V114" s="14">
        <f>SUM(V66:V68)</f>
        <v>52764.80018000002</v>
      </c>
      <c r="W114" s="14">
        <f>SUM(W66:W68)</f>
        <v>54914.59421000001</v>
      </c>
      <c r="X114" s="14">
        <f>SUM(X66:X68)</f>
        <v>172906.08276000002</v>
      </c>
      <c r="Y114" s="14">
        <f>SUM(Y66:Y68)</f>
        <v>22398.707090000004</v>
      </c>
      <c r="Z114" s="14">
        <f>SUM(Z66:Z68)</f>
        <v>30035.513959999997</v>
      </c>
      <c r="AA114" s="14">
        <f>SUM(AA66:AA68)</f>
        <v>6854.8591799999995</v>
      </c>
      <c r="AB114" s="14">
        <f>SUM(AB66:AB68)</f>
        <v>9744.5967900000032</v>
      </c>
      <c r="AC114" s="14">
        <f>SUM(AC66:AC68)</f>
        <v>103561.61827000001</v>
      </c>
      <c r="AD114" s="14">
        <f>SUM(AD66:AD68)</f>
        <v>4431381.5920299999</v>
      </c>
      <c r="AE114" s="14">
        <f>SUM(AE66:AE68)</f>
        <v>45177.479959999997</v>
      </c>
      <c r="AF114" s="14">
        <f>SUM(AF66:AF68)</f>
        <v>44753.053689999986</v>
      </c>
      <c r="AG114" s="14">
        <f>SUM(AG66:AG68)</f>
        <v>108660.11287000001</v>
      </c>
      <c r="AH114" s="14">
        <f>SUM(AH66:AH68)</f>
        <v>26424.28024</v>
      </c>
      <c r="AI114" s="14">
        <f>SUM(AI66:AI68)</f>
        <v>41937.992840000014</v>
      </c>
      <c r="AJ114" s="14">
        <f>SUM(AJ66:AJ68)</f>
        <v>202090.85984000002</v>
      </c>
      <c r="AK114" s="14">
        <f>SUM(AK66:AK68)</f>
        <v>73638.622380000015</v>
      </c>
      <c r="AL114" s="14">
        <f>SUM(AL66:AL68)</f>
        <v>20676.116480000004</v>
      </c>
      <c r="AM114" s="14">
        <f>SUM(AM66:AM68)</f>
        <v>332.16777000000002</v>
      </c>
      <c r="AN114" s="14">
        <f>SUM(AN66:AN68)</f>
        <v>137.48514999999998</v>
      </c>
      <c r="AO114" s="14">
        <f>SUM(AO66:AO68)</f>
        <v>160730.91582000005</v>
      </c>
      <c r="AP114" s="14">
        <f>SUM(AP66:AP68)</f>
        <v>427779.57825000014</v>
      </c>
      <c r="AQ114" s="14">
        <f>SUM(AQ66:AQ68)</f>
        <v>26170.146379999998</v>
      </c>
      <c r="AR114" s="14">
        <f>SUM(AR66:AR68)</f>
        <v>10226.315190000001</v>
      </c>
      <c r="AS114" s="14">
        <f>SUM(AS66:AS68)</f>
        <v>14964.773429999997</v>
      </c>
      <c r="AT114" s="14">
        <f>SUM(AT66:AT68)</f>
        <v>1257.3538699999999</v>
      </c>
      <c r="AU114" s="14">
        <f>SUM(AU66:AU68)</f>
        <v>12227.897659999999</v>
      </c>
      <c r="AV114" s="14">
        <f>SUM(AV66:AV68)</f>
        <v>75.927599999999998</v>
      </c>
      <c r="AW114" s="14">
        <f>SUM(AW66:AW68)</f>
        <v>222.55549999999999</v>
      </c>
      <c r="AX114" s="14">
        <f>SUM(AX66:AX68)</f>
        <v>1019.0871000000001</v>
      </c>
      <c r="AY114" s="14">
        <f>SUM(AY66:AY68)</f>
        <v>105694.43550999994</v>
      </c>
      <c r="AZ114" s="14">
        <f>SUM(AZ66:AZ68)</f>
        <v>15075.955869999998</v>
      </c>
      <c r="BA114" s="14">
        <f>SUM(BA66:BA68)</f>
        <v>10.707870000000002</v>
      </c>
      <c r="BB114" s="14">
        <f>SUM(BB66:BB68)</f>
        <v>4.12927</v>
      </c>
      <c r="BC114" s="14">
        <f>SUM(BC66:BC68)</f>
        <v>3468.2860499999992</v>
      </c>
      <c r="BD114" s="14">
        <f>SUM(BD66:BD68)</f>
        <v>95.906270000000006</v>
      </c>
      <c r="BE114" s="14">
        <f>SUM(BE66:BE68)</f>
        <v>14163.303720000009</v>
      </c>
      <c r="BF114" s="14">
        <f>SUM(BF66:BF68)</f>
        <v>1911.0659999999998</v>
      </c>
      <c r="BG114" s="14">
        <f>SUM(BG66:BG68)</f>
        <v>3450.5437599999996</v>
      </c>
      <c r="BH114" s="14">
        <f>SUM(BH66:BH68)</f>
        <v>436.89683000000002</v>
      </c>
      <c r="BI114" s="14">
        <f>SUM(BI66:BI68)</f>
        <v>2419.9155600000004</v>
      </c>
      <c r="BJ114" s="14">
        <f>SUM(BJ66:BJ68)</f>
        <v>6239.0068799999999</v>
      </c>
      <c r="BK114" s="14">
        <f>SUM(BK66:BK68)</f>
        <v>15497.134159999998</v>
      </c>
      <c r="BL114" s="14">
        <f>SUM(BL66:BL68)</f>
        <v>50476.934530000013</v>
      </c>
      <c r="BM114" s="14">
        <f>SUM(BM66:BM68)</f>
        <v>55572.173430000024</v>
      </c>
      <c r="BN114" s="14">
        <f>SUM(BN66:BN68)</f>
        <v>29108.548039999983</v>
      </c>
      <c r="BO114" s="14">
        <f>SUM(BO66:BO68)</f>
        <v>9690.9225199999983</v>
      </c>
      <c r="BP114" s="14">
        <f>SUM(BP66:BP68)</f>
        <v>4981.8086000000021</v>
      </c>
      <c r="BQ114" s="14">
        <f>SUM(BQ66:BQ68)</f>
        <v>65.30852999999999</v>
      </c>
      <c r="BR114" s="14">
        <f>SUM(BR66:BR68)</f>
        <v>77.55698000000001</v>
      </c>
      <c r="BS114" s="14">
        <f>SUM(BS66:BS68)</f>
        <v>17834.680109999998</v>
      </c>
      <c r="BT114" s="14">
        <f>SUM(BT66:BT68)</f>
        <v>27366.241720000005</v>
      </c>
      <c r="BU114" s="14">
        <f>SUM(BU66:BU68)</f>
        <v>37066.548039999994</v>
      </c>
      <c r="BV114" s="14">
        <f>SUM(BV66:BV68)</f>
        <v>1058872.4833099998</v>
      </c>
      <c r="BW114" s="14">
        <f>SUM(BW66:BW68)</f>
        <v>144339.33286000002</v>
      </c>
      <c r="BX114" s="14">
        <f>SUM(BX66:BX68)</f>
        <v>71075.303249999997</v>
      </c>
      <c r="BY114" s="14">
        <f>SUM(BY66:BY68)</f>
        <v>93990.202529999995</v>
      </c>
      <c r="BZ114" s="14">
        <f>SUM(BZ66:BZ68)</f>
        <v>339.71985000000001</v>
      </c>
      <c r="CA114" s="14">
        <f>SUM(CA66:CA68)</f>
        <v>239141.91937000011</v>
      </c>
      <c r="CB114" s="14">
        <f>SUM(CB66:CB68)</f>
        <v>1598.30016</v>
      </c>
      <c r="CC114" s="14">
        <f>SUM(CC66:CC68)</f>
        <v>427.69414</v>
      </c>
      <c r="CD114" s="14">
        <f>SUM(CD66:CD68)</f>
        <v>515.08548999999994</v>
      </c>
      <c r="CE114" s="14">
        <f>SUM(CE66:CE68)</f>
        <v>470.96688000000006</v>
      </c>
      <c r="CF114" s="14">
        <f>SUM(CF66:CF68)</f>
        <v>17548.549970000004</v>
      </c>
      <c r="CG114" s="14">
        <f>SUM(CG66:CG68)</f>
        <v>13356.99819</v>
      </c>
      <c r="CH114" s="14">
        <f>SUM(CH66:CH68)</f>
        <v>163489.63250999991</v>
      </c>
      <c r="CI114" s="14">
        <f>SUM(CI66:CI68)</f>
        <v>292707.02918999997</v>
      </c>
      <c r="CJ114" s="14">
        <f>SUM(CJ66:CJ68)</f>
        <v>706.36607000000004</v>
      </c>
      <c r="CK114" s="14">
        <f>SUM(CK66:CK68)</f>
        <v>104831.33482999996</v>
      </c>
      <c r="CL114" s="14">
        <f>SUM(CL66:CL68)</f>
        <v>6189.3565800000006</v>
      </c>
      <c r="CM114" s="14">
        <f>SUM(CM66:CM68)</f>
        <v>3276.7859300000005</v>
      </c>
      <c r="CN114" s="14">
        <f>SUM(CN66:CN68)</f>
        <v>23618.057180000003</v>
      </c>
      <c r="CO114" s="14">
        <f>SUM(CO66:CO68)</f>
        <v>1373.2699100000002</v>
      </c>
      <c r="CP114" s="14">
        <f>SUM(CP66:CP68)</f>
        <v>95.846460000000008</v>
      </c>
      <c r="CQ114" s="14">
        <f>SUM(CQ66:CQ68)</f>
        <v>2439.2366999999999</v>
      </c>
      <c r="CR114" s="14">
        <f>SUM(CR66:CR68)</f>
        <v>43127.505709999998</v>
      </c>
      <c r="CS114" s="14">
        <f>SUM(CS66:CS68)</f>
        <v>4746.6922400000003</v>
      </c>
      <c r="CT114" s="14">
        <f>SUM(CT66:CT68)</f>
        <v>45346.510110000003</v>
      </c>
      <c r="CU114" s="14">
        <f>SUM(CU66:CU68)</f>
        <v>1823.7424100000001</v>
      </c>
      <c r="CV114" s="14">
        <f>SUM(CV66:CV68)</f>
        <v>1901.81413</v>
      </c>
      <c r="CW114" s="14">
        <f>SUM(CW66:CW68)</f>
        <v>12434492.243289996</v>
      </c>
    </row>
    <row r="115" spans="2:101">
      <c r="B115" s="140"/>
      <c r="C115" t="s">
        <v>3</v>
      </c>
      <c r="D115" s="14">
        <f>SUM(D69:D71)</f>
        <v>54514.070370000009</v>
      </c>
      <c r="E115" s="14">
        <f t="shared" ref="E115:AQ115" si="4">SUM(E69:E71)</f>
        <v>43008.128630000007</v>
      </c>
      <c r="F115" s="14">
        <f t="shared" si="4"/>
        <v>37372.325169999996</v>
      </c>
      <c r="G115" s="14">
        <f t="shared" si="4"/>
        <v>14817.644350000002</v>
      </c>
      <c r="H115" s="14">
        <f t="shared" si="4"/>
        <v>14081.0844</v>
      </c>
      <c r="I115" s="14">
        <f t="shared" si="4"/>
        <v>475266.12200999993</v>
      </c>
      <c r="J115" s="14">
        <f t="shared" si="4"/>
        <v>8498.6156800000008</v>
      </c>
      <c r="K115" s="14">
        <f t="shared" si="4"/>
        <v>543705.54765999992</v>
      </c>
      <c r="L115" s="14">
        <f t="shared" si="4"/>
        <v>1525401.3428499985</v>
      </c>
      <c r="M115" s="14">
        <f t="shared" si="4"/>
        <v>20765.691600000006</v>
      </c>
      <c r="N115" s="14">
        <f t="shared" si="4"/>
        <v>21867.238799999999</v>
      </c>
      <c r="O115" s="14">
        <f t="shared" si="4"/>
        <v>12419.327740000001</v>
      </c>
      <c r="P115" s="14">
        <f t="shared" si="4"/>
        <v>607.67676999999992</v>
      </c>
      <c r="Q115" s="14">
        <f t="shared" si="4"/>
        <v>778.00258999999994</v>
      </c>
      <c r="R115" s="14">
        <f t="shared" si="4"/>
        <v>304620.33888000005</v>
      </c>
      <c r="S115" s="14">
        <f t="shared" si="4"/>
        <v>6639.0489299999999</v>
      </c>
      <c r="T115" s="14">
        <f t="shared" si="4"/>
        <v>189837.31539000006</v>
      </c>
      <c r="U115" s="14">
        <f t="shared" si="4"/>
        <v>98337.826540000038</v>
      </c>
      <c r="V115" s="14">
        <f t="shared" si="4"/>
        <v>59068.052200000013</v>
      </c>
      <c r="W115" s="14">
        <f t="shared" si="4"/>
        <v>60023.847349999996</v>
      </c>
      <c r="X115" s="14">
        <f t="shared" si="4"/>
        <v>197865.1277000001</v>
      </c>
      <c r="Y115" s="14">
        <f t="shared" si="4"/>
        <v>21576.999289999996</v>
      </c>
      <c r="Z115" s="14">
        <f t="shared" si="4"/>
        <v>31844.0651</v>
      </c>
      <c r="AA115" s="14">
        <f t="shared" si="4"/>
        <v>1291.5893999999998</v>
      </c>
      <c r="AB115" s="14">
        <f t="shared" si="4"/>
        <v>10784.687130000002</v>
      </c>
      <c r="AC115" s="14">
        <f t="shared" si="4"/>
        <v>563513.83591999998</v>
      </c>
      <c r="AD115" s="14">
        <f t="shared" si="4"/>
        <v>4394992.1448200028</v>
      </c>
      <c r="AE115" s="14">
        <f t="shared" si="4"/>
        <v>42778.813139999991</v>
      </c>
      <c r="AF115" s="14">
        <f t="shared" si="4"/>
        <v>53248.255460000015</v>
      </c>
      <c r="AG115" s="14">
        <f t="shared" si="4"/>
        <v>122800.87437000001</v>
      </c>
      <c r="AH115" s="14">
        <f t="shared" si="4"/>
        <v>22575.52145</v>
      </c>
      <c r="AI115" s="14">
        <f t="shared" si="4"/>
        <v>42863.127849999997</v>
      </c>
      <c r="AJ115" s="14">
        <f t="shared" si="4"/>
        <v>214214.6651300001</v>
      </c>
      <c r="AK115" s="14">
        <f t="shared" si="4"/>
        <v>72215.311569999991</v>
      </c>
      <c r="AL115" s="14">
        <f t="shared" si="4"/>
        <v>23749.135290000002</v>
      </c>
      <c r="AM115" s="14">
        <f t="shared" si="4"/>
        <v>322.20958000000002</v>
      </c>
      <c r="AN115" s="14">
        <f t="shared" si="4"/>
        <v>279.81153999999998</v>
      </c>
      <c r="AO115" s="14">
        <f t="shared" si="4"/>
        <v>247561.08176000006</v>
      </c>
      <c r="AP115" s="14">
        <f t="shared" si="4"/>
        <v>454944.58113999991</v>
      </c>
      <c r="AQ115" s="14">
        <f t="shared" si="4"/>
        <v>27734.81394</v>
      </c>
      <c r="AR115" s="14">
        <f>SUM(AR63:AR65)</f>
        <v>8732.7642400000004</v>
      </c>
      <c r="AS115" s="14">
        <f>SUM(AS63:AS65)</f>
        <v>11814.755639999999</v>
      </c>
      <c r="AT115" s="14">
        <f>SUM(AT63:AT65)</f>
        <v>1359.6001000000001</v>
      </c>
      <c r="AU115" s="14">
        <f>SUM(AU63:AU65)</f>
        <v>11399.43074</v>
      </c>
      <c r="AV115" s="14">
        <f>SUM(AV63:AV65)</f>
        <v>82.42698</v>
      </c>
      <c r="AW115" s="14">
        <f>SUM(AW63:AW65)</f>
        <v>392.10358000000002</v>
      </c>
      <c r="AX115" s="14">
        <f>SUM(AX63:AX65)</f>
        <v>839.11830999999984</v>
      </c>
      <c r="AY115" s="14">
        <f>SUM(AY63:AY65)</f>
        <v>108891.94965999995</v>
      </c>
      <c r="AZ115" s="14">
        <f>SUM(AZ63:AZ65)</f>
        <v>12169.616739999998</v>
      </c>
      <c r="BA115" s="14">
        <f>SUM(BA63:BA65)</f>
        <v>1.7731400000000002</v>
      </c>
      <c r="BB115" s="14">
        <f>SUM(BB63:BB65)</f>
        <v>1.8952</v>
      </c>
      <c r="BC115" s="14">
        <f>SUM(BC63:BC65)</f>
        <v>4406.6347400000013</v>
      </c>
      <c r="BD115" s="14">
        <f>SUM(BD63:BD65)</f>
        <v>155.57300999999998</v>
      </c>
      <c r="BE115" s="14">
        <f>SUM(BE63:BE65)</f>
        <v>12631.028559999993</v>
      </c>
      <c r="BF115" s="14">
        <f>SUM(BF63:BF65)</f>
        <v>4355.107750000001</v>
      </c>
      <c r="BG115" s="14">
        <f>SUM(BG63:BG65)</f>
        <v>2950.6207000000004</v>
      </c>
      <c r="BH115" s="14">
        <f>SUM(BH63:BH65)</f>
        <v>517.11140999999998</v>
      </c>
      <c r="BI115" s="14">
        <f>SUM(BI63:BI65)</f>
        <v>2277.7340900000004</v>
      </c>
      <c r="BJ115" s="14">
        <f>SUM(BJ63:BJ65)</f>
        <v>6879.5184499999996</v>
      </c>
      <c r="BK115" s="14">
        <f>SUM(BK63:BK65)</f>
        <v>13749.991200000004</v>
      </c>
      <c r="BL115" s="14">
        <f>SUM(BL63:BL65)</f>
        <v>46091.684410000045</v>
      </c>
      <c r="BM115" s="14">
        <f>SUM(BM63:BM65)</f>
        <v>49641.222029999946</v>
      </c>
      <c r="BN115" s="14">
        <f>SUM(BN63:BN65)</f>
        <v>26974.742550000006</v>
      </c>
      <c r="BO115" s="14">
        <f>SUM(BO63:BO65)</f>
        <v>8724.6607299999996</v>
      </c>
      <c r="BP115" s="14">
        <f>SUM(BP63:BP65)</f>
        <v>5064.2918499999996</v>
      </c>
      <c r="BQ115" s="14">
        <f>SUM(BQ63:BQ65)</f>
        <v>281.14613999999995</v>
      </c>
      <c r="BR115" s="14">
        <f>SUM(BR63:BR65)</f>
        <v>22.717459999999999</v>
      </c>
      <c r="BS115" s="14">
        <f>SUM(BS63:BS65)</f>
        <v>16767.138820000004</v>
      </c>
      <c r="BT115" s="14">
        <f>SUM(BT63:BT65)</f>
        <v>24479.990659999996</v>
      </c>
      <c r="BU115" s="14">
        <f>SUM(BU63:BU65)</f>
        <v>32978.415869999997</v>
      </c>
      <c r="BV115" s="14">
        <f>SUM(BV63:BV65)</f>
        <v>1043716.9472000001</v>
      </c>
      <c r="BW115" s="14">
        <f>SUM(BW63:BW65)</f>
        <v>133694.23547000001</v>
      </c>
      <c r="BX115" s="14">
        <f>SUM(BX63:BX65)</f>
        <v>56019.432910000018</v>
      </c>
      <c r="BY115" s="14">
        <f>SUM(BY63:BY65)</f>
        <v>105027.47556999998</v>
      </c>
      <c r="BZ115" s="14">
        <f>SUM(BZ63:BZ65)</f>
        <v>7.9842499999999994</v>
      </c>
      <c r="CA115" s="14">
        <f>SUM(CA63:CA65)</f>
        <v>195148.47816999996</v>
      </c>
      <c r="CB115" s="14">
        <f>SUM(CB63:CB65)</f>
        <v>3917.9973699999996</v>
      </c>
      <c r="CC115" s="14">
        <f>SUM(CC63:CC65)</f>
        <v>205.70324999999997</v>
      </c>
      <c r="CD115" s="14">
        <f>SUM(CD63:CD65)</f>
        <v>661.13545999999997</v>
      </c>
      <c r="CE115" s="14">
        <f>SUM(CE63:CE65)</f>
        <v>323.62341999999995</v>
      </c>
      <c r="CF115" s="14">
        <f>SUM(CF63:CF65)</f>
        <v>14298.904050000001</v>
      </c>
      <c r="CG115" s="14">
        <f>SUM(CG63:CG65)</f>
        <v>11075.159830000002</v>
      </c>
      <c r="CH115" s="14">
        <f>SUM(CH63:CH65)</f>
        <v>145756.2111300001</v>
      </c>
      <c r="CI115" s="14">
        <f>SUM(CI63:CI65)</f>
        <v>244207.39356999996</v>
      </c>
      <c r="CJ115" s="14">
        <f>SUM(CJ63:CJ65)</f>
        <v>432.90162000000004</v>
      </c>
      <c r="CK115" s="14">
        <f>SUM(CK63:CK65)</f>
        <v>69193.987749999986</v>
      </c>
      <c r="CL115" s="14">
        <f>SUM(CL63:CL65)</f>
        <v>9202.8583200000012</v>
      </c>
      <c r="CM115" s="14">
        <f>SUM(CM63:CM65)</f>
        <v>4131.3077800000001</v>
      </c>
      <c r="CN115" s="14">
        <f>SUM(CN63:CN65)</f>
        <v>23118.903930000008</v>
      </c>
      <c r="CO115" s="14">
        <f>SUM(CO63:CO65)</f>
        <v>1966.0877500000001</v>
      </c>
      <c r="CP115" s="14">
        <f>SUM(CP63:CP65)</f>
        <v>17.09937</v>
      </c>
      <c r="CQ115" s="14">
        <f>SUM(CQ63:CQ65)</f>
        <v>23.302499999999998</v>
      </c>
      <c r="CR115" s="14">
        <f>SUM(CR63:CR65)</f>
        <v>34972.191830000025</v>
      </c>
      <c r="CS115" s="14">
        <f>SUM(CS63:CS65)</f>
        <v>3499.4060300000001</v>
      </c>
      <c r="CT115" s="14">
        <f>SUM(CT63:CT65)</f>
        <v>34520.488840000005</v>
      </c>
      <c r="CU115" s="14">
        <f>SUM(CU63:CU65)</f>
        <v>500.29080999999996</v>
      </c>
      <c r="CV115" s="14">
        <f>SUM(CV63:CV65)</f>
        <v>1943.59221</v>
      </c>
      <c r="CW115" s="14">
        <f>SUM(CW63:CW65)</f>
        <v>11954817.807929996</v>
      </c>
    </row>
    <row r="116" spans="2:101">
      <c r="B116" s="140"/>
      <c r="C116" t="s">
        <v>4</v>
      </c>
      <c r="D116" s="14">
        <f>+SUM(D72:D74)</f>
        <v>32944.976629999997</v>
      </c>
      <c r="E116" s="14">
        <f t="shared" ref="E116:BP116" si="5">+SUM(E72:E74)</f>
        <v>30415.601790000001</v>
      </c>
      <c r="F116" s="14">
        <f t="shared" si="5"/>
        <v>44913.078760000004</v>
      </c>
      <c r="G116" s="14">
        <f t="shared" si="5"/>
        <v>22989.698049999995</v>
      </c>
      <c r="H116" s="14">
        <f t="shared" si="5"/>
        <v>10979.79096</v>
      </c>
      <c r="I116" s="14">
        <f t="shared" si="5"/>
        <v>548649.11298000033</v>
      </c>
      <c r="J116" s="14">
        <f t="shared" si="5"/>
        <v>9381.791489999996</v>
      </c>
      <c r="K116" s="14">
        <f t="shared" si="5"/>
        <v>575568.68353000085</v>
      </c>
      <c r="L116" s="14">
        <f t="shared" si="5"/>
        <v>1665310.4847900006</v>
      </c>
      <c r="M116" s="14">
        <f t="shared" si="5"/>
        <v>10646.739709999998</v>
      </c>
      <c r="N116" s="14">
        <f t="shared" si="5"/>
        <v>19829.811109999995</v>
      </c>
      <c r="O116" s="14">
        <f t="shared" si="5"/>
        <v>15231.242849999999</v>
      </c>
      <c r="P116" s="14">
        <f t="shared" si="5"/>
        <v>933.01900999999998</v>
      </c>
      <c r="Q116" s="14">
        <f t="shared" si="5"/>
        <v>673.87986000000001</v>
      </c>
      <c r="R116" s="14">
        <f t="shared" si="5"/>
        <v>302864.35996000003</v>
      </c>
      <c r="S116" s="14">
        <f t="shared" si="5"/>
        <v>3189.3252200000002</v>
      </c>
      <c r="T116" s="14">
        <f t="shared" si="5"/>
        <v>189864.03515000001</v>
      </c>
      <c r="U116" s="14">
        <f t="shared" si="5"/>
        <v>88985.150430000009</v>
      </c>
      <c r="V116" s="14">
        <f t="shared" si="5"/>
        <v>51663.823510000002</v>
      </c>
      <c r="W116" s="14">
        <f t="shared" si="5"/>
        <v>51078.873800000001</v>
      </c>
      <c r="X116" s="14">
        <f t="shared" si="5"/>
        <v>181420.75812000004</v>
      </c>
      <c r="Y116" s="14">
        <f t="shared" si="5"/>
        <v>21488.657049999998</v>
      </c>
      <c r="Z116" s="14">
        <f t="shared" si="5"/>
        <v>30846.455320000001</v>
      </c>
      <c r="AA116" s="14">
        <f t="shared" si="5"/>
        <v>1439.6180799999997</v>
      </c>
      <c r="AB116" s="14">
        <f t="shared" si="5"/>
        <v>10151.294530000001</v>
      </c>
      <c r="AC116" s="14">
        <f t="shared" si="5"/>
        <v>184023.44686000003</v>
      </c>
      <c r="AD116" s="14">
        <f t="shared" si="5"/>
        <v>4136734.573189998</v>
      </c>
      <c r="AE116" s="14">
        <f t="shared" si="5"/>
        <v>36454.407849999981</v>
      </c>
      <c r="AF116" s="14">
        <f t="shared" si="5"/>
        <v>48341.064719999995</v>
      </c>
      <c r="AG116" s="14">
        <f t="shared" si="5"/>
        <v>123399.81772999992</v>
      </c>
      <c r="AH116" s="14">
        <f t="shared" si="5"/>
        <v>17548.141949999997</v>
      </c>
      <c r="AI116" s="14">
        <f t="shared" si="5"/>
        <v>46545.009609999994</v>
      </c>
      <c r="AJ116" s="14">
        <f t="shared" si="5"/>
        <v>208540.28034000003</v>
      </c>
      <c r="AK116" s="14">
        <f t="shared" si="5"/>
        <v>72705.194069999969</v>
      </c>
      <c r="AL116" s="14">
        <f t="shared" si="5"/>
        <v>23117.524469999993</v>
      </c>
      <c r="AM116" s="14">
        <f t="shared" si="5"/>
        <v>751.78620000000001</v>
      </c>
      <c r="AN116" s="14">
        <f t="shared" si="5"/>
        <v>187.59457999999998</v>
      </c>
      <c r="AO116" s="14">
        <f t="shared" si="5"/>
        <v>179244.84037999992</v>
      </c>
      <c r="AP116" s="14">
        <f t="shared" si="5"/>
        <v>433540.00393999979</v>
      </c>
      <c r="AQ116" s="14">
        <f t="shared" si="5"/>
        <v>28979.394019999992</v>
      </c>
      <c r="AR116" s="14">
        <f t="shared" si="5"/>
        <v>10320.210929999999</v>
      </c>
      <c r="AS116" s="14">
        <f t="shared" si="5"/>
        <v>11458.510729999995</v>
      </c>
      <c r="AT116" s="14">
        <f t="shared" si="5"/>
        <v>1976.5451699999999</v>
      </c>
      <c r="AU116" s="14">
        <f t="shared" si="5"/>
        <v>7453.8316200000017</v>
      </c>
      <c r="AV116" s="14">
        <f t="shared" si="5"/>
        <v>33.813610000000004</v>
      </c>
      <c r="AW116" s="14">
        <f t="shared" si="5"/>
        <v>361.46641999999991</v>
      </c>
      <c r="AX116" s="14">
        <f t="shared" si="5"/>
        <v>6.2298200000000001</v>
      </c>
      <c r="AY116" s="14">
        <f t="shared" si="5"/>
        <v>99364.634749999968</v>
      </c>
      <c r="AZ116" s="14">
        <f t="shared" si="5"/>
        <v>19132.851579999999</v>
      </c>
      <c r="BA116" s="14">
        <f t="shared" si="5"/>
        <v>5.7777000000000003</v>
      </c>
      <c r="BB116" s="14">
        <f t="shared" si="5"/>
        <v>26.911629999999999</v>
      </c>
      <c r="BC116" s="14">
        <f t="shared" si="5"/>
        <v>2664.0802799999997</v>
      </c>
      <c r="BD116" s="14">
        <f t="shared" si="5"/>
        <v>134.60318000000001</v>
      </c>
      <c r="BE116" s="14">
        <f t="shared" si="5"/>
        <v>16293.480740000014</v>
      </c>
      <c r="BF116" s="14">
        <f t="shared" si="5"/>
        <v>1607.7451200000003</v>
      </c>
      <c r="BG116" s="14">
        <f t="shared" si="5"/>
        <v>3330.2674899999988</v>
      </c>
      <c r="BH116" s="14">
        <f t="shared" si="5"/>
        <v>648.55902000000003</v>
      </c>
      <c r="BI116" s="14">
        <f t="shared" si="5"/>
        <v>2193.0075799999995</v>
      </c>
      <c r="BJ116" s="14">
        <f t="shared" si="5"/>
        <v>5673.3507899999995</v>
      </c>
      <c r="BK116" s="14">
        <f t="shared" si="5"/>
        <v>18129.785819999997</v>
      </c>
      <c r="BL116" s="14">
        <f t="shared" si="5"/>
        <v>55471.948080000089</v>
      </c>
      <c r="BM116" s="14">
        <f t="shared" si="5"/>
        <v>63169.319530000073</v>
      </c>
      <c r="BN116" s="14">
        <f t="shared" si="5"/>
        <v>21358.762849999996</v>
      </c>
      <c r="BO116" s="14">
        <f t="shared" si="5"/>
        <v>11849.652740000001</v>
      </c>
      <c r="BP116" s="14">
        <f t="shared" si="5"/>
        <v>5825.6492199999993</v>
      </c>
      <c r="BQ116" s="14">
        <f t="shared" ref="BQ116:CW116" si="6">+SUM(BQ72:BQ74)</f>
        <v>140.81091000000001</v>
      </c>
      <c r="BR116" s="14">
        <f t="shared" si="6"/>
        <v>58.079630000000002</v>
      </c>
      <c r="BS116" s="14">
        <f t="shared" si="6"/>
        <v>18368.770679999998</v>
      </c>
      <c r="BT116" s="14">
        <f t="shared" si="6"/>
        <v>25691.211969999997</v>
      </c>
      <c r="BU116" s="14">
        <f t="shared" si="6"/>
        <v>39098.696950000012</v>
      </c>
      <c r="BV116" s="14">
        <f t="shared" si="6"/>
        <v>1562771.87427</v>
      </c>
      <c r="BW116" s="14">
        <f t="shared" si="6"/>
        <v>154570.17449000006</v>
      </c>
      <c r="BX116" s="14">
        <f t="shared" si="6"/>
        <v>69539.277799999982</v>
      </c>
      <c r="BY116" s="14">
        <f t="shared" si="6"/>
        <v>89803.525600000023</v>
      </c>
      <c r="BZ116" s="14">
        <f t="shared" si="6"/>
        <v>56.750059999999991</v>
      </c>
      <c r="CA116" s="14">
        <f t="shared" si="6"/>
        <v>231673.26079000015</v>
      </c>
      <c r="CB116" s="14">
        <f t="shared" si="6"/>
        <v>4658.4678400000003</v>
      </c>
      <c r="CC116" s="14">
        <f t="shared" si="6"/>
        <v>332.01334000000003</v>
      </c>
      <c r="CD116" s="14">
        <f t="shared" si="6"/>
        <v>753.68646999999999</v>
      </c>
      <c r="CE116" s="14">
        <f t="shared" si="6"/>
        <v>351.35916999999995</v>
      </c>
      <c r="CF116" s="14">
        <f t="shared" si="6"/>
        <v>18217.182280000005</v>
      </c>
      <c r="CG116" s="14">
        <f t="shared" si="6"/>
        <v>14135.065640000001</v>
      </c>
      <c r="CH116" s="14">
        <f t="shared" si="6"/>
        <v>152284.49208000003</v>
      </c>
      <c r="CI116" s="14">
        <f t="shared" si="6"/>
        <v>267425.88850000018</v>
      </c>
      <c r="CJ116" s="14">
        <f t="shared" si="6"/>
        <v>473.94956000000002</v>
      </c>
      <c r="CK116" s="14">
        <f t="shared" si="6"/>
        <v>161644.24143000002</v>
      </c>
      <c r="CL116" s="14">
        <f t="shared" si="6"/>
        <v>52370.075129999997</v>
      </c>
      <c r="CM116" s="14">
        <f t="shared" si="6"/>
        <v>61411.689920000004</v>
      </c>
      <c r="CN116" s="14">
        <f t="shared" si="6"/>
        <v>24535.048889999995</v>
      </c>
      <c r="CO116" s="14">
        <f t="shared" si="6"/>
        <v>1240.80618</v>
      </c>
      <c r="CP116" s="14">
        <f t="shared" si="6"/>
        <v>20.754550000000002</v>
      </c>
      <c r="CQ116" s="14">
        <f t="shared" si="6"/>
        <v>5104.0374300000003</v>
      </c>
      <c r="CR116" s="14">
        <f t="shared" si="6"/>
        <v>47093.774070000014</v>
      </c>
      <c r="CS116" s="14">
        <f t="shared" si="6"/>
        <v>4049.0869600000005</v>
      </c>
      <c r="CT116" s="14">
        <f t="shared" si="6"/>
        <v>29607.195080000005</v>
      </c>
      <c r="CU116" s="14">
        <f t="shared" si="6"/>
        <v>2339.0565700000002</v>
      </c>
      <c r="CV116" s="14">
        <f t="shared" si="6"/>
        <v>2940.83133</v>
      </c>
      <c r="CW116" s="14">
        <f t="shared" si="6"/>
        <v>12862825.474569999</v>
      </c>
    </row>
    <row r="119" spans="2:101" ht="78">
      <c r="B119" s="7" t="s">
        <v>112</v>
      </c>
      <c r="D119" s="6" t="s">
        <v>7</v>
      </c>
      <c r="E119" s="6" t="s">
        <v>8</v>
      </c>
      <c r="F119" s="6" t="s">
        <v>9</v>
      </c>
      <c r="G119" s="6" t="s">
        <v>10</v>
      </c>
      <c r="H119" s="6" t="s">
        <v>11</v>
      </c>
      <c r="I119" s="6" t="s">
        <v>12</v>
      </c>
      <c r="J119" s="6" t="s">
        <v>13</v>
      </c>
      <c r="K119" s="6" t="s">
        <v>14</v>
      </c>
      <c r="L119" s="6" t="s">
        <v>15</v>
      </c>
      <c r="M119" s="6" t="s">
        <v>16</v>
      </c>
      <c r="N119" s="6" t="s">
        <v>17</v>
      </c>
      <c r="O119" s="6" t="s">
        <v>18</v>
      </c>
      <c r="P119" s="6" t="s">
        <v>19</v>
      </c>
      <c r="Q119" s="6" t="s">
        <v>20</v>
      </c>
      <c r="R119" s="6" t="s">
        <v>21</v>
      </c>
      <c r="S119" s="6" t="s">
        <v>22</v>
      </c>
      <c r="T119" s="6" t="s">
        <v>23</v>
      </c>
      <c r="U119" s="6" t="s">
        <v>24</v>
      </c>
      <c r="V119" s="6" t="s">
        <v>25</v>
      </c>
      <c r="W119" s="6" t="s">
        <v>26</v>
      </c>
      <c r="X119" s="6" t="s">
        <v>27</v>
      </c>
      <c r="Y119" s="6" t="s">
        <v>28</v>
      </c>
      <c r="Z119" s="6" t="s">
        <v>29</v>
      </c>
      <c r="AA119" s="6" t="s">
        <v>30</v>
      </c>
      <c r="AB119" s="6" t="s">
        <v>31</v>
      </c>
      <c r="AC119" s="6" t="s">
        <v>32</v>
      </c>
      <c r="AD119" s="6" t="s">
        <v>33</v>
      </c>
      <c r="AE119" s="6" t="s">
        <v>34</v>
      </c>
      <c r="AF119" s="6" t="s">
        <v>35</v>
      </c>
      <c r="AG119" s="6" t="s">
        <v>36</v>
      </c>
      <c r="AH119" s="6" t="s">
        <v>37</v>
      </c>
      <c r="AI119" s="6" t="s">
        <v>38</v>
      </c>
      <c r="AJ119" s="6" t="s">
        <v>39</v>
      </c>
      <c r="AK119" s="6" t="s">
        <v>40</v>
      </c>
      <c r="AL119" s="6" t="s">
        <v>41</v>
      </c>
      <c r="AM119" s="6" t="s">
        <v>106</v>
      </c>
      <c r="AN119" s="6" t="s">
        <v>107</v>
      </c>
      <c r="AO119" s="6" t="s">
        <v>42</v>
      </c>
      <c r="AP119" s="6" t="s">
        <v>43</v>
      </c>
      <c r="AQ119" s="6" t="s">
        <v>44</v>
      </c>
      <c r="AR119" s="6" t="s">
        <v>45</v>
      </c>
      <c r="AS119" s="6" t="s">
        <v>46</v>
      </c>
      <c r="AT119" s="6" t="s">
        <v>47</v>
      </c>
      <c r="AU119" s="6" t="s">
        <v>48</v>
      </c>
      <c r="AV119" s="6" t="s">
        <v>108</v>
      </c>
      <c r="AW119" s="6" t="s">
        <v>49</v>
      </c>
      <c r="AX119" s="6" t="s">
        <v>50</v>
      </c>
      <c r="AY119" s="6" t="s">
        <v>51</v>
      </c>
      <c r="AZ119" s="6" t="s">
        <v>52</v>
      </c>
      <c r="BA119" s="6" t="s">
        <v>109</v>
      </c>
      <c r="BB119" s="6" t="s">
        <v>110</v>
      </c>
      <c r="BC119" s="6" t="s">
        <v>53</v>
      </c>
      <c r="BD119" s="6" t="s">
        <v>54</v>
      </c>
      <c r="BE119" s="6" t="s">
        <v>55</v>
      </c>
      <c r="BF119" s="6" t="s">
        <v>56</v>
      </c>
      <c r="BG119" s="6" t="s">
        <v>57</v>
      </c>
      <c r="BH119" s="6" t="s">
        <v>58</v>
      </c>
      <c r="BI119" s="6" t="s">
        <v>59</v>
      </c>
      <c r="BJ119" s="6" t="s">
        <v>60</v>
      </c>
      <c r="BK119" s="6" t="s">
        <v>61</v>
      </c>
      <c r="BL119" s="6" t="s">
        <v>62</v>
      </c>
      <c r="BM119" s="6" t="s">
        <v>63</v>
      </c>
      <c r="BN119" s="6" t="s">
        <v>64</v>
      </c>
      <c r="BO119" s="6" t="s">
        <v>65</v>
      </c>
      <c r="BP119" s="6" t="s">
        <v>66</v>
      </c>
      <c r="BQ119" s="6" t="s">
        <v>67</v>
      </c>
      <c r="BR119" s="6" t="s">
        <v>68</v>
      </c>
      <c r="BS119" s="6" t="s">
        <v>69</v>
      </c>
      <c r="BT119" s="6" t="s">
        <v>70</v>
      </c>
      <c r="BU119" s="6" t="s">
        <v>71</v>
      </c>
      <c r="BV119" s="6" t="s">
        <v>72</v>
      </c>
      <c r="BW119" s="6" t="s">
        <v>73</v>
      </c>
      <c r="BX119" s="6" t="s">
        <v>74</v>
      </c>
      <c r="BY119" s="6" t="s">
        <v>75</v>
      </c>
      <c r="BZ119" s="6" t="s">
        <v>76</v>
      </c>
      <c r="CA119" s="6" t="s">
        <v>77</v>
      </c>
      <c r="CB119" s="6" t="s">
        <v>78</v>
      </c>
      <c r="CC119" s="6" t="s">
        <v>79</v>
      </c>
      <c r="CD119" s="6" t="s">
        <v>111</v>
      </c>
      <c r="CE119" s="6" t="s">
        <v>80</v>
      </c>
      <c r="CF119" s="6" t="s">
        <v>81</v>
      </c>
      <c r="CG119" s="6" t="s">
        <v>82</v>
      </c>
      <c r="CH119" s="6" t="s">
        <v>83</v>
      </c>
      <c r="CI119" s="6" t="s">
        <v>84</v>
      </c>
      <c r="CJ119" s="6" t="s">
        <v>85</v>
      </c>
      <c r="CK119" s="6" t="s">
        <v>86</v>
      </c>
      <c r="CL119" s="6" t="s">
        <v>87</v>
      </c>
      <c r="CM119" s="6" t="s">
        <v>88</v>
      </c>
      <c r="CN119" s="6" t="s">
        <v>89</v>
      </c>
      <c r="CO119" s="6" t="s">
        <v>90</v>
      </c>
      <c r="CP119" s="6" t="s">
        <v>91</v>
      </c>
      <c r="CQ119" s="6" t="s">
        <v>92</v>
      </c>
      <c r="CR119" s="6" t="s">
        <v>93</v>
      </c>
      <c r="CS119" s="6" t="s">
        <v>94</v>
      </c>
      <c r="CT119" s="6" t="s">
        <v>95</v>
      </c>
      <c r="CU119" s="6" t="s">
        <v>96</v>
      </c>
      <c r="CV119" s="6" t="s">
        <v>97</v>
      </c>
    </row>
    <row r="120" spans="2:101">
      <c r="B120" s="140">
        <v>2021</v>
      </c>
      <c r="C120" t="s">
        <v>1</v>
      </c>
      <c r="D120" s="24">
        <f>+(D97/D93)-1</f>
        <v>0.80493592613453901</v>
      </c>
      <c r="E120" s="24">
        <f t="shared" ref="E120:BP120" si="7">+(E97/E93)-1</f>
        <v>1.0743347941979451</v>
      </c>
      <c r="F120" s="24">
        <f t="shared" si="7"/>
        <v>1.5180990557360996E-2</v>
      </c>
      <c r="G120" s="24">
        <f t="shared" si="7"/>
        <v>1.675751421282087</v>
      </c>
      <c r="H120" s="24">
        <f t="shared" si="7"/>
        <v>0.26013644778500655</v>
      </c>
      <c r="I120" s="24">
        <f t="shared" si="7"/>
        <v>0.13033788697821924</v>
      </c>
      <c r="J120" s="24">
        <f t="shared" si="7"/>
        <v>-4.8691147433841508E-2</v>
      </c>
      <c r="K120" s="24">
        <f t="shared" si="7"/>
        <v>6.0101604447850843E-3</v>
      </c>
      <c r="L120" s="24">
        <f t="shared" si="7"/>
        <v>0.26097211518538521</v>
      </c>
      <c r="M120" s="24">
        <f t="shared" si="7"/>
        <v>-0.30222582458489022</v>
      </c>
      <c r="N120" s="24">
        <f t="shared" si="7"/>
        <v>0.12142124825528811</v>
      </c>
      <c r="O120" s="24">
        <f t="shared" si="7"/>
        <v>0.1217506537022166</v>
      </c>
      <c r="P120" s="24">
        <f t="shared" si="7"/>
        <v>0.10308125018755665</v>
      </c>
      <c r="Q120" s="24">
        <f t="shared" si="7"/>
        <v>0.24536767517930347</v>
      </c>
      <c r="R120" s="24">
        <f t="shared" si="7"/>
        <v>3.4415981077178914E-2</v>
      </c>
      <c r="S120" s="24">
        <f t="shared" si="7"/>
        <v>-0.21950098990798883</v>
      </c>
      <c r="T120" s="24">
        <f t="shared" si="7"/>
        <v>5.5304209139003024E-2</v>
      </c>
      <c r="U120" s="24">
        <f t="shared" si="7"/>
        <v>-3.4126298587253023E-2</v>
      </c>
      <c r="V120" s="24">
        <f t="shared" si="7"/>
        <v>0.14879195085398189</v>
      </c>
      <c r="W120" s="24">
        <f t="shared" si="7"/>
        <v>9.9234606098663081E-2</v>
      </c>
      <c r="X120" s="24">
        <f t="shared" si="7"/>
        <v>0.23846108923378395</v>
      </c>
      <c r="Y120" s="24">
        <f t="shared" si="7"/>
        <v>0.40154084459792982</v>
      </c>
      <c r="Z120" s="24">
        <f t="shared" si="7"/>
        <v>0.1297384208611263</v>
      </c>
      <c r="AA120" s="24">
        <f t="shared" si="7"/>
        <v>0.56603940363262151</v>
      </c>
      <c r="AB120" s="24">
        <f t="shared" si="7"/>
        <v>0.22445422706208329</v>
      </c>
      <c r="AC120" s="24">
        <f t="shared" si="7"/>
        <v>1.437290189175553</v>
      </c>
      <c r="AD120" s="24">
        <f t="shared" si="7"/>
        <v>-0.14361433176099003</v>
      </c>
      <c r="AE120" s="24">
        <f t="shared" si="7"/>
        <v>-2.3529858417137173E-2</v>
      </c>
      <c r="AF120" s="24">
        <f t="shared" si="7"/>
        <v>0.16009085226340636</v>
      </c>
      <c r="AG120" s="24">
        <f t="shared" si="7"/>
        <v>0.10133875734243558</v>
      </c>
      <c r="AH120" s="24">
        <f t="shared" si="7"/>
        <v>0.51007380426053328</v>
      </c>
      <c r="AI120" s="24">
        <f t="shared" si="7"/>
        <v>-8.6024335194286872E-3</v>
      </c>
      <c r="AJ120" s="24">
        <f t="shared" si="7"/>
        <v>-1.9301515753614273E-2</v>
      </c>
      <c r="AK120" s="24">
        <f t="shared" si="7"/>
        <v>0.10982188039005369</v>
      </c>
      <c r="AL120" s="24">
        <f t="shared" si="7"/>
        <v>8.1308904150525496E-3</v>
      </c>
      <c r="AM120" s="24">
        <f t="shared" si="7"/>
        <v>-1</v>
      </c>
      <c r="AN120" s="24">
        <f t="shared" si="7"/>
        <v>-0.442484583318979</v>
      </c>
      <c r="AO120" s="24">
        <f t="shared" si="7"/>
        <v>0.1775465016838158</v>
      </c>
      <c r="AP120" s="24">
        <f t="shared" si="7"/>
        <v>0.3213411581727641</v>
      </c>
      <c r="AQ120" s="24">
        <f t="shared" si="7"/>
        <v>-6.7023813433823021E-3</v>
      </c>
      <c r="AR120" s="24">
        <f t="shared" si="7"/>
        <v>0.45028272099641842</v>
      </c>
      <c r="AS120" s="24">
        <f t="shared" si="7"/>
        <v>-5.8510368078678154E-2</v>
      </c>
      <c r="AT120" s="24">
        <f t="shared" si="7"/>
        <v>-2.9324114855349692E-2</v>
      </c>
      <c r="AU120" s="24">
        <f t="shared" si="7"/>
        <v>0.16025484212288355</v>
      </c>
      <c r="AV120" s="24">
        <f t="shared" si="7"/>
        <v>-0.3790919418788844</v>
      </c>
      <c r="AW120" s="24">
        <f t="shared" si="7"/>
        <v>0.58212046860561895</v>
      </c>
      <c r="AX120" s="24">
        <f t="shared" si="7"/>
        <v>-0.36048444860589035</v>
      </c>
      <c r="AY120" s="24">
        <f t="shared" si="7"/>
        <v>0.12957819523991221</v>
      </c>
      <c r="AZ120" s="24">
        <f t="shared" si="7"/>
        <v>-0.34964395399316883</v>
      </c>
      <c r="BA120" s="24" t="e">
        <f t="shared" si="7"/>
        <v>#DIV/0!</v>
      </c>
      <c r="BB120" s="24" t="e">
        <f t="shared" si="7"/>
        <v>#DIV/0!</v>
      </c>
      <c r="BC120" s="24">
        <f t="shared" si="7"/>
        <v>-0.10279792177349301</v>
      </c>
      <c r="BD120" s="24">
        <f t="shared" si="7"/>
        <v>1.7420445266492832</v>
      </c>
      <c r="BE120" s="24">
        <f t="shared" si="7"/>
        <v>7.6958378026446006E-3</v>
      </c>
      <c r="BF120" s="24">
        <f t="shared" si="7"/>
        <v>-0.26698958493568847</v>
      </c>
      <c r="BG120" s="24">
        <f t="shared" si="7"/>
        <v>0.91239541107161548</v>
      </c>
      <c r="BH120" s="24">
        <f t="shared" si="7"/>
        <v>2.2424415483326321</v>
      </c>
      <c r="BI120" s="24">
        <f t="shared" si="7"/>
        <v>-1.6773048613914598E-2</v>
      </c>
      <c r="BJ120" s="24">
        <f t="shared" si="7"/>
        <v>7.4181846089266257E-2</v>
      </c>
      <c r="BK120" s="24">
        <f t="shared" si="7"/>
        <v>-0.19682552343673554</v>
      </c>
      <c r="BL120" s="24">
        <f t="shared" si="7"/>
        <v>0.17102449182912216</v>
      </c>
      <c r="BM120" s="24">
        <f t="shared" si="7"/>
        <v>7.0072776990212526E-2</v>
      </c>
      <c r="BN120" s="24">
        <f t="shared" si="7"/>
        <v>-3.0117944237874061E-2</v>
      </c>
      <c r="BO120" s="24">
        <f t="shared" si="7"/>
        <v>-2.4771950126147857E-2</v>
      </c>
      <c r="BP120" s="24">
        <f t="shared" si="7"/>
        <v>0.67899332421302483</v>
      </c>
      <c r="BQ120" s="24">
        <f t="shared" ref="BQ120:CV120" si="8">+(BQ97/BQ93)-1</f>
        <v>-0.69579508446024418</v>
      </c>
      <c r="BR120" s="24">
        <f t="shared" si="8"/>
        <v>-0.30292358903250083</v>
      </c>
      <c r="BS120" s="24">
        <f t="shared" si="8"/>
        <v>0.24698910799790119</v>
      </c>
      <c r="BT120" s="24">
        <f t="shared" si="8"/>
        <v>7.0454158154760194E-3</v>
      </c>
      <c r="BU120" s="24">
        <f t="shared" si="8"/>
        <v>4.1085268424318144E-2</v>
      </c>
      <c r="BV120" s="24">
        <f t="shared" si="8"/>
        <v>0.43206645217210427</v>
      </c>
      <c r="BW120" s="24">
        <f t="shared" si="8"/>
        <v>1.0461690762183729E-2</v>
      </c>
      <c r="BX120" s="24">
        <f t="shared" si="8"/>
        <v>-0.16081345193361063</v>
      </c>
      <c r="BY120" s="24">
        <f t="shared" si="8"/>
        <v>0.43295258946203674</v>
      </c>
      <c r="BZ120" s="24">
        <f t="shared" si="8"/>
        <v>-0.92279533400597358</v>
      </c>
      <c r="CA120" s="24">
        <f t="shared" si="8"/>
        <v>0.55382920143823289</v>
      </c>
      <c r="CB120" s="24">
        <f t="shared" si="8"/>
        <v>-0.1605270355371653</v>
      </c>
      <c r="CC120" s="24">
        <f t="shared" si="8"/>
        <v>-0.28760529640654431</v>
      </c>
      <c r="CD120" s="24">
        <f t="shared" si="8"/>
        <v>0.11463929660189032</v>
      </c>
      <c r="CE120" s="24">
        <f t="shared" si="8"/>
        <v>-0.34801976298710235</v>
      </c>
      <c r="CF120" s="24">
        <f t="shared" si="8"/>
        <v>0.44155573025234296</v>
      </c>
      <c r="CG120" s="24">
        <f t="shared" si="8"/>
        <v>0.65121029244346018</v>
      </c>
      <c r="CH120" s="24">
        <f t="shared" si="8"/>
        <v>5.1771813756156915E-2</v>
      </c>
      <c r="CI120" s="24">
        <f t="shared" si="8"/>
        <v>0.13166025479219212</v>
      </c>
      <c r="CJ120" s="24">
        <f t="shared" si="8"/>
        <v>0.65274281236815135</v>
      </c>
      <c r="CK120" s="24">
        <f t="shared" si="8"/>
        <v>-0.39688631840755118</v>
      </c>
      <c r="CL120" s="24">
        <f t="shared" si="8"/>
        <v>-0.48926928897637623</v>
      </c>
      <c r="CM120" s="24">
        <f t="shared" si="8"/>
        <v>9.9110638732560652E-2</v>
      </c>
      <c r="CN120" s="24">
        <f t="shared" si="8"/>
        <v>-2.3059594966164942E-2</v>
      </c>
      <c r="CO120" s="24">
        <f t="shared" si="8"/>
        <v>1.5085720004938965</v>
      </c>
      <c r="CP120" s="24">
        <f t="shared" si="8"/>
        <v>-0.9907731677936239</v>
      </c>
      <c r="CQ120" s="24">
        <f t="shared" si="8"/>
        <v>0.47615799997174402</v>
      </c>
      <c r="CR120" s="24">
        <f t="shared" si="8"/>
        <v>-2.212442152087335E-2</v>
      </c>
      <c r="CS120" s="24">
        <f t="shared" si="8"/>
        <v>0.61542370246085243</v>
      </c>
      <c r="CT120" s="24">
        <f t="shared" si="8"/>
        <v>6.1992433017251214E-2</v>
      </c>
      <c r="CU120" s="24">
        <f t="shared" si="8"/>
        <v>-0.258347266759549</v>
      </c>
      <c r="CV120" s="24">
        <f t="shared" si="8"/>
        <v>0.34040988800094296</v>
      </c>
      <c r="CW120" s="24">
        <f t="shared" ref="CW120" si="9">+(CW97/CW93)-1</f>
        <v>1.4923389743973114E-2</v>
      </c>
    </row>
    <row r="121" spans="2:101">
      <c r="B121" s="140"/>
      <c r="C121" t="s">
        <v>2</v>
      </c>
      <c r="D121" s="24">
        <f>+(D98/D94)-1</f>
        <v>-0.26529639206719202</v>
      </c>
      <c r="E121" s="24">
        <f t="shared" ref="E121:BP122" si="10">+(E98/E94)-1</f>
        <v>0.72801114893743946</v>
      </c>
      <c r="F121" s="24">
        <f t="shared" si="10"/>
        <v>0.24145712355293236</v>
      </c>
      <c r="G121" s="24">
        <f t="shared" si="10"/>
        <v>1.4361810461215385</v>
      </c>
      <c r="H121" s="24">
        <f t="shared" si="10"/>
        <v>0.46100702631872004</v>
      </c>
      <c r="I121" s="24">
        <f t="shared" si="10"/>
        <v>0.38203760105471618</v>
      </c>
      <c r="J121" s="24">
        <f t="shared" si="10"/>
        <v>0.1450533739353963</v>
      </c>
      <c r="K121" s="24">
        <f t="shared" si="10"/>
        <v>0.33393200361260411</v>
      </c>
      <c r="L121" s="24">
        <f t="shared" si="10"/>
        <v>-2.1690786126674522E-2</v>
      </c>
      <c r="M121" s="24">
        <f t="shared" si="10"/>
        <v>-0.18075646200966444</v>
      </c>
      <c r="N121" s="24">
        <f t="shared" si="10"/>
        <v>0.18040748802826911</v>
      </c>
      <c r="O121" s="24">
        <f t="shared" si="10"/>
        <v>0.11501261106931171</v>
      </c>
      <c r="P121" s="24">
        <f t="shared" si="10"/>
        <v>-0.21732303574884626</v>
      </c>
      <c r="Q121" s="24">
        <f t="shared" si="10"/>
        <v>0.93056609990626971</v>
      </c>
      <c r="R121" s="24">
        <f t="shared" si="10"/>
        <v>0.23732977357504614</v>
      </c>
      <c r="S121" s="24">
        <f t="shared" si="10"/>
        <v>7.3043042974284544E-2</v>
      </c>
      <c r="T121" s="24">
        <f t="shared" si="10"/>
        <v>-0.17650584686535342</v>
      </c>
      <c r="U121" s="24">
        <f t="shared" si="10"/>
        <v>0.28583509592311818</v>
      </c>
      <c r="V121" s="24">
        <f t="shared" si="10"/>
        <v>-0.24639076497579904</v>
      </c>
      <c r="W121" s="24">
        <f t="shared" si="10"/>
        <v>0.4228324450465184</v>
      </c>
      <c r="X121" s="24">
        <f t="shared" si="10"/>
        <v>-7.358163755900704E-2</v>
      </c>
      <c r="Y121" s="24">
        <f t="shared" si="10"/>
        <v>0.29526396363984975</v>
      </c>
      <c r="Z121" s="24">
        <f t="shared" si="10"/>
        <v>-0.16152117276480571</v>
      </c>
      <c r="AA121" s="24">
        <f t="shared" si="10"/>
        <v>-8.6172216272404123E-2</v>
      </c>
      <c r="AB121" s="24">
        <f t="shared" si="10"/>
        <v>0.72344181525748019</v>
      </c>
      <c r="AC121" s="24">
        <f t="shared" si="10"/>
        <v>0.60435990769549286</v>
      </c>
      <c r="AD121" s="24">
        <f t="shared" si="10"/>
        <v>0.6899253059974344</v>
      </c>
      <c r="AE121" s="24">
        <f t="shared" si="10"/>
        <v>8.506469661956384E-2</v>
      </c>
      <c r="AF121" s="24">
        <f t="shared" si="10"/>
        <v>0.22961071278954437</v>
      </c>
      <c r="AG121" s="24">
        <f t="shared" si="10"/>
        <v>-9.6072985154835755E-2</v>
      </c>
      <c r="AH121" s="24">
        <f t="shared" si="10"/>
        <v>0.79929331108183321</v>
      </c>
      <c r="AI121" s="24">
        <f t="shared" si="10"/>
        <v>0.64251453155858673</v>
      </c>
      <c r="AJ121" s="24">
        <f t="shared" si="10"/>
        <v>0.18193228377564519</v>
      </c>
      <c r="AK121" s="24">
        <f t="shared" si="10"/>
        <v>-0.21695689409909269</v>
      </c>
      <c r="AL121" s="24">
        <f t="shared" si="10"/>
        <v>-8.4951165199878886E-2</v>
      </c>
      <c r="AM121" s="24" t="e">
        <f t="shared" si="10"/>
        <v>#DIV/0!</v>
      </c>
      <c r="AN121" s="24">
        <f t="shared" si="10"/>
        <v>0.40129059888531615</v>
      </c>
      <c r="AO121" s="24">
        <f t="shared" si="10"/>
        <v>0.20570653190240207</v>
      </c>
      <c r="AP121" s="24">
        <f t="shared" si="10"/>
        <v>0.69097695149063787</v>
      </c>
      <c r="AQ121" s="24">
        <f t="shared" si="10"/>
        <v>0.51446251358889228</v>
      </c>
      <c r="AR121" s="24">
        <f t="shared" si="10"/>
        <v>3.9729207344254327</v>
      </c>
      <c r="AS121" s="24">
        <f t="shared" si="10"/>
        <v>0.80260496164819406</v>
      </c>
      <c r="AT121" s="24">
        <f t="shared" si="10"/>
        <v>2.4674627967004055</v>
      </c>
      <c r="AU121" s="24">
        <f t="shared" si="10"/>
        <v>0.79420367077290388</v>
      </c>
      <c r="AV121" s="24">
        <f t="shared" si="10"/>
        <v>0.54397826479807065</v>
      </c>
      <c r="AW121" s="24">
        <f t="shared" si="10"/>
        <v>6.4925726339191616</v>
      </c>
      <c r="AX121" s="24">
        <f t="shared" si="10"/>
        <v>-0.87362796622570826</v>
      </c>
      <c r="AY121" s="24">
        <f t="shared" si="10"/>
        <v>-4.8679185299436711E-2</v>
      </c>
      <c r="AZ121" s="24">
        <f t="shared" si="10"/>
        <v>1.5263245381399728</v>
      </c>
      <c r="BA121" s="24" t="e">
        <f t="shared" si="10"/>
        <v>#DIV/0!</v>
      </c>
      <c r="BB121" s="24">
        <f t="shared" si="10"/>
        <v>5.6038288156431122</v>
      </c>
      <c r="BC121" s="24">
        <f t="shared" si="10"/>
        <v>3.8578964511480471</v>
      </c>
      <c r="BD121" s="24">
        <f t="shared" si="10"/>
        <v>4.6669625144246192</v>
      </c>
      <c r="BE121" s="24">
        <f t="shared" si="10"/>
        <v>0.90568996420265724</v>
      </c>
      <c r="BF121" s="24">
        <f t="shared" si="10"/>
        <v>0.28849258486716955</v>
      </c>
      <c r="BG121" s="24">
        <f t="shared" si="10"/>
        <v>0.68567587737111269</v>
      </c>
      <c r="BH121" s="24">
        <f t="shared" si="10"/>
        <v>4.5043113486029505</v>
      </c>
      <c r="BI121" s="24">
        <f t="shared" si="10"/>
        <v>1.1119313922795486</v>
      </c>
      <c r="BJ121" s="24">
        <f t="shared" si="10"/>
        <v>0.57683925201943631</v>
      </c>
      <c r="BK121" s="24">
        <f t="shared" si="10"/>
        <v>4.6501119196185545</v>
      </c>
      <c r="BL121" s="24">
        <f t="shared" si="10"/>
        <v>1.6162708068190201</v>
      </c>
      <c r="BM121" s="24">
        <f t="shared" si="10"/>
        <v>2.0494908117368618</v>
      </c>
      <c r="BN121" s="24">
        <f t="shared" si="10"/>
        <v>-3.6206485833303326E-2</v>
      </c>
      <c r="BO121" s="24">
        <f t="shared" si="10"/>
        <v>1.3287118466865375</v>
      </c>
      <c r="BP121" s="24">
        <f t="shared" si="10"/>
        <v>0.53152463436000663</v>
      </c>
      <c r="BQ121" s="24">
        <f t="shared" ref="BQ121:CV125" si="11">+(BQ98/BQ94)-1</f>
        <v>-7.4185712300189333E-2</v>
      </c>
      <c r="BR121" s="24">
        <f t="shared" si="11"/>
        <v>-0.47835418161400001</v>
      </c>
      <c r="BS121" s="24">
        <f t="shared" si="11"/>
        <v>1.4279402348067047</v>
      </c>
      <c r="BT121" s="24">
        <f t="shared" si="11"/>
        <v>1.1847054992139765</v>
      </c>
      <c r="BU121" s="24">
        <f t="shared" si="11"/>
        <v>0.39407476909795869</v>
      </c>
      <c r="BV121" s="24">
        <f t="shared" si="11"/>
        <v>0.43811672377771971</v>
      </c>
      <c r="BW121" s="24">
        <f t="shared" si="11"/>
        <v>-6.7507037855697782E-2</v>
      </c>
      <c r="BX121" s="24">
        <f t="shared" si="11"/>
        <v>1.6890365987895102</v>
      </c>
      <c r="BY121" s="24">
        <f t="shared" si="11"/>
        <v>1.2148087521694002</v>
      </c>
      <c r="BZ121" s="24">
        <f t="shared" si="11"/>
        <v>-0.4806154414635242</v>
      </c>
      <c r="CA121" s="24">
        <f t="shared" si="11"/>
        <v>0.4301513280440501</v>
      </c>
      <c r="CB121" s="24">
        <f t="shared" si="11"/>
        <v>0.24823206765714656</v>
      </c>
      <c r="CC121" s="24">
        <f t="shared" si="11"/>
        <v>15.594691986501171</v>
      </c>
      <c r="CD121" s="24" t="e">
        <f t="shared" si="11"/>
        <v>#DIV/0!</v>
      </c>
      <c r="CE121" s="24">
        <f t="shared" si="11"/>
        <v>5.1007744880359631</v>
      </c>
      <c r="CF121" s="24">
        <f t="shared" si="11"/>
        <v>0.827052237294291</v>
      </c>
      <c r="CG121" s="24">
        <f t="shared" si="11"/>
        <v>1.665783164942551</v>
      </c>
      <c r="CH121" s="24">
        <f t="shared" si="11"/>
        <v>0.65634600594767112</v>
      </c>
      <c r="CI121" s="24">
        <f t="shared" si="11"/>
        <v>0.29581208537939374</v>
      </c>
      <c r="CJ121" s="24">
        <f t="shared" si="11"/>
        <v>-0.54497390777779764</v>
      </c>
      <c r="CK121" s="24">
        <f t="shared" si="11"/>
        <v>6.7570553292302105E-2</v>
      </c>
      <c r="CL121" s="24">
        <f t="shared" si="11"/>
        <v>0.73909481809460842</v>
      </c>
      <c r="CM121" s="24">
        <f t="shared" si="11"/>
        <v>10.35196251893772</v>
      </c>
      <c r="CN121" s="24">
        <f t="shared" si="11"/>
        <v>-0.11021777615842066</v>
      </c>
      <c r="CO121" s="24">
        <f t="shared" si="11"/>
        <v>-0.29729541155843309</v>
      </c>
      <c r="CP121" s="24">
        <f t="shared" si="11"/>
        <v>-0.40344196650474418</v>
      </c>
      <c r="CQ121" s="24">
        <f t="shared" si="11"/>
        <v>-0.69142197064345301</v>
      </c>
      <c r="CR121" s="24">
        <f t="shared" si="11"/>
        <v>0.52812663007865579</v>
      </c>
      <c r="CS121" s="24">
        <f t="shared" si="11"/>
        <v>1.5023713445784064</v>
      </c>
      <c r="CT121" s="24">
        <f t="shared" si="11"/>
        <v>-0.16067447683266245</v>
      </c>
      <c r="CU121" s="24">
        <f t="shared" si="11"/>
        <v>-0.67128209158986762</v>
      </c>
      <c r="CV121" s="24">
        <f t="shared" si="11"/>
        <v>1.5609533253133554</v>
      </c>
      <c r="CW121" s="24">
        <f t="shared" ref="CW121" si="12">+(CW98/CW94)-1</f>
        <v>0.45186784945997949</v>
      </c>
    </row>
    <row r="122" spans="2:101">
      <c r="B122" s="140"/>
      <c r="C122" t="s">
        <v>3</v>
      </c>
      <c r="D122" s="24">
        <f t="shared" ref="D122:S137" si="13">+(D99/D95)-1</f>
        <v>-0.23734633755084611</v>
      </c>
      <c r="E122" s="24">
        <f t="shared" si="13"/>
        <v>1.6651000508647829</v>
      </c>
      <c r="F122" s="24">
        <f t="shared" si="13"/>
        <v>-0.13877916636218179</v>
      </c>
      <c r="G122" s="24">
        <f t="shared" si="13"/>
        <v>1.324446252675902</v>
      </c>
      <c r="H122" s="24">
        <f t="shared" si="13"/>
        <v>0.42399785328436823</v>
      </c>
      <c r="I122" s="24">
        <f t="shared" si="13"/>
        <v>3.0308784536632105E-2</v>
      </c>
      <c r="J122" s="24">
        <f t="shared" si="13"/>
        <v>0.11575868100857289</v>
      </c>
      <c r="K122" s="24">
        <f t="shared" si="13"/>
        <v>0.33648732320562025</v>
      </c>
      <c r="L122" s="24">
        <f t="shared" si="13"/>
        <v>0.30386183120031607</v>
      </c>
      <c r="M122" s="24">
        <f t="shared" si="13"/>
        <v>1.3482115674407429</v>
      </c>
      <c r="N122" s="24">
        <f t="shared" si="13"/>
        <v>-0.39495008907138596</v>
      </c>
      <c r="O122" s="24">
        <f t="shared" si="13"/>
        <v>0.53486766409885256</v>
      </c>
      <c r="P122" s="24">
        <f t="shared" si="13"/>
        <v>-0.10782843230094619</v>
      </c>
      <c r="Q122" s="24">
        <f t="shared" si="13"/>
        <v>2.5808407322264633</v>
      </c>
      <c r="R122" s="24">
        <f t="shared" si="13"/>
        <v>0.56858253394982716</v>
      </c>
      <c r="S122" s="24">
        <f t="shared" si="13"/>
        <v>-0.20635394191429457</v>
      </c>
      <c r="T122" s="24">
        <f t="shared" si="10"/>
        <v>-2.3400114150748275E-2</v>
      </c>
      <c r="U122" s="24">
        <f t="shared" si="10"/>
        <v>0.15512633722908253</v>
      </c>
      <c r="V122" s="24">
        <f t="shared" si="10"/>
        <v>2.2385994467605697E-2</v>
      </c>
      <c r="W122" s="24">
        <f t="shared" si="10"/>
        <v>0.27703441806189133</v>
      </c>
      <c r="X122" s="24">
        <f t="shared" si="10"/>
        <v>0.16621730028168424</v>
      </c>
      <c r="Y122" s="24">
        <f t="shared" si="10"/>
        <v>0.48224229456396683</v>
      </c>
      <c r="Z122" s="24">
        <f t="shared" si="10"/>
        <v>0.66781589344977532</v>
      </c>
      <c r="AA122" s="24">
        <f t="shared" si="10"/>
        <v>-0.69470283369848207</v>
      </c>
      <c r="AB122" s="24">
        <f t="shared" si="10"/>
        <v>7.3058544005816239E-2</v>
      </c>
      <c r="AC122" s="24">
        <f t="shared" si="10"/>
        <v>0.48542667845101972</v>
      </c>
      <c r="AD122" s="24">
        <f t="shared" si="10"/>
        <v>0.60940442508033099</v>
      </c>
      <c r="AE122" s="24">
        <f t="shared" si="10"/>
        <v>1.0594833291612731</v>
      </c>
      <c r="AF122" s="24">
        <f t="shared" si="10"/>
        <v>0.57286422942952409</v>
      </c>
      <c r="AG122" s="24">
        <f t="shared" si="10"/>
        <v>0.14310924911616385</v>
      </c>
      <c r="AH122" s="24">
        <f t="shared" si="10"/>
        <v>-0.10838813671032255</v>
      </c>
      <c r="AI122" s="24">
        <f t="shared" si="10"/>
        <v>0.38615418512009159</v>
      </c>
      <c r="AJ122" s="24">
        <f t="shared" si="10"/>
        <v>0.22822086580313994</v>
      </c>
      <c r="AK122" s="24">
        <f t="shared" si="10"/>
        <v>-1.4963776049275013E-2</v>
      </c>
      <c r="AL122" s="24">
        <f t="shared" si="10"/>
        <v>6.1526081376920061E-2</v>
      </c>
      <c r="AM122" s="24">
        <f t="shared" si="10"/>
        <v>10.293603528109726</v>
      </c>
      <c r="AN122" s="24">
        <f t="shared" si="10"/>
        <v>8.167082644004342E-2</v>
      </c>
      <c r="AO122" s="24">
        <f t="shared" si="10"/>
        <v>0.22297703869402752</v>
      </c>
      <c r="AP122" s="24">
        <f t="shared" si="10"/>
        <v>0.47791521569290651</v>
      </c>
      <c r="AQ122" s="24">
        <f t="shared" si="10"/>
        <v>0.22312085623826405</v>
      </c>
      <c r="AR122" s="24">
        <f t="shared" si="10"/>
        <v>2.070279850409154</v>
      </c>
      <c r="AS122" s="24">
        <f t="shared" si="10"/>
        <v>6.6798887804606188E-2</v>
      </c>
      <c r="AT122" s="24">
        <f t="shared" si="10"/>
        <v>0.26173143461871584</v>
      </c>
      <c r="AU122" s="24">
        <f t="shared" si="10"/>
        <v>0.18587413100054451</v>
      </c>
      <c r="AV122" s="24">
        <f t="shared" si="10"/>
        <v>1.1737686428259098</v>
      </c>
      <c r="AW122" s="24">
        <f t="shared" si="10"/>
        <v>0.83979020189738796</v>
      </c>
      <c r="AX122" s="24">
        <f t="shared" si="10"/>
        <v>-1.2714723910464465E-2</v>
      </c>
      <c r="AY122" s="24">
        <f t="shared" si="10"/>
        <v>9.0417491002342532E-2</v>
      </c>
      <c r="AZ122" s="24">
        <f t="shared" si="10"/>
        <v>0.63890818365454916</v>
      </c>
      <c r="BA122" s="24" t="e">
        <f t="shared" si="10"/>
        <v>#DIV/0!</v>
      </c>
      <c r="BB122" s="24">
        <f t="shared" si="10"/>
        <v>-1</v>
      </c>
      <c r="BC122" s="24">
        <f t="shared" si="10"/>
        <v>2.2266092651396812</v>
      </c>
      <c r="BD122" s="24">
        <f t="shared" si="10"/>
        <v>3.7252183570078916</v>
      </c>
      <c r="BE122" s="24">
        <f t="shared" si="10"/>
        <v>0.59202907461856347</v>
      </c>
      <c r="BF122" s="24">
        <f t="shared" si="10"/>
        <v>0.25799040998540002</v>
      </c>
      <c r="BG122" s="24">
        <f t="shared" si="10"/>
        <v>0.28041052060045435</v>
      </c>
      <c r="BH122" s="24">
        <f t="shared" si="10"/>
        <v>1.8424150078155694</v>
      </c>
      <c r="BI122" s="24">
        <f t="shared" si="10"/>
        <v>0.44887053389502762</v>
      </c>
      <c r="BJ122" s="24">
        <f t="shared" si="10"/>
        <v>0.47572684102302065</v>
      </c>
      <c r="BK122" s="24">
        <f t="shared" si="10"/>
        <v>0.66796398922844658</v>
      </c>
      <c r="BL122" s="24">
        <f t="shared" si="10"/>
        <v>0.54404169311623929</v>
      </c>
      <c r="BM122" s="24">
        <f t="shared" si="10"/>
        <v>0.75683300013189125</v>
      </c>
      <c r="BN122" s="24">
        <f t="shared" si="10"/>
        <v>-0.28910254640495914</v>
      </c>
      <c r="BO122" s="24">
        <f t="shared" si="10"/>
        <v>0.78172695619157961</v>
      </c>
      <c r="BP122" s="24">
        <f t="shared" si="10"/>
        <v>1.1445492294173878</v>
      </c>
      <c r="BQ122" s="24">
        <f t="shared" si="11"/>
        <v>1.1546618926969572</v>
      </c>
      <c r="BR122" s="24">
        <f t="shared" si="11"/>
        <v>0.25960802785685022</v>
      </c>
      <c r="BS122" s="24">
        <f t="shared" si="11"/>
        <v>0.15943935944282672</v>
      </c>
      <c r="BT122" s="24">
        <f t="shared" si="11"/>
        <v>0.32178531941702482</v>
      </c>
      <c r="BU122" s="24">
        <f t="shared" si="11"/>
        <v>0.41480118061391691</v>
      </c>
      <c r="BV122" s="24">
        <f t="shared" si="11"/>
        <v>-5.7345596206146543E-2</v>
      </c>
      <c r="BW122" s="24">
        <f t="shared" si="11"/>
        <v>0.88086347808680054</v>
      </c>
      <c r="BX122" s="24">
        <f t="shared" si="11"/>
        <v>1.250301956959349</v>
      </c>
      <c r="BY122" s="24">
        <f t="shared" si="11"/>
        <v>1.2121775087220583</v>
      </c>
      <c r="BZ122" s="24">
        <f t="shared" si="11"/>
        <v>5.7832368323741168</v>
      </c>
      <c r="CA122" s="24">
        <f t="shared" si="11"/>
        <v>0.47007481207678392</v>
      </c>
      <c r="CB122" s="24">
        <f t="shared" si="11"/>
        <v>-0.46360106803753365</v>
      </c>
      <c r="CC122" s="24">
        <f t="shared" si="11"/>
        <v>2.3623292399674347</v>
      </c>
      <c r="CD122" s="24">
        <f t="shared" si="11"/>
        <v>2.7378194751473708</v>
      </c>
      <c r="CE122" s="24">
        <f t="shared" si="11"/>
        <v>0.43519381181138606</v>
      </c>
      <c r="CF122" s="24">
        <f t="shared" si="11"/>
        <v>0.22180191303839547</v>
      </c>
      <c r="CG122" s="24">
        <f t="shared" si="11"/>
        <v>0.69577738422739333</v>
      </c>
      <c r="CH122" s="24">
        <f t="shared" si="11"/>
        <v>0.36434772389326886</v>
      </c>
      <c r="CI122" s="24">
        <f t="shared" si="11"/>
        <v>0.14272448544234129</v>
      </c>
      <c r="CJ122" s="24">
        <f t="shared" si="11"/>
        <v>-0.11240891135356335</v>
      </c>
      <c r="CK122" s="24">
        <f t="shared" si="11"/>
        <v>0.2244892083713208</v>
      </c>
      <c r="CL122" s="24">
        <f t="shared" si="11"/>
        <v>4.5896857872988122</v>
      </c>
      <c r="CM122" s="24">
        <f t="shared" si="11"/>
        <v>12.99386591117854</v>
      </c>
      <c r="CN122" s="24">
        <f t="shared" si="11"/>
        <v>3.9195671313815295E-2</v>
      </c>
      <c r="CO122" s="24">
        <f t="shared" si="11"/>
        <v>8.0951036398809073E-2</v>
      </c>
      <c r="CP122" s="24">
        <f t="shared" si="11"/>
        <v>-0.63530888997765023</v>
      </c>
      <c r="CQ122" s="24">
        <f t="shared" si="11"/>
        <v>132.82116255939886</v>
      </c>
      <c r="CR122" s="24">
        <f t="shared" si="11"/>
        <v>0.60107701183918483</v>
      </c>
      <c r="CS122" s="24">
        <f t="shared" si="11"/>
        <v>1.8338635478487473</v>
      </c>
      <c r="CT122" s="24">
        <f t="shared" si="11"/>
        <v>0.22152779073967288</v>
      </c>
      <c r="CU122" s="24">
        <f t="shared" si="11"/>
        <v>9.2594880822698622E-2</v>
      </c>
      <c r="CV122" s="24">
        <f t="shared" si="11"/>
        <v>0.86725176197252241</v>
      </c>
      <c r="CW122" s="24">
        <f t="shared" ref="CW122" si="14">+(CW99/CW95)-1</f>
        <v>0.39313377542884109</v>
      </c>
    </row>
    <row r="123" spans="2:101">
      <c r="B123" s="140"/>
      <c r="C123" t="s">
        <v>4</v>
      </c>
      <c r="D123" s="24">
        <f t="shared" si="13"/>
        <v>1.1559021987005424E-2</v>
      </c>
      <c r="E123" s="24">
        <f t="shared" ref="E123:BP126" si="15">+(E100/E96)-1</f>
        <v>0.64269549081477884</v>
      </c>
      <c r="F123" s="24">
        <f t="shared" si="15"/>
        <v>4.5774618486395191E-2</v>
      </c>
      <c r="G123" s="24">
        <f t="shared" si="15"/>
        <v>-0.20859322449290529</v>
      </c>
      <c r="H123" s="24">
        <f t="shared" si="15"/>
        <v>0.36654684189017805</v>
      </c>
      <c r="I123" s="24">
        <f t="shared" si="15"/>
        <v>0.36933023282205757</v>
      </c>
      <c r="J123" s="24">
        <f t="shared" si="15"/>
        <v>-0.104846636124028</v>
      </c>
      <c r="K123" s="24">
        <f t="shared" si="15"/>
        <v>-0.15133612766904259</v>
      </c>
      <c r="L123" s="24">
        <f t="shared" si="15"/>
        <v>0.42294235077997544</v>
      </c>
      <c r="M123" s="24">
        <f t="shared" si="15"/>
        <v>3.9326413996147931</v>
      </c>
      <c r="N123" s="24">
        <f t="shared" si="15"/>
        <v>6.8267595368012302E-2</v>
      </c>
      <c r="O123" s="24">
        <f t="shared" si="15"/>
        <v>2.3484063661465493E-2</v>
      </c>
      <c r="P123" s="24">
        <f t="shared" si="15"/>
        <v>-0.63104267097906996</v>
      </c>
      <c r="Q123" s="24">
        <f t="shared" si="15"/>
        <v>-0.23220851713151958</v>
      </c>
      <c r="R123" s="24">
        <f t="shared" si="15"/>
        <v>0.35853839390428988</v>
      </c>
      <c r="S123" s="24">
        <f t="shared" si="15"/>
        <v>0.16204589542918857</v>
      </c>
      <c r="T123" s="24">
        <f t="shared" si="15"/>
        <v>5.044234858121488E-2</v>
      </c>
      <c r="U123" s="24">
        <f t="shared" si="15"/>
        <v>0.17521905159723183</v>
      </c>
      <c r="V123" s="24">
        <f t="shared" si="15"/>
        <v>0.14590603922644885</v>
      </c>
      <c r="W123" s="24">
        <f t="shared" si="15"/>
        <v>0.14545348752418108</v>
      </c>
      <c r="X123" s="24">
        <f t="shared" si="15"/>
        <v>0.20576818310152234</v>
      </c>
      <c r="Y123" s="24">
        <f t="shared" si="15"/>
        <v>0.35232656874345869</v>
      </c>
      <c r="Z123" s="24">
        <f t="shared" si="15"/>
        <v>0.77529533279050922</v>
      </c>
      <c r="AA123" s="24">
        <f t="shared" si="15"/>
        <v>-0.99404382241860256</v>
      </c>
      <c r="AB123" s="24">
        <f t="shared" si="15"/>
        <v>0.45989271931890174</v>
      </c>
      <c r="AC123" s="24">
        <f t="shared" si="15"/>
        <v>1.1978960914001822</v>
      </c>
      <c r="AD123" s="24">
        <f t="shared" si="15"/>
        <v>1.1305098290674302</v>
      </c>
      <c r="AE123" s="24">
        <f t="shared" si="15"/>
        <v>0.2659411697683467</v>
      </c>
      <c r="AF123" s="24">
        <f t="shared" si="15"/>
        <v>0.45530196410175305</v>
      </c>
      <c r="AG123" s="24">
        <f t="shared" si="15"/>
        <v>0.1819794864873705</v>
      </c>
      <c r="AH123" s="24">
        <f t="shared" si="15"/>
        <v>6.282846169566203E-2</v>
      </c>
      <c r="AI123" s="24">
        <f t="shared" si="15"/>
        <v>0.31728308592596322</v>
      </c>
      <c r="AJ123" s="24">
        <f t="shared" si="15"/>
        <v>0.18094659207318164</v>
      </c>
      <c r="AK123" s="24">
        <f t="shared" si="15"/>
        <v>0.18165787717369364</v>
      </c>
      <c r="AL123" s="24">
        <f t="shared" si="15"/>
        <v>0.15183601990843965</v>
      </c>
      <c r="AM123" s="24">
        <f t="shared" si="15"/>
        <v>0.3931011597335079</v>
      </c>
      <c r="AN123" s="24">
        <f t="shared" si="15"/>
        <v>-0.54017381232469186</v>
      </c>
      <c r="AO123" s="24">
        <f t="shared" si="15"/>
        <v>0.18650047441361162</v>
      </c>
      <c r="AP123" s="24">
        <f t="shared" si="15"/>
        <v>0.53516538916395717</v>
      </c>
      <c r="AQ123" s="24">
        <f t="shared" si="15"/>
        <v>0.20460068885398974</v>
      </c>
      <c r="AR123" s="24">
        <f t="shared" si="15"/>
        <v>1.2536109294765176</v>
      </c>
      <c r="AS123" s="24">
        <f t="shared" si="15"/>
        <v>0.36209355406996657</v>
      </c>
      <c r="AT123" s="24">
        <f t="shared" si="15"/>
        <v>0.36770001538080188</v>
      </c>
      <c r="AU123" s="24">
        <f t="shared" si="15"/>
        <v>-8.2883917543651431E-2</v>
      </c>
      <c r="AV123" s="24">
        <f t="shared" si="15"/>
        <v>0.16397399774128019</v>
      </c>
      <c r="AW123" s="24">
        <f t="shared" si="15"/>
        <v>1.595662467973558</v>
      </c>
      <c r="AX123" s="24">
        <f t="shared" si="15"/>
        <v>1.2350988982961657</v>
      </c>
      <c r="AY123" s="24">
        <f t="shared" si="15"/>
        <v>2.6887307948863626E-2</v>
      </c>
      <c r="AZ123" s="24">
        <f t="shared" si="15"/>
        <v>0.65201629588506926</v>
      </c>
      <c r="BA123" s="24">
        <f t="shared" si="15"/>
        <v>-1</v>
      </c>
      <c r="BB123" s="24">
        <f t="shared" si="15"/>
        <v>3.8047036823935558</v>
      </c>
      <c r="BC123" s="24">
        <f t="shared" si="15"/>
        <v>1.7906163257755749</v>
      </c>
      <c r="BD123" s="24">
        <f t="shared" si="15"/>
        <v>2.7056259997804704</v>
      </c>
      <c r="BE123" s="24">
        <f t="shared" si="15"/>
        <v>0.33203272610940804</v>
      </c>
      <c r="BF123" s="24">
        <f t="shared" si="15"/>
        <v>0.43834756664335184</v>
      </c>
      <c r="BG123" s="24">
        <f t="shared" si="15"/>
        <v>-0.12688843299683894</v>
      </c>
      <c r="BH123" s="24">
        <f t="shared" si="15"/>
        <v>5.4145940988497232E-2</v>
      </c>
      <c r="BI123" s="24">
        <f t="shared" si="15"/>
        <v>5.9823902731873879E-2</v>
      </c>
      <c r="BJ123" s="24">
        <f t="shared" si="15"/>
        <v>0.32096609438235113</v>
      </c>
      <c r="BK123" s="24">
        <f t="shared" si="15"/>
        <v>0.88294308472940131</v>
      </c>
      <c r="BL123" s="24">
        <f t="shared" si="15"/>
        <v>0.27933151987161264</v>
      </c>
      <c r="BM123" s="24">
        <f t="shared" si="15"/>
        <v>0.3573036269467702</v>
      </c>
      <c r="BN123" s="24">
        <f t="shared" si="15"/>
        <v>-0.1620240161265124</v>
      </c>
      <c r="BO123" s="24">
        <f t="shared" si="15"/>
        <v>0.78727242516916274</v>
      </c>
      <c r="BP123" s="24">
        <f t="shared" si="15"/>
        <v>0.81669832745843762</v>
      </c>
      <c r="BQ123" s="24">
        <f t="shared" si="11"/>
        <v>0.45578162660182087</v>
      </c>
      <c r="BR123" s="24">
        <f t="shared" si="11"/>
        <v>-0.65477910307332265</v>
      </c>
      <c r="BS123" s="24">
        <f t="shared" si="11"/>
        <v>0.10517095088996542</v>
      </c>
      <c r="BT123" s="24">
        <f t="shared" si="11"/>
        <v>0.13322978770392235</v>
      </c>
      <c r="BU123" s="24">
        <f t="shared" si="11"/>
        <v>0.12146523924094632</v>
      </c>
      <c r="BV123" s="24">
        <f t="shared" si="11"/>
        <v>-8.1365868537803698E-2</v>
      </c>
      <c r="BW123" s="24">
        <f t="shared" si="11"/>
        <v>0.16559881417784217</v>
      </c>
      <c r="BX123" s="24">
        <f t="shared" si="11"/>
        <v>0.65125848481861048</v>
      </c>
      <c r="BY123" s="24">
        <f t="shared" si="11"/>
        <v>0.72963669224786987</v>
      </c>
      <c r="BZ123" s="24">
        <f t="shared" si="11"/>
        <v>-0.51759331302207867</v>
      </c>
      <c r="CA123" s="24">
        <f t="shared" si="11"/>
        <v>0.54457825048137054</v>
      </c>
      <c r="CB123" s="24">
        <f t="shared" si="11"/>
        <v>-0.79673582708786905</v>
      </c>
      <c r="CC123" s="24">
        <f t="shared" si="11"/>
        <v>-0.33533021880491631</v>
      </c>
      <c r="CD123" s="24">
        <f t="shared" si="11"/>
        <v>1.423240160203755</v>
      </c>
      <c r="CE123" s="24">
        <f t="shared" si="11"/>
        <v>0.18263616044129027</v>
      </c>
      <c r="CF123" s="24">
        <f t="shared" si="11"/>
        <v>0.1398754730146059</v>
      </c>
      <c r="CG123" s="24">
        <f t="shared" si="11"/>
        <v>0.44566799090905129</v>
      </c>
      <c r="CH123" s="24">
        <f t="shared" si="11"/>
        <v>-0.11307652487708142</v>
      </c>
      <c r="CI123" s="24">
        <f t="shared" si="11"/>
        <v>6.3190719881498936E-2</v>
      </c>
      <c r="CJ123" s="24">
        <f t="shared" si="11"/>
        <v>-0.46908314703445797</v>
      </c>
      <c r="CK123" s="24">
        <f t="shared" si="11"/>
        <v>-0.16393262967177757</v>
      </c>
      <c r="CL123" s="24">
        <f t="shared" si="11"/>
        <v>0.67184399752515045</v>
      </c>
      <c r="CM123" s="24">
        <f t="shared" si="11"/>
        <v>0.5863728941761186</v>
      </c>
      <c r="CN123" s="24">
        <f t="shared" si="11"/>
        <v>3.5365108000513512E-2</v>
      </c>
      <c r="CO123" s="24">
        <f t="shared" si="11"/>
        <v>0.39702577172879683</v>
      </c>
      <c r="CP123" s="24">
        <f t="shared" si="11"/>
        <v>-0.14985889893908455</v>
      </c>
      <c r="CQ123" s="24">
        <f t="shared" si="11"/>
        <v>-0.65726854174103411</v>
      </c>
      <c r="CR123" s="24">
        <f t="shared" si="11"/>
        <v>0.42772929275682459</v>
      </c>
      <c r="CS123" s="24">
        <f t="shared" si="11"/>
        <v>0.81384330976626096</v>
      </c>
      <c r="CT123" s="24">
        <f t="shared" si="11"/>
        <v>0.19831323149426594</v>
      </c>
      <c r="CU123" s="24">
        <f t="shared" si="11"/>
        <v>0.25018389168821042</v>
      </c>
      <c r="CV123" s="24">
        <f t="shared" si="11"/>
        <v>-0.27877710959972613</v>
      </c>
      <c r="CW123" s="24">
        <f t="shared" ref="CW123" si="16">+(CW100/CW96)-1</f>
        <v>0.52485286360551386</v>
      </c>
    </row>
    <row r="124" spans="2:101">
      <c r="B124" s="140">
        <v>2022</v>
      </c>
      <c r="C124" t="s">
        <v>1</v>
      </c>
      <c r="D124" s="24">
        <f t="shared" si="13"/>
        <v>1.0436369375661121</v>
      </c>
      <c r="E124" s="24">
        <f t="shared" si="15"/>
        <v>-0.16210729107825073</v>
      </c>
      <c r="F124" s="24">
        <f t="shared" si="15"/>
        <v>0.10971492029826013</v>
      </c>
      <c r="G124" s="24">
        <f t="shared" si="15"/>
        <v>-0.47851515962978763</v>
      </c>
      <c r="H124" s="24">
        <f t="shared" si="15"/>
        <v>0.23135760121828319</v>
      </c>
      <c r="I124" s="24">
        <f t="shared" si="15"/>
        <v>0.27733666645872224</v>
      </c>
      <c r="J124" s="24">
        <f t="shared" si="15"/>
        <v>0.11924282440458622</v>
      </c>
      <c r="K124" s="24">
        <f t="shared" si="15"/>
        <v>-5.2486511432340066E-2</v>
      </c>
      <c r="L124" s="24">
        <f t="shared" si="15"/>
        <v>0.40693879285690016</v>
      </c>
      <c r="M124" s="24">
        <f t="shared" si="15"/>
        <v>0.52516062991190937</v>
      </c>
      <c r="N124" s="24">
        <f t="shared" si="15"/>
        <v>0.21249640513589685</v>
      </c>
      <c r="O124" s="24">
        <f t="shared" si="15"/>
        <v>0.18023408749594982</v>
      </c>
      <c r="P124" s="24">
        <f t="shared" si="15"/>
        <v>0.32759990267036088</v>
      </c>
      <c r="Q124" s="24">
        <f t="shared" si="15"/>
        <v>1.9220417136608319</v>
      </c>
      <c r="R124" s="24">
        <f t="shared" si="15"/>
        <v>0.76103568720544734</v>
      </c>
      <c r="S124" s="24">
        <f t="shared" si="15"/>
        <v>1.0688963421116493</v>
      </c>
      <c r="T124" s="24">
        <f t="shared" si="15"/>
        <v>0.1301563436205222</v>
      </c>
      <c r="U124" s="24">
        <f t="shared" si="15"/>
        <v>0.14192825516943874</v>
      </c>
      <c r="V124" s="24">
        <f t="shared" si="15"/>
        <v>1.0923266912809204E-2</v>
      </c>
      <c r="W124" s="24">
        <f t="shared" si="15"/>
        <v>6.3573255841511855E-2</v>
      </c>
      <c r="X124" s="24">
        <f t="shared" si="15"/>
        <v>0.17046778787205663</v>
      </c>
      <c r="Y124" s="24">
        <f t="shared" si="15"/>
        <v>0.18464201641832112</v>
      </c>
      <c r="Z124" s="24">
        <f t="shared" si="15"/>
        <v>0.31483277496460338</v>
      </c>
      <c r="AA124" s="24">
        <f t="shared" si="15"/>
        <v>-0.93096856211176915</v>
      </c>
      <c r="AB124" s="24">
        <f t="shared" si="15"/>
        <v>0.27816191419706615</v>
      </c>
      <c r="AC124" s="24">
        <f t="shared" si="15"/>
        <v>0.11184225688388749</v>
      </c>
      <c r="AD124" s="24">
        <f t="shared" si="15"/>
        <v>0.69244357317112093</v>
      </c>
      <c r="AE124" s="24">
        <f t="shared" si="15"/>
        <v>0.6925968300080434</v>
      </c>
      <c r="AF124" s="24">
        <f t="shared" si="15"/>
        <v>0.39306311649601944</v>
      </c>
      <c r="AG124" s="24">
        <f t="shared" si="15"/>
        <v>6.5195727689084215E-2</v>
      </c>
      <c r="AH124" s="24">
        <f t="shared" si="15"/>
        <v>0.12931408319678228</v>
      </c>
      <c r="AI124" s="24">
        <f t="shared" si="15"/>
        <v>0.25188558478671075</v>
      </c>
      <c r="AJ124" s="24">
        <f t="shared" si="15"/>
        <v>0.1080742506220298</v>
      </c>
      <c r="AK124" s="24">
        <f t="shared" si="15"/>
        <v>0.13748647177585172</v>
      </c>
      <c r="AL124" s="24">
        <f t="shared" si="15"/>
        <v>-5.2034757602914539E-3</v>
      </c>
      <c r="AM124" s="24" t="e">
        <f t="shared" si="15"/>
        <v>#DIV/0!</v>
      </c>
      <c r="AN124" s="24">
        <f t="shared" si="15"/>
        <v>1.3471165316242795</v>
      </c>
      <c r="AO124" s="24">
        <f t="shared" si="15"/>
        <v>3.5851772289852812E-2</v>
      </c>
      <c r="AP124" s="24">
        <f t="shared" si="15"/>
        <v>0.23350000429903295</v>
      </c>
      <c r="AQ124" s="24">
        <f t="shared" si="15"/>
        <v>0.1306619616961866</v>
      </c>
      <c r="AR124" s="24">
        <f t="shared" si="15"/>
        <v>5.8903526250867699E-2</v>
      </c>
      <c r="AS124" s="24">
        <f t="shared" si="15"/>
        <v>0.28714820357511139</v>
      </c>
      <c r="AT124" s="24">
        <f t="shared" si="15"/>
        <v>0.56498247060679052</v>
      </c>
      <c r="AU124" s="24">
        <f t="shared" si="15"/>
        <v>-0.28135738243931319</v>
      </c>
      <c r="AV124" s="24">
        <f t="shared" si="15"/>
        <v>9.4761561191525256</v>
      </c>
      <c r="AW124" s="24">
        <f t="shared" si="15"/>
        <v>1.100936551219756</v>
      </c>
      <c r="AX124" s="24">
        <f t="shared" si="15"/>
        <v>2.6457193070344989</v>
      </c>
      <c r="AY124" s="24">
        <f t="shared" si="15"/>
        <v>0.23118708888121642</v>
      </c>
      <c r="AZ124" s="24">
        <f t="shared" si="15"/>
        <v>0.50435425807757772</v>
      </c>
      <c r="BA124" s="24" t="e">
        <f t="shared" si="15"/>
        <v>#DIV/0!</v>
      </c>
      <c r="BB124" s="24">
        <f t="shared" si="15"/>
        <v>22.072285681319947</v>
      </c>
      <c r="BC124" s="24">
        <f t="shared" si="15"/>
        <v>0.43208433713944938</v>
      </c>
      <c r="BD124" s="24">
        <f t="shared" si="15"/>
        <v>-0.36265271847617586</v>
      </c>
      <c r="BE124" s="24">
        <f t="shared" si="15"/>
        <v>0.4103147037717505</v>
      </c>
      <c r="BF124" s="24">
        <f t="shared" si="15"/>
        <v>0.28479024799782771</v>
      </c>
      <c r="BG124" s="24">
        <f t="shared" si="15"/>
        <v>-1.0981387076591131E-2</v>
      </c>
      <c r="BH124" s="24">
        <f t="shared" si="15"/>
        <v>-0.48914644611775826</v>
      </c>
      <c r="BI124" s="24">
        <f t="shared" si="15"/>
        <v>-3.4521279215182776E-2</v>
      </c>
      <c r="BJ124" s="24">
        <f t="shared" si="15"/>
        <v>0.57863514296196539</v>
      </c>
      <c r="BK124" s="24">
        <f t="shared" si="15"/>
        <v>0.72263756603723017</v>
      </c>
      <c r="BL124" s="24">
        <f t="shared" si="15"/>
        <v>0.29392572235223757</v>
      </c>
      <c r="BM124" s="24">
        <f t="shared" si="15"/>
        <v>0.26601890846513432</v>
      </c>
      <c r="BN124" s="24">
        <f t="shared" si="15"/>
        <v>-3.3790217850708792E-3</v>
      </c>
      <c r="BO124" s="24">
        <f t="shared" si="15"/>
        <v>0.46520558865154449</v>
      </c>
      <c r="BP124" s="24">
        <f t="shared" si="15"/>
        <v>0.84752265429753981</v>
      </c>
      <c r="BQ124" s="24">
        <f t="shared" si="11"/>
        <v>5.4739160626206225</v>
      </c>
      <c r="BR124" s="24">
        <f t="shared" si="11"/>
        <v>0.40761331223990416</v>
      </c>
      <c r="BS124" s="24">
        <f t="shared" si="11"/>
        <v>-5.3580730994473247E-2</v>
      </c>
      <c r="BT124" s="24">
        <f t="shared" si="11"/>
        <v>0.18224992714685784</v>
      </c>
      <c r="BU124" s="24">
        <f t="shared" si="11"/>
        <v>-5.5009864895606553E-3</v>
      </c>
      <c r="BV124" s="24">
        <f t="shared" si="11"/>
        <v>-2.8242302656322771E-2</v>
      </c>
      <c r="BW124" s="24">
        <f t="shared" si="11"/>
        <v>0.94713994575476201</v>
      </c>
      <c r="BX124" s="24">
        <f t="shared" si="11"/>
        <v>0.59357631636158148</v>
      </c>
      <c r="BY124" s="24">
        <f t="shared" si="11"/>
        <v>0.38262753727290688</v>
      </c>
      <c r="BZ124" s="24">
        <f t="shared" si="11"/>
        <v>7.5618542624032532</v>
      </c>
      <c r="CA124" s="24">
        <f t="shared" si="11"/>
        <v>0.63974159684202103</v>
      </c>
      <c r="CB124" s="24">
        <f t="shared" si="11"/>
        <v>-0.18438369748661321</v>
      </c>
      <c r="CC124" s="24">
        <f t="shared" si="11"/>
        <v>3.157008351984758E-2</v>
      </c>
      <c r="CD124" s="24">
        <f t="shared" si="11"/>
        <v>1.0329635145763447</v>
      </c>
      <c r="CE124" s="24">
        <f t="shared" si="11"/>
        <v>1.0147947637575823</v>
      </c>
      <c r="CF124" s="24">
        <f t="shared" si="11"/>
        <v>2.5331530101480038E-2</v>
      </c>
      <c r="CG124" s="24">
        <f t="shared" si="11"/>
        <v>0.17162776784957234</v>
      </c>
      <c r="CH124" s="24">
        <f t="shared" si="11"/>
        <v>0.1029712867044863</v>
      </c>
      <c r="CI124" s="24">
        <f t="shared" si="11"/>
        <v>0.10143232735361374</v>
      </c>
      <c r="CJ124" s="24">
        <f t="shared" si="11"/>
        <v>2.6260407482592689</v>
      </c>
      <c r="CK124" s="24">
        <f t="shared" si="11"/>
        <v>0.34802263418061452</v>
      </c>
      <c r="CL124" s="24">
        <f t="shared" si="11"/>
        <v>5.7856224264340881</v>
      </c>
      <c r="CM124" s="24">
        <f t="shared" si="11"/>
        <v>3.7085651070763923</v>
      </c>
      <c r="CN124" s="24">
        <f t="shared" si="11"/>
        <v>0.28129415320480788</v>
      </c>
      <c r="CO124" s="24">
        <f t="shared" si="11"/>
        <v>-0.32751496936171987</v>
      </c>
      <c r="CP124" s="24">
        <f t="shared" si="11"/>
        <v>-8.0156075808249794E-2</v>
      </c>
      <c r="CQ124" s="24">
        <f t="shared" si="11"/>
        <v>-0.88665487640179108</v>
      </c>
      <c r="CR124" s="24">
        <f t="shared" si="11"/>
        <v>0.31955003876472232</v>
      </c>
      <c r="CS124" s="24">
        <f t="shared" si="11"/>
        <v>0.35123194157141602</v>
      </c>
      <c r="CT124" s="24">
        <f t="shared" si="11"/>
        <v>0.28531353707710827</v>
      </c>
      <c r="CU124" s="24">
        <f t="shared" si="11"/>
        <v>0.25199326146396284</v>
      </c>
      <c r="CV124" s="24">
        <f t="shared" si="11"/>
        <v>-4.8587629300364643E-2</v>
      </c>
      <c r="CW124" s="24">
        <f t="shared" ref="CW124" si="17">+(CW101/CW97)-1</f>
        <v>0.43180598409539428</v>
      </c>
    </row>
    <row r="125" spans="2:101">
      <c r="B125" s="140"/>
      <c r="C125" t="s">
        <v>2</v>
      </c>
      <c r="D125" s="24">
        <f t="shared" si="13"/>
        <v>1.7996972417978054</v>
      </c>
      <c r="E125" s="24">
        <f t="shared" si="15"/>
        <v>-0.23379634214184331</v>
      </c>
      <c r="F125" s="24">
        <f t="shared" si="15"/>
        <v>2.2445909649451146E-2</v>
      </c>
      <c r="G125" s="24">
        <f t="shared" si="15"/>
        <v>-0.44184698797222088</v>
      </c>
      <c r="H125" s="24">
        <f t="shared" si="15"/>
        <v>0.1884603670691416</v>
      </c>
      <c r="I125" s="24">
        <f t="shared" si="15"/>
        <v>0.25754510533904229</v>
      </c>
      <c r="J125" s="24">
        <f t="shared" si="15"/>
        <v>0.12043422191167519</v>
      </c>
      <c r="K125" s="24">
        <f t="shared" si="15"/>
        <v>0.13084592769332093</v>
      </c>
      <c r="L125" s="24">
        <f t="shared" si="15"/>
        <v>1.0122040514230348</v>
      </c>
      <c r="M125" s="24">
        <f t="shared" si="15"/>
        <v>-0.67216943080323599</v>
      </c>
      <c r="N125" s="24">
        <f t="shared" si="15"/>
        <v>2.9543611618917387E-2</v>
      </c>
      <c r="O125" s="24">
        <f t="shared" si="15"/>
        <v>0.28168677790994612</v>
      </c>
      <c r="P125" s="24">
        <f t="shared" si="15"/>
        <v>0.76229647688698332</v>
      </c>
      <c r="Q125" s="24">
        <f t="shared" si="15"/>
        <v>1.207579096680448</v>
      </c>
      <c r="R125" s="24">
        <f t="shared" si="15"/>
        <v>0.74348576200531569</v>
      </c>
      <c r="S125" s="24">
        <f t="shared" si="15"/>
        <v>-0.33584230906766654</v>
      </c>
      <c r="T125" s="24">
        <f t="shared" si="15"/>
        <v>0.91825428902264972</v>
      </c>
      <c r="U125" s="24">
        <f t="shared" si="15"/>
        <v>2.6680330572172339E-2</v>
      </c>
      <c r="V125" s="24">
        <f t="shared" si="15"/>
        <v>0.583484147845585</v>
      </c>
      <c r="W125" s="24">
        <f t="shared" si="15"/>
        <v>0.27103445070120369</v>
      </c>
      <c r="X125" s="24">
        <f t="shared" si="15"/>
        <v>0.48383857789502915</v>
      </c>
      <c r="Y125" s="24">
        <f t="shared" si="15"/>
        <v>0.73421271032715762</v>
      </c>
      <c r="Z125" s="24">
        <f t="shared" si="15"/>
        <v>1.3092596277756723</v>
      </c>
      <c r="AA125" s="24">
        <f t="shared" si="15"/>
        <v>-0.25128646136662203</v>
      </c>
      <c r="AB125" s="24">
        <f t="shared" si="15"/>
        <v>0.47852822622867386</v>
      </c>
      <c r="AC125" s="24">
        <f t="shared" si="15"/>
        <v>0.22539694059880699</v>
      </c>
      <c r="AD125" s="24">
        <f t="shared" si="15"/>
        <v>1.0619964928672934</v>
      </c>
      <c r="AE125" s="24">
        <f t="shared" si="15"/>
        <v>1.2615856812349291</v>
      </c>
      <c r="AF125" s="24">
        <f t="shared" si="15"/>
        <v>0.80459711129932088</v>
      </c>
      <c r="AG125" s="24">
        <f t="shared" si="15"/>
        <v>0.21263573578874939</v>
      </c>
      <c r="AH125" s="24">
        <f t="shared" si="15"/>
        <v>0.96767169639494655</v>
      </c>
      <c r="AI125" s="24">
        <f t="shared" si="15"/>
        <v>0.23875358061331831</v>
      </c>
      <c r="AJ125" s="24">
        <f t="shared" si="15"/>
        <v>0.3268531561407908</v>
      </c>
      <c r="AK125" s="24">
        <f t="shared" si="15"/>
        <v>0.70833491345400756</v>
      </c>
      <c r="AL125" s="24">
        <f t="shared" si="15"/>
        <v>6.1757814489283192E-2</v>
      </c>
      <c r="AM125" s="24">
        <f t="shared" si="15"/>
        <v>-0.94115477647972756</v>
      </c>
      <c r="AN125" s="24">
        <f t="shared" si="15"/>
        <v>-0.10634176022268105</v>
      </c>
      <c r="AO125" s="24">
        <f t="shared" si="15"/>
        <v>0.22258323998222029</v>
      </c>
      <c r="AP125" s="24">
        <f t="shared" si="15"/>
        <v>-1.6662221854784054E-3</v>
      </c>
      <c r="AQ125" s="24">
        <f t="shared" si="15"/>
        <v>0.52925215335483911</v>
      </c>
      <c r="AR125" s="24">
        <f t="shared" si="15"/>
        <v>-0.17943582247008927</v>
      </c>
      <c r="AS125" s="24">
        <f t="shared" si="15"/>
        <v>0.33897241692328728</v>
      </c>
      <c r="AT125" s="24">
        <f t="shared" si="15"/>
        <v>0.15199928636431115</v>
      </c>
      <c r="AU125" s="24">
        <f t="shared" si="15"/>
        <v>-5.5169335626449767E-2</v>
      </c>
      <c r="AV125" s="24">
        <f t="shared" si="15"/>
        <v>0.62058819968277446</v>
      </c>
      <c r="AW125" s="24">
        <f t="shared" si="15"/>
        <v>0.20127748032152071</v>
      </c>
      <c r="AX125" s="24">
        <f t="shared" si="15"/>
        <v>1.8184304374760734</v>
      </c>
      <c r="AY125" s="24">
        <f t="shared" si="15"/>
        <v>0.8001702018888579</v>
      </c>
      <c r="AZ125" s="24">
        <f t="shared" si="15"/>
        <v>1.3227062727260153E-2</v>
      </c>
      <c r="BA125" s="24">
        <f t="shared" si="15"/>
        <v>-1</v>
      </c>
      <c r="BB125" s="24">
        <f t="shared" si="15"/>
        <v>9.8783865248226963</v>
      </c>
      <c r="BC125" s="24">
        <f t="shared" si="15"/>
        <v>1.3909502398835878</v>
      </c>
      <c r="BD125" s="24">
        <f t="shared" si="15"/>
        <v>-0.70348117045922609</v>
      </c>
      <c r="BE125" s="24">
        <f t="shared" si="15"/>
        <v>0.31834996758815293</v>
      </c>
      <c r="BF125" s="24">
        <f t="shared" si="15"/>
        <v>0.59082121490878792</v>
      </c>
      <c r="BG125" s="24">
        <f t="shared" si="15"/>
        <v>0.18916312769840693</v>
      </c>
      <c r="BH125" s="24">
        <f t="shared" si="15"/>
        <v>0.16569805518346126</v>
      </c>
      <c r="BI125" s="24">
        <f t="shared" si="15"/>
        <v>0.30199250172572634</v>
      </c>
      <c r="BJ125" s="24">
        <f t="shared" si="15"/>
        <v>0.51466320564305823</v>
      </c>
      <c r="BK125" s="24">
        <f t="shared" si="15"/>
        <v>0.36806604190357217</v>
      </c>
      <c r="BL125" s="24">
        <f t="shared" si="15"/>
        <v>0.34706537501502477</v>
      </c>
      <c r="BM125" s="24">
        <f t="shared" si="15"/>
        <v>0.12853872135377875</v>
      </c>
      <c r="BN125" s="24">
        <f t="shared" si="15"/>
        <v>-2.3597527155349352E-2</v>
      </c>
      <c r="BO125" s="24">
        <f t="shared" si="15"/>
        <v>0.63733320577420893</v>
      </c>
      <c r="BP125" s="24">
        <f t="shared" si="15"/>
        <v>0.85987397003803068</v>
      </c>
      <c r="BQ125" s="24">
        <f t="shared" si="11"/>
        <v>6.2052336255077316</v>
      </c>
      <c r="BR125" s="24">
        <f t="shared" si="11"/>
        <v>0.85778805673826697</v>
      </c>
      <c r="BS125" s="24">
        <f t="shared" si="11"/>
        <v>0.20508087118445117</v>
      </c>
      <c r="BT125" s="24">
        <f t="shared" si="11"/>
        <v>0.34974375533793522</v>
      </c>
      <c r="BU125" s="24">
        <f t="shared" si="11"/>
        <v>0.12225615707936321</v>
      </c>
      <c r="BV125" s="24">
        <f t="shared" si="11"/>
        <v>-0.14994458643243702</v>
      </c>
      <c r="BW125" s="24">
        <f t="shared" si="11"/>
        <v>2.3736254067840781</v>
      </c>
      <c r="BX125" s="24">
        <f t="shared" si="11"/>
        <v>0.54890008896758369</v>
      </c>
      <c r="BY125" s="24">
        <f t="shared" si="11"/>
        <v>0.75923885470708763</v>
      </c>
      <c r="BZ125" s="24">
        <f t="shared" si="11"/>
        <v>7.0638435505916917</v>
      </c>
      <c r="CA125" s="24">
        <f t="shared" si="11"/>
        <v>0.5984709899959062</v>
      </c>
      <c r="CB125" s="24">
        <f t="shared" si="11"/>
        <v>-0.24024270050745489</v>
      </c>
      <c r="CC125" s="24">
        <f t="shared" si="11"/>
        <v>-0.9707662953160584</v>
      </c>
      <c r="CD125" s="24">
        <f t="shared" si="11"/>
        <v>-0.10264589697831306</v>
      </c>
      <c r="CE125" s="24">
        <f t="shared" si="11"/>
        <v>0.29404133850012037</v>
      </c>
      <c r="CF125" s="24">
        <f t="shared" si="11"/>
        <v>0.21157355332886585</v>
      </c>
      <c r="CG125" s="24">
        <f t="shared" si="11"/>
        <v>0.37067532315473506</v>
      </c>
      <c r="CH125" s="24">
        <f t="shared" si="11"/>
        <v>0.45434444973224974</v>
      </c>
      <c r="CI125" s="24">
        <f t="shared" si="11"/>
        <v>0.45219830215659917</v>
      </c>
      <c r="CJ125" s="24">
        <f t="shared" si="11"/>
        <v>2.7268990654633445</v>
      </c>
      <c r="CK125" s="24">
        <f t="shared" si="11"/>
        <v>0.62624192320002603</v>
      </c>
      <c r="CL125" s="24">
        <f t="shared" si="11"/>
        <v>0.11483166292922986</v>
      </c>
      <c r="CM125" s="24">
        <f t="shared" si="11"/>
        <v>-0.36582912117733912</v>
      </c>
      <c r="CN125" s="24">
        <f t="shared" si="11"/>
        <v>0.47856332410583891</v>
      </c>
      <c r="CO125" s="24">
        <f t="shared" si="11"/>
        <v>-0.56959649909564325</v>
      </c>
      <c r="CP125" s="24">
        <f t="shared" si="11"/>
        <v>-0.8937290677232369</v>
      </c>
      <c r="CQ125" s="24">
        <f t="shared" si="11"/>
        <v>0.77673383643292437</v>
      </c>
      <c r="CR125" s="24">
        <f t="shared" si="11"/>
        <v>0.74901632316737654</v>
      </c>
      <c r="CS125" s="24">
        <f t="shared" si="11"/>
        <v>0.67361117290305317</v>
      </c>
      <c r="CT125" s="24">
        <f t="shared" si="11"/>
        <v>0.58803681755792492</v>
      </c>
      <c r="CU125" s="24">
        <f t="shared" si="11"/>
        <v>2.2912643733783464</v>
      </c>
      <c r="CV125" s="24">
        <f t="shared" si="11"/>
        <v>2.1062042862743269E-2</v>
      </c>
      <c r="CW125" s="24">
        <f t="shared" ref="CW125" si="18">+(CW102/CW98)-1</f>
        <v>0.68771715357549268</v>
      </c>
    </row>
    <row r="126" spans="2:101">
      <c r="B126" s="140"/>
      <c r="C126" t="s">
        <v>3</v>
      </c>
      <c r="D126" s="24">
        <f t="shared" si="13"/>
        <v>1.0242345220669407</v>
      </c>
      <c r="E126" s="24">
        <f t="shared" si="15"/>
        <v>-0.18765693980429599</v>
      </c>
      <c r="F126" s="24">
        <f t="shared" si="15"/>
        <v>0.29367049436100778</v>
      </c>
      <c r="G126" s="24">
        <f t="shared" si="15"/>
        <v>-0.17945502167753813</v>
      </c>
      <c r="H126" s="24">
        <f t="shared" si="15"/>
        <v>0.21486926941191475</v>
      </c>
      <c r="I126" s="24">
        <f t="shared" si="15"/>
        <v>0.29971740052439699</v>
      </c>
      <c r="J126" s="24">
        <f t="shared" si="15"/>
        <v>-3.6444296867285564E-2</v>
      </c>
      <c r="K126" s="24">
        <f t="shared" si="15"/>
        <v>3.3393737502978027E-2</v>
      </c>
      <c r="L126" s="24">
        <f t="shared" si="15"/>
        <v>0.1752271412230284</v>
      </c>
      <c r="M126" s="24">
        <f t="shared" si="15"/>
        <v>-0.90069053193815685</v>
      </c>
      <c r="N126" s="24">
        <f t="shared" si="15"/>
        <v>0.41881008138651454</v>
      </c>
      <c r="O126" s="24">
        <f t="shared" si="15"/>
        <v>0.23114511049168041</v>
      </c>
      <c r="P126" s="24">
        <f t="shared" si="15"/>
        <v>-0.8990364834293314</v>
      </c>
      <c r="Q126" s="24">
        <f t="shared" si="15"/>
        <v>7.2936775364245365E-2</v>
      </c>
      <c r="R126" s="24">
        <f t="shared" si="15"/>
        <v>0.24302531272872541</v>
      </c>
      <c r="S126" s="24">
        <f t="shared" si="15"/>
        <v>0.23667783543830789</v>
      </c>
      <c r="T126" s="24">
        <f t="shared" si="15"/>
        <v>0.134329988238997</v>
      </c>
      <c r="U126" s="24">
        <f t="shared" si="15"/>
        <v>4.5577158422760444E-2</v>
      </c>
      <c r="V126" s="24">
        <f t="shared" si="15"/>
        <v>0.17271908923284918</v>
      </c>
      <c r="W126" s="24">
        <f t="shared" si="15"/>
        <v>5.7252255433267951E-2</v>
      </c>
      <c r="X126" s="24">
        <f t="shared" si="15"/>
        <v>0.20053407100107834</v>
      </c>
      <c r="Y126" s="24">
        <f t="shared" si="15"/>
        <v>0.33898223977203856</v>
      </c>
      <c r="Z126" s="24">
        <f t="shared" si="15"/>
        <v>0.57908108162153127</v>
      </c>
      <c r="AA126" s="24">
        <f t="shared" si="15"/>
        <v>8.7363579745737274E-2</v>
      </c>
      <c r="AB126" s="24">
        <f t="shared" si="15"/>
        <v>0.3287242402989472</v>
      </c>
      <c r="AC126" s="24">
        <f t="shared" si="15"/>
        <v>0.92583526859446397</v>
      </c>
      <c r="AD126" s="24">
        <f t="shared" si="15"/>
        <v>0.76985985146551705</v>
      </c>
      <c r="AE126" s="24">
        <f t="shared" si="15"/>
        <v>0.44922684982028538</v>
      </c>
      <c r="AF126" s="24">
        <f t="shared" si="15"/>
        <v>0.53478273334477899</v>
      </c>
      <c r="AG126" s="24">
        <f t="shared" si="15"/>
        <v>-4.0068827655258765E-2</v>
      </c>
      <c r="AH126" s="24">
        <f t="shared" si="15"/>
        <v>1.07434123879437</v>
      </c>
      <c r="AI126" s="24">
        <f t="shared" si="15"/>
        <v>6.9106438522791747E-2</v>
      </c>
      <c r="AJ126" s="24">
        <f t="shared" si="15"/>
        <v>8.8012960186863554E-2</v>
      </c>
      <c r="AK126" s="24">
        <f t="shared" si="15"/>
        <v>0.33666102110283913</v>
      </c>
      <c r="AL126" s="24">
        <f t="shared" si="15"/>
        <v>0.46282728008057084</v>
      </c>
      <c r="AM126" s="24">
        <f t="shared" si="15"/>
        <v>-0.71026733872760228</v>
      </c>
      <c r="AN126" s="24">
        <f t="shared" si="15"/>
        <v>1.0908386906053562</v>
      </c>
      <c r="AO126" s="24">
        <f t="shared" si="15"/>
        <v>7.9481104090618926E-2</v>
      </c>
      <c r="AP126" s="24">
        <f t="shared" si="15"/>
        <v>0.12645993028669866</v>
      </c>
      <c r="AQ126" s="24">
        <f t="shared" si="15"/>
        <v>0.22006339980225476</v>
      </c>
      <c r="AR126" s="24">
        <f t="shared" si="15"/>
        <v>-0.46170784732365677</v>
      </c>
      <c r="AS126" s="24">
        <f t="shared" si="15"/>
        <v>0.10978207999526779</v>
      </c>
      <c r="AT126" s="24">
        <f t="shared" si="15"/>
        <v>-0.2202928479555335</v>
      </c>
      <c r="AU126" s="24">
        <f t="shared" si="15"/>
        <v>4.5478141560093555E-2</v>
      </c>
      <c r="AV126" s="24">
        <f t="shared" si="15"/>
        <v>-4.9706176120355883E-2</v>
      </c>
      <c r="AW126" s="24">
        <f t="shared" si="15"/>
        <v>0.27446899892947241</v>
      </c>
      <c r="AX126" s="24">
        <f t="shared" si="15"/>
        <v>-3.0434334826427323E-2</v>
      </c>
      <c r="AY126" s="24">
        <f t="shared" si="15"/>
        <v>0.36428595083659299</v>
      </c>
      <c r="AZ126" s="24">
        <f t="shared" si="15"/>
        <v>5.4517836306005485E-2</v>
      </c>
      <c r="BA126" s="24">
        <f t="shared" si="15"/>
        <v>-1</v>
      </c>
      <c r="BB126" s="24" t="e">
        <f t="shared" si="15"/>
        <v>#DIV/0!</v>
      </c>
      <c r="BC126" s="24">
        <f t="shared" si="15"/>
        <v>0.28266796074405565</v>
      </c>
      <c r="BD126" s="24">
        <f t="shared" si="15"/>
        <v>-0.76871563916449892</v>
      </c>
      <c r="BE126" s="24">
        <f t="shared" si="15"/>
        <v>6.1312001220292123E-2</v>
      </c>
      <c r="BF126" s="24">
        <f t="shared" si="15"/>
        <v>-0.2288133095144077</v>
      </c>
      <c r="BG126" s="24">
        <f t="shared" si="15"/>
        <v>-0.13682062264548156</v>
      </c>
      <c r="BH126" s="24">
        <f t="shared" si="15"/>
        <v>-0.37648454479683757</v>
      </c>
      <c r="BI126" s="24">
        <f t="shared" si="15"/>
        <v>-2.8813305725175375E-2</v>
      </c>
      <c r="BJ126" s="24">
        <f t="shared" si="15"/>
        <v>9.2571395830960412E-2</v>
      </c>
      <c r="BK126" s="24">
        <f t="shared" si="15"/>
        <v>-6.2659285121759556E-2</v>
      </c>
      <c r="BL126" s="24">
        <f t="shared" si="15"/>
        <v>2.3777887233842776E-2</v>
      </c>
      <c r="BM126" s="24">
        <f t="shared" si="15"/>
        <v>-0.15319691525092827</v>
      </c>
      <c r="BN126" s="24">
        <f t="shared" si="15"/>
        <v>0.10345424896247102</v>
      </c>
      <c r="BO126" s="24">
        <f t="shared" si="15"/>
        <v>0.33019299652800371</v>
      </c>
      <c r="BP126" s="24">
        <f t="shared" ref="BP126:CV129" si="19">+(BP103/BP99)-1</f>
        <v>0.37140330119255593</v>
      </c>
      <c r="BQ126" s="24">
        <f t="shared" si="19"/>
        <v>-0.26283415298558321</v>
      </c>
      <c r="BR126" s="24">
        <f t="shared" si="19"/>
        <v>1.8964994599608493</v>
      </c>
      <c r="BS126" s="24">
        <f t="shared" si="19"/>
        <v>-1.4341038257539296E-3</v>
      </c>
      <c r="BT126" s="24">
        <f t="shared" si="19"/>
        <v>5.6259834047049262E-2</v>
      </c>
      <c r="BU126" s="24">
        <f t="shared" si="19"/>
        <v>2.9703570906329801E-2</v>
      </c>
      <c r="BV126" s="24">
        <f t="shared" si="19"/>
        <v>6.6149268102178027E-3</v>
      </c>
      <c r="BW126" s="24">
        <f t="shared" si="19"/>
        <v>0.20755819764440053</v>
      </c>
      <c r="BX126" s="24">
        <f t="shared" si="19"/>
        <v>-2.0118663042115514E-2</v>
      </c>
      <c r="BY126" s="24">
        <f t="shared" si="19"/>
        <v>-0.17428874740330225</v>
      </c>
      <c r="BZ126" s="24">
        <f t="shared" si="19"/>
        <v>-0.50851508747947616</v>
      </c>
      <c r="CA126" s="24">
        <f t="shared" si="19"/>
        <v>0.49731165933158605</v>
      </c>
      <c r="CB126" s="24">
        <f t="shared" si="19"/>
        <v>-0.61571039494809265</v>
      </c>
      <c r="CC126" s="24">
        <f t="shared" si="19"/>
        <v>-0.83231887160809892</v>
      </c>
      <c r="CD126" s="24">
        <f t="shared" si="19"/>
        <v>-0.70039919909961257</v>
      </c>
      <c r="CE126" s="24">
        <f t="shared" si="19"/>
        <v>-0.11729951768956159</v>
      </c>
      <c r="CF126" s="24">
        <f t="shared" si="19"/>
        <v>-6.326900587978046E-2</v>
      </c>
      <c r="CG126" s="24">
        <f t="shared" si="19"/>
        <v>0.14543261494046988</v>
      </c>
      <c r="CH126" s="24">
        <f t="shared" si="19"/>
        <v>2.712239590360932E-3</v>
      </c>
      <c r="CI126" s="24">
        <f t="shared" si="19"/>
        <v>3.5295073085271911E-2</v>
      </c>
      <c r="CJ126" s="24">
        <f t="shared" si="19"/>
        <v>3.0794335123263519</v>
      </c>
      <c r="CK126" s="24">
        <f t="shared" si="19"/>
        <v>-4.766766719602189E-3</v>
      </c>
      <c r="CL126" s="24">
        <f t="shared" si="19"/>
        <v>-0.67758779476935382</v>
      </c>
      <c r="CM126" s="24">
        <f t="shared" si="19"/>
        <v>3.4914958404324903E-2</v>
      </c>
      <c r="CN126" s="24">
        <f t="shared" si="19"/>
        <v>5.7099485473121048E-2</v>
      </c>
      <c r="CO126" s="24">
        <f t="shared" si="19"/>
        <v>-0.70827711218361067</v>
      </c>
      <c r="CP126" s="24">
        <f t="shared" si="19"/>
        <v>11.760839840101621</v>
      </c>
      <c r="CQ126" s="24">
        <f t="shared" si="19"/>
        <v>-0.90409216269207993</v>
      </c>
      <c r="CR126" s="24">
        <f t="shared" si="19"/>
        <v>-4.2253717981728389E-2</v>
      </c>
      <c r="CS126" s="24">
        <f t="shared" si="19"/>
        <v>-7.6459874483219004E-2</v>
      </c>
      <c r="CT126" s="24">
        <f t="shared" si="19"/>
        <v>0.25095266047352793</v>
      </c>
      <c r="CU126" s="24">
        <f t="shared" si="19"/>
        <v>0.5369927394398919</v>
      </c>
      <c r="CV126" s="24">
        <f t="shared" si="19"/>
        <v>-0.16407196237830779</v>
      </c>
      <c r="CW126" s="24">
        <f t="shared" ref="CW126" si="20">+(CW103/CW99)-1</f>
        <v>0.40923112136981543</v>
      </c>
    </row>
    <row r="127" spans="2:101">
      <c r="B127" s="140"/>
      <c r="C127" t="s">
        <v>4</v>
      </c>
      <c r="D127" s="24">
        <f t="shared" si="13"/>
        <v>0.45584480917243608</v>
      </c>
      <c r="E127" s="24">
        <f t="shared" ref="E127:BP130" si="21">+(E104/E100)-1</f>
        <v>-0.31826719246557422</v>
      </c>
      <c r="F127" s="24">
        <f t="shared" si="21"/>
        <v>0.24562209412813441</v>
      </c>
      <c r="G127" s="24">
        <f t="shared" si="21"/>
        <v>0.37581461712996655</v>
      </c>
      <c r="H127" s="24">
        <f t="shared" si="21"/>
        <v>0.26937743905295197</v>
      </c>
      <c r="I127" s="24">
        <f t="shared" si="21"/>
        <v>-6.7564438760400081E-2</v>
      </c>
      <c r="J127" s="24">
        <f t="shared" si="21"/>
        <v>0.25561297962256124</v>
      </c>
      <c r="K127" s="24">
        <f t="shared" si="21"/>
        <v>6.8264750253535844E-2</v>
      </c>
      <c r="L127" s="24">
        <f t="shared" si="21"/>
        <v>-5.4511613855846019E-2</v>
      </c>
      <c r="M127" s="24">
        <f t="shared" si="21"/>
        <v>-0.34310748210431419</v>
      </c>
      <c r="N127" s="24">
        <f t="shared" si="21"/>
        <v>-0.12685863982894929</v>
      </c>
      <c r="O127" s="24">
        <f t="shared" si="21"/>
        <v>3.5049718370848248E-2</v>
      </c>
      <c r="P127" s="24">
        <f t="shared" si="21"/>
        <v>0.46181812553034174</v>
      </c>
      <c r="Q127" s="24">
        <f t="shared" si="21"/>
        <v>1.7124949226158992</v>
      </c>
      <c r="R127" s="24">
        <f t="shared" si="21"/>
        <v>-0.12674644654871914</v>
      </c>
      <c r="S127" s="24">
        <f t="shared" si="21"/>
        <v>-0.1641343081552572</v>
      </c>
      <c r="T127" s="24">
        <f t="shared" si="21"/>
        <v>0.23642735039321727</v>
      </c>
      <c r="U127" s="24">
        <f t="shared" si="21"/>
        <v>-1.237130833936495E-2</v>
      </c>
      <c r="V127" s="24">
        <f t="shared" si="21"/>
        <v>0.15286107360071211</v>
      </c>
      <c r="W127" s="24">
        <f t="shared" si="21"/>
        <v>0.13939375446111879</v>
      </c>
      <c r="X127" s="24">
        <f t="shared" si="21"/>
        <v>0.37113360657445749</v>
      </c>
      <c r="Y127" s="24">
        <f t="shared" si="21"/>
        <v>0.2728342334443179</v>
      </c>
      <c r="Z127" s="24">
        <f t="shared" si="21"/>
        <v>0.36322094002411642</v>
      </c>
      <c r="AA127" s="24">
        <f t="shared" si="21"/>
        <v>30.071054378869849</v>
      </c>
      <c r="AB127" s="24">
        <f t="shared" si="21"/>
        <v>0.23150465140802434</v>
      </c>
      <c r="AC127" s="24">
        <f t="shared" si="21"/>
        <v>8.4605951124005374E-2</v>
      </c>
      <c r="AD127" s="24">
        <f t="shared" si="21"/>
        <v>0.14945854343216447</v>
      </c>
      <c r="AE127" s="24">
        <f t="shared" si="21"/>
        <v>0.38627776605669162</v>
      </c>
      <c r="AF127" s="24">
        <f t="shared" si="21"/>
        <v>8.3662902738231182E-2</v>
      </c>
      <c r="AG127" s="24">
        <f t="shared" si="21"/>
        <v>-3.6058452230471216E-2</v>
      </c>
      <c r="AH127" s="24">
        <f t="shared" si="21"/>
        <v>0.17032008535925813</v>
      </c>
      <c r="AI127" s="24">
        <f t="shared" si="21"/>
        <v>0.2033190776879179</v>
      </c>
      <c r="AJ127" s="24">
        <f t="shared" si="21"/>
        <v>-5.4273025156304389E-2</v>
      </c>
      <c r="AK127" s="24">
        <f t="shared" si="21"/>
        <v>0.36274886102313375</v>
      </c>
      <c r="AL127" s="24">
        <f t="shared" si="21"/>
        <v>0.45179626289573216</v>
      </c>
      <c r="AM127" s="24">
        <f t="shared" si="21"/>
        <v>128.64346747940169</v>
      </c>
      <c r="AN127" s="24">
        <f t="shared" si="21"/>
        <v>4.7903282773481646</v>
      </c>
      <c r="AO127" s="24">
        <f t="shared" si="21"/>
        <v>-3.0351827085148164E-2</v>
      </c>
      <c r="AP127" s="24">
        <f t="shared" si="21"/>
        <v>-0.26949305935652113</v>
      </c>
      <c r="AQ127" s="24">
        <f t="shared" si="21"/>
        <v>5.2021992965895381E-2</v>
      </c>
      <c r="AR127" s="24">
        <f t="shared" si="21"/>
        <v>-0.54457441322483746</v>
      </c>
      <c r="AS127" s="24">
        <f t="shared" si="21"/>
        <v>-0.2374398563779303</v>
      </c>
      <c r="AT127" s="24">
        <f t="shared" si="21"/>
        <v>-0.23310821202133969</v>
      </c>
      <c r="AU127" s="24">
        <f t="shared" si="21"/>
        <v>-3.2983664553591363E-2</v>
      </c>
      <c r="AV127" s="24">
        <f t="shared" si="21"/>
        <v>0.66092732885677163</v>
      </c>
      <c r="AW127" s="24">
        <f t="shared" si="21"/>
        <v>-0.11645056799442666</v>
      </c>
      <c r="AX127" s="24">
        <f t="shared" si="21"/>
        <v>-0.85921638221895691</v>
      </c>
      <c r="AY127" s="24">
        <f t="shared" si="21"/>
        <v>0.32158840902141939</v>
      </c>
      <c r="AZ127" s="24">
        <f t="shared" si="21"/>
        <v>-0.12891451666981701</v>
      </c>
      <c r="BA127" s="24" t="e">
        <f t="shared" si="21"/>
        <v>#DIV/0!</v>
      </c>
      <c r="BB127" s="24">
        <f t="shared" si="21"/>
        <v>-0.69790104274256559</v>
      </c>
      <c r="BC127" s="24">
        <f t="shared" si="21"/>
        <v>-0.20887663478384555</v>
      </c>
      <c r="BD127" s="24">
        <f t="shared" si="21"/>
        <v>-0.74196914024256633</v>
      </c>
      <c r="BE127" s="24">
        <f t="shared" si="21"/>
        <v>1.2975862256907611E-3</v>
      </c>
      <c r="BF127" s="24">
        <f t="shared" si="21"/>
        <v>0.34284834301471179</v>
      </c>
      <c r="BG127" s="24">
        <f t="shared" si="21"/>
        <v>-1.1196624996383631E-2</v>
      </c>
      <c r="BH127" s="24">
        <f t="shared" si="21"/>
        <v>-1.6470742394675719E-2</v>
      </c>
      <c r="BI127" s="24">
        <f t="shared" si="21"/>
        <v>-0.21171585030650819</v>
      </c>
      <c r="BJ127" s="24">
        <f t="shared" si="21"/>
        <v>-0.14792193636862705</v>
      </c>
      <c r="BK127" s="24">
        <f t="shared" si="21"/>
        <v>-0.29992527973807759</v>
      </c>
      <c r="BL127" s="24">
        <f t="shared" si="21"/>
        <v>1.2433648787690821E-2</v>
      </c>
      <c r="BM127" s="24">
        <f t="shared" si="21"/>
        <v>-0.15623865660914216</v>
      </c>
      <c r="BN127" s="24">
        <f t="shared" si="21"/>
        <v>0.14077835300146302</v>
      </c>
      <c r="BO127" s="24">
        <f t="shared" si="21"/>
        <v>0.18339690424330146</v>
      </c>
      <c r="BP127" s="24">
        <f t="shared" si="21"/>
        <v>0.19034760952049812</v>
      </c>
      <c r="BQ127" s="24">
        <f t="shared" si="19"/>
        <v>-0.28737514374322337</v>
      </c>
      <c r="BR127" s="24">
        <f t="shared" si="19"/>
        <v>0.19528018408696513</v>
      </c>
      <c r="BS127" s="24">
        <f t="shared" si="19"/>
        <v>-5.6708064101146816E-2</v>
      </c>
      <c r="BT127" s="24">
        <f t="shared" si="19"/>
        <v>-1.5710388274753351E-2</v>
      </c>
      <c r="BU127" s="24">
        <f t="shared" si="19"/>
        <v>-4.6562854550155297E-2</v>
      </c>
      <c r="BV127" s="24">
        <f t="shared" si="19"/>
        <v>-5.8242797433374571E-2</v>
      </c>
      <c r="BW127" s="24">
        <f t="shared" si="19"/>
        <v>6.2408784746169843E-2</v>
      </c>
      <c r="BX127" s="24">
        <f t="shared" si="19"/>
        <v>0.1324268133633888</v>
      </c>
      <c r="BY127" s="24">
        <f t="shared" si="19"/>
        <v>-8.3161873946480558E-2</v>
      </c>
      <c r="BZ127" s="24">
        <f t="shared" si="19"/>
        <v>1.5475431337659264</v>
      </c>
      <c r="CA127" s="24">
        <f t="shared" si="19"/>
        <v>0.37331753416343716</v>
      </c>
      <c r="CB127" s="24">
        <f t="shared" si="19"/>
        <v>-0.73738008793371346</v>
      </c>
      <c r="CC127" s="24">
        <f t="shared" si="19"/>
        <v>68.847843228257375</v>
      </c>
      <c r="CD127" s="24">
        <f t="shared" si="19"/>
        <v>-0.55082494979851737</v>
      </c>
      <c r="CE127" s="24">
        <f t="shared" si="19"/>
        <v>-0.22394224673908103</v>
      </c>
      <c r="CF127" s="24">
        <f t="shared" si="19"/>
        <v>-9.6476643570454157E-2</v>
      </c>
      <c r="CG127" s="24">
        <f t="shared" si="19"/>
        <v>1.7041361003863997E-2</v>
      </c>
      <c r="CH127" s="24">
        <f t="shared" si="19"/>
        <v>0.24450967025066972</v>
      </c>
      <c r="CI127" s="24">
        <f t="shared" si="19"/>
        <v>1.3167581434923026E-3</v>
      </c>
      <c r="CJ127" s="24">
        <f t="shared" si="19"/>
        <v>-0.22236008661738682</v>
      </c>
      <c r="CK127" s="24">
        <f t="shared" si="19"/>
        <v>0.25225646862976836</v>
      </c>
      <c r="CL127" s="24">
        <f t="shared" si="19"/>
        <v>1.001119012759498</v>
      </c>
      <c r="CM127" s="24">
        <f t="shared" si="19"/>
        <v>-0.71812709667430241</v>
      </c>
      <c r="CN127" s="24">
        <f t="shared" si="19"/>
        <v>4.8477350530559571E-2</v>
      </c>
      <c r="CO127" s="24">
        <f t="shared" si="19"/>
        <v>-0.11093916172646923</v>
      </c>
      <c r="CP127" s="24">
        <f t="shared" si="19"/>
        <v>4.7535823985793257E-2</v>
      </c>
      <c r="CQ127" s="24">
        <f t="shared" si="19"/>
        <v>3.7122117067904163</v>
      </c>
      <c r="CR127" s="24">
        <f t="shared" si="19"/>
        <v>8.0726672801179955E-2</v>
      </c>
      <c r="CS127" s="24">
        <f t="shared" si="19"/>
        <v>1.0446024341697502E-2</v>
      </c>
      <c r="CT127" s="24">
        <f t="shared" si="19"/>
        <v>0.10268095988406567</v>
      </c>
      <c r="CU127" s="24">
        <f t="shared" si="19"/>
        <v>1.0928441427102626</v>
      </c>
      <c r="CV127" s="24">
        <f t="shared" si="19"/>
        <v>0.20372756499085143</v>
      </c>
      <c r="CW127" s="24">
        <f t="shared" ref="CW127" si="22">+(CW104/CW100)-1</f>
        <v>7.3446870869234182E-2</v>
      </c>
    </row>
    <row r="128" spans="2:101">
      <c r="B128" s="140">
        <v>2023</v>
      </c>
      <c r="C128" t="s">
        <v>1</v>
      </c>
      <c r="D128" s="24">
        <f t="shared" si="13"/>
        <v>-0.55140363564207517</v>
      </c>
      <c r="E128" s="24">
        <f t="shared" si="21"/>
        <v>-0.15820071593660257</v>
      </c>
      <c r="F128" s="24">
        <f t="shared" si="21"/>
        <v>9.1413694104526932E-2</v>
      </c>
      <c r="G128" s="24">
        <f t="shared" si="21"/>
        <v>0.9537773024399574</v>
      </c>
      <c r="H128" s="24">
        <f t="shared" si="21"/>
        <v>0.13820220074174738</v>
      </c>
      <c r="I128" s="24">
        <f t="shared" si="21"/>
        <v>-3.9823385691260094E-2</v>
      </c>
      <c r="J128" s="24">
        <f t="shared" si="21"/>
        <v>0.3356648431921343</v>
      </c>
      <c r="K128" s="24">
        <f t="shared" si="21"/>
        <v>-0.16682217239090735</v>
      </c>
      <c r="L128" s="24">
        <f t="shared" si="21"/>
        <v>-0.28698179881812702</v>
      </c>
      <c r="M128" s="24">
        <f t="shared" si="21"/>
        <v>-0.85902991332518808</v>
      </c>
      <c r="N128" s="24">
        <f t="shared" si="21"/>
        <v>2.6923631905373391E-3</v>
      </c>
      <c r="O128" s="24">
        <f t="shared" si="21"/>
        <v>6.8267583159834277E-2</v>
      </c>
      <c r="P128" s="24">
        <f t="shared" si="21"/>
        <v>-0.60839991671455163</v>
      </c>
      <c r="Q128" s="24">
        <f t="shared" si="21"/>
        <v>-3.1209781836323391E-2</v>
      </c>
      <c r="R128" s="24">
        <f t="shared" si="21"/>
        <v>1.8176921336944485E-2</v>
      </c>
      <c r="S128" s="24">
        <f t="shared" si="21"/>
        <v>0.22344201313339962</v>
      </c>
      <c r="T128" s="24">
        <f t="shared" si="21"/>
        <v>0.11455385591006073</v>
      </c>
      <c r="U128" s="24">
        <f t="shared" si="21"/>
        <v>-0.13069229775140223</v>
      </c>
      <c r="V128" s="24">
        <f t="shared" si="21"/>
        <v>0.18149101557223601</v>
      </c>
      <c r="W128" s="24">
        <f t="shared" si="21"/>
        <v>0.22391006382491541</v>
      </c>
      <c r="X128" s="24">
        <f t="shared" si="21"/>
        <v>0.19196308082756164</v>
      </c>
      <c r="Y128" s="24">
        <f t="shared" si="21"/>
        <v>0.41459663900425547</v>
      </c>
      <c r="Z128" s="24">
        <f t="shared" si="21"/>
        <v>0.43505555945314534</v>
      </c>
      <c r="AA128" s="24">
        <f t="shared" si="21"/>
        <v>1.9288877599844985</v>
      </c>
      <c r="AB128" s="24">
        <f t="shared" si="21"/>
        <v>-9.2255708512140044E-3</v>
      </c>
      <c r="AC128" s="24">
        <f t="shared" si="21"/>
        <v>0.15170386025533067</v>
      </c>
      <c r="AD128" s="24">
        <f t="shared" si="21"/>
        <v>-5.6087937424298406E-4</v>
      </c>
      <c r="AE128" s="24">
        <f t="shared" si="21"/>
        <v>3.9826880877715798E-2</v>
      </c>
      <c r="AF128" s="24">
        <f t="shared" si="21"/>
        <v>4.6647096040717706E-2</v>
      </c>
      <c r="AG128" s="24">
        <f t="shared" si="21"/>
        <v>6.7222256542422976E-2</v>
      </c>
      <c r="AH128" s="24">
        <f t="shared" si="21"/>
        <v>1.0924395246204113</v>
      </c>
      <c r="AI128" s="24">
        <f t="shared" si="21"/>
        <v>4.7889396681073393E-3</v>
      </c>
      <c r="AJ128" s="24">
        <f t="shared" si="21"/>
        <v>0.13223433637875792</v>
      </c>
      <c r="AK128" s="24">
        <f t="shared" si="21"/>
        <v>0.14279207660603377</v>
      </c>
      <c r="AL128" s="24">
        <f t="shared" si="21"/>
        <v>0.55760520587371998</v>
      </c>
      <c r="AM128" s="24">
        <f t="shared" si="21"/>
        <v>155.91429923619964</v>
      </c>
      <c r="AN128" s="24">
        <f t="shared" si="21"/>
        <v>0.14995802258362279</v>
      </c>
      <c r="AO128" s="24">
        <f t="shared" si="21"/>
        <v>-0.11189215341888281</v>
      </c>
      <c r="AP128" s="24">
        <f t="shared" si="21"/>
        <v>-0.31638704394667483</v>
      </c>
      <c r="AQ128" s="24">
        <f t="shared" si="21"/>
        <v>2.3959768786688151E-2</v>
      </c>
      <c r="AR128" s="24">
        <f t="shared" si="21"/>
        <v>-0.39486884684305623</v>
      </c>
      <c r="AS128" s="24">
        <f t="shared" si="21"/>
        <v>-0.20941882624377117</v>
      </c>
      <c r="AT128" s="24">
        <f t="shared" si="21"/>
        <v>-0.10981147483143605</v>
      </c>
      <c r="AU128" s="24">
        <f t="shared" si="21"/>
        <v>0.20046313523713444</v>
      </c>
      <c r="AV128" s="24">
        <f t="shared" si="21"/>
        <v>-0.80006167389290728</v>
      </c>
      <c r="AW128" s="24">
        <f t="shared" si="21"/>
        <v>9.7515829704064583E-3</v>
      </c>
      <c r="AX128" s="24">
        <f t="shared" si="21"/>
        <v>-0.76338296332067568</v>
      </c>
      <c r="AY128" s="24">
        <f t="shared" si="21"/>
        <v>0.17023184360803345</v>
      </c>
      <c r="AZ128" s="24">
        <f t="shared" si="21"/>
        <v>9.229706862299536E-2</v>
      </c>
      <c r="BA128" s="24">
        <f t="shared" si="21"/>
        <v>2.6087250591816034</v>
      </c>
      <c r="BB128" s="24">
        <f t="shared" si="21"/>
        <v>-0.72503844374710891</v>
      </c>
      <c r="BC128" s="24">
        <f t="shared" si="21"/>
        <v>-0.14598612969867675</v>
      </c>
      <c r="BD128" s="24">
        <f t="shared" si="21"/>
        <v>-0.62569166073673721</v>
      </c>
      <c r="BE128" s="24">
        <f t="shared" si="21"/>
        <v>-9.627356790928121E-2</v>
      </c>
      <c r="BF128" s="24">
        <f t="shared" si="21"/>
        <v>3.8907926071249932E-3</v>
      </c>
      <c r="BG128" s="24">
        <f t="shared" si="21"/>
        <v>-4.0722082986949348E-2</v>
      </c>
      <c r="BH128" s="24">
        <f t="shared" si="21"/>
        <v>1.4945979949643871</v>
      </c>
      <c r="BI128" s="24">
        <f t="shared" si="21"/>
        <v>-0.273027196112825</v>
      </c>
      <c r="BJ128" s="24">
        <f t="shared" si="21"/>
        <v>-0.19709223021696609</v>
      </c>
      <c r="BK128" s="24">
        <f t="shared" si="21"/>
        <v>-0.23591107462993899</v>
      </c>
      <c r="BL128" s="24">
        <f t="shared" si="21"/>
        <v>-0.10433018083679335</v>
      </c>
      <c r="BM128" s="24">
        <f t="shared" si="21"/>
        <v>-0.19311777440552791</v>
      </c>
      <c r="BN128" s="24">
        <f t="shared" si="21"/>
        <v>-0.13660624429660961</v>
      </c>
      <c r="BO128" s="24">
        <f t="shared" si="21"/>
        <v>-0.10634034216515997</v>
      </c>
      <c r="BP128" s="24">
        <f t="shared" si="21"/>
        <v>-0.10558930701766955</v>
      </c>
      <c r="BQ128" s="24">
        <f t="shared" si="19"/>
        <v>-0.50681359022652561</v>
      </c>
      <c r="BR128" s="24">
        <f t="shared" si="19"/>
        <v>-0.43742772376307726</v>
      </c>
      <c r="BS128" s="24">
        <f t="shared" si="19"/>
        <v>2.7805461270873799E-2</v>
      </c>
      <c r="BT128" s="24">
        <f t="shared" si="19"/>
        <v>7.7127902204560561E-2</v>
      </c>
      <c r="BU128" s="24">
        <f t="shared" si="19"/>
        <v>7.7782851782723039E-2</v>
      </c>
      <c r="BV128" s="24">
        <f t="shared" si="19"/>
        <v>0.18858909196451723</v>
      </c>
      <c r="BW128" s="24">
        <f t="shared" si="19"/>
        <v>0.11701843894867725</v>
      </c>
      <c r="BX128" s="24">
        <f t="shared" si="19"/>
        <v>-0.13954638657332752</v>
      </c>
      <c r="BY128" s="24">
        <f t="shared" si="19"/>
        <v>3.6767467519512653E-2</v>
      </c>
      <c r="BZ128" s="24">
        <f t="shared" si="19"/>
        <v>-0.49402491070254007</v>
      </c>
      <c r="CA128" s="24">
        <f t="shared" si="19"/>
        <v>0.48829251692872688</v>
      </c>
      <c r="CB128" s="24">
        <f t="shared" si="19"/>
        <v>0.32258170702835653</v>
      </c>
      <c r="CC128" s="24">
        <f t="shared" si="19"/>
        <v>17.970738102409385</v>
      </c>
      <c r="CD128" s="24">
        <f t="shared" si="19"/>
        <v>-0.41645619380291432</v>
      </c>
      <c r="CE128" s="24">
        <f t="shared" si="19"/>
        <v>3.8833046369616264E-2</v>
      </c>
      <c r="CF128" s="24">
        <f t="shared" si="19"/>
        <v>-0.18687698922281892</v>
      </c>
      <c r="CG128" s="24">
        <f t="shared" si="19"/>
        <v>-3.3782539821101132E-2</v>
      </c>
      <c r="CH128" s="24">
        <f t="shared" si="19"/>
        <v>-3.0193968898838519E-2</v>
      </c>
      <c r="CI128" s="24">
        <f t="shared" si="19"/>
        <v>0.11272941901543199</v>
      </c>
      <c r="CJ128" s="24">
        <f t="shared" si="19"/>
        <v>-0.74620311762786207</v>
      </c>
      <c r="CK128" s="24">
        <f t="shared" si="19"/>
        <v>-0.12966044738713334</v>
      </c>
      <c r="CL128" s="24">
        <f t="shared" si="19"/>
        <v>-0.96678434012555126</v>
      </c>
      <c r="CM128" s="24">
        <f t="shared" si="19"/>
        <v>-0.80257967929300045</v>
      </c>
      <c r="CN128" s="24">
        <f t="shared" si="19"/>
        <v>-0.27134142980395459</v>
      </c>
      <c r="CO128" s="24">
        <f t="shared" si="19"/>
        <v>-0.6400817976267239</v>
      </c>
      <c r="CP128" s="24">
        <f t="shared" si="19"/>
        <v>4.2493300475363247</v>
      </c>
      <c r="CQ128" s="24">
        <f t="shared" si="19"/>
        <v>19.338621649287138</v>
      </c>
      <c r="CR128" s="24">
        <f t="shared" si="19"/>
        <v>0.19805243680130991</v>
      </c>
      <c r="CS128" s="24">
        <f t="shared" si="19"/>
        <v>-0.25536619258814663</v>
      </c>
      <c r="CT128" s="24">
        <f t="shared" si="19"/>
        <v>-6.7421429852065895E-2</v>
      </c>
      <c r="CU128" s="24">
        <f t="shared" si="19"/>
        <v>1.9120517078303756E-3</v>
      </c>
      <c r="CV128" s="24">
        <f t="shared" si="19"/>
        <v>0.3499010655665582</v>
      </c>
      <c r="CW128" s="24">
        <f t="shared" ref="CW128" si="23">+(CW105/CW101)-1</f>
        <v>-2.7656734957842044E-2</v>
      </c>
    </row>
    <row r="129" spans="2:101">
      <c r="B129" s="140"/>
      <c r="C129" t="s">
        <v>2</v>
      </c>
      <c r="D129" s="24">
        <f t="shared" si="13"/>
        <v>-0.17103515991881868</v>
      </c>
      <c r="E129" s="24">
        <f t="shared" si="21"/>
        <v>-3.3698248488870375E-2</v>
      </c>
      <c r="F129" s="24">
        <f t="shared" si="21"/>
        <v>0.5239155807619984</v>
      </c>
      <c r="G129" s="24">
        <f t="shared" si="21"/>
        <v>0.43302827669136068</v>
      </c>
      <c r="H129" s="24">
        <f t="shared" si="21"/>
        <v>-6.5409263394123562E-2</v>
      </c>
      <c r="I129" s="24">
        <f t="shared" si="21"/>
        <v>-0.11315993095341792</v>
      </c>
      <c r="J129" s="24">
        <f t="shared" si="21"/>
        <v>0.2257560407856305</v>
      </c>
      <c r="K129" s="24">
        <f t="shared" si="21"/>
        <v>-0.11838732070371805</v>
      </c>
      <c r="L129" s="24">
        <f t="shared" si="21"/>
        <v>-0.2907303788740474</v>
      </c>
      <c r="M129" s="24">
        <f t="shared" si="21"/>
        <v>1.7938691026733098</v>
      </c>
      <c r="N129" s="24">
        <f t="shared" si="21"/>
        <v>-2.7138788244626122E-3</v>
      </c>
      <c r="O129" s="24">
        <f t="shared" si="21"/>
        <v>7.6196186198306926E-2</v>
      </c>
      <c r="P129" s="24">
        <f t="shared" si="21"/>
        <v>-0.20820003583618762</v>
      </c>
      <c r="Q129" s="24">
        <f t="shared" si="21"/>
        <v>0.16196727513388787</v>
      </c>
      <c r="R129" s="24">
        <f t="shared" si="21"/>
        <v>-0.42073833261421301</v>
      </c>
      <c r="S129" s="24">
        <f t="shared" si="21"/>
        <v>0.23794586504959647</v>
      </c>
      <c r="T129" s="24">
        <f t="shared" si="21"/>
        <v>7.5165558412203515E-2</v>
      </c>
      <c r="U129" s="24">
        <f t="shared" si="21"/>
        <v>-6.2122095224325102E-3</v>
      </c>
      <c r="V129" s="24">
        <f t="shared" si="21"/>
        <v>0.2732906714211234</v>
      </c>
      <c r="W129" s="24">
        <f t="shared" si="21"/>
        <v>0.15666620598401448</v>
      </c>
      <c r="X129" s="24">
        <f t="shared" si="21"/>
        <v>3.3278374358026053E-2</v>
      </c>
      <c r="Y129" s="24">
        <f t="shared" si="21"/>
        <v>0.1239342558061074</v>
      </c>
      <c r="Z129" s="24">
        <f t="shared" si="21"/>
        <v>0.13492921819738002</v>
      </c>
      <c r="AA129" s="24">
        <f t="shared" si="21"/>
        <v>1.387690887705495E-2</v>
      </c>
      <c r="AB129" s="24">
        <f t="shared" si="21"/>
        <v>0.32164922615732006</v>
      </c>
      <c r="AC129" s="24">
        <f t="shared" si="21"/>
        <v>2.9318781015038402</v>
      </c>
      <c r="AD129" s="24">
        <f t="shared" si="21"/>
        <v>-0.33547035486310051</v>
      </c>
      <c r="AE129" s="24">
        <f t="shared" si="21"/>
        <v>-0.18076092514909126</v>
      </c>
      <c r="AF129" s="24">
        <f t="shared" si="21"/>
        <v>2.6837467454301933E-2</v>
      </c>
      <c r="AG129" s="24">
        <f t="shared" si="21"/>
        <v>0.10531294056529972</v>
      </c>
      <c r="AH129" s="24">
        <f t="shared" si="21"/>
        <v>-9.6045897199589669E-2</v>
      </c>
      <c r="AI129" s="24">
        <f t="shared" si="21"/>
        <v>6.1622872102982784E-2</v>
      </c>
      <c r="AJ129" s="24">
        <f t="shared" si="21"/>
        <v>0.16551554131428547</v>
      </c>
      <c r="AK129" s="24">
        <f t="shared" si="21"/>
        <v>7.4142485987582329E-2</v>
      </c>
      <c r="AL129" s="24">
        <f t="shared" si="21"/>
        <v>0.15593631625153948</v>
      </c>
      <c r="AM129" s="24">
        <f t="shared" si="21"/>
        <v>-1</v>
      </c>
      <c r="AN129" s="24">
        <f t="shared" si="21"/>
        <v>0.21909226440861018</v>
      </c>
      <c r="AO129" s="24">
        <f t="shared" si="21"/>
        <v>0.10448553424192819</v>
      </c>
      <c r="AP129" s="24">
        <f t="shared" si="21"/>
        <v>-0.20763340268047192</v>
      </c>
      <c r="AQ129" s="24">
        <f t="shared" si="21"/>
        <v>9.2034288877891779E-2</v>
      </c>
      <c r="AR129" s="24">
        <f t="shared" si="21"/>
        <v>-0.30025092223720362</v>
      </c>
      <c r="AS129" s="24">
        <f t="shared" si="21"/>
        <v>-2.3690385180903495E-2</v>
      </c>
      <c r="AT129" s="24">
        <f t="shared" si="21"/>
        <v>-0.21712153807920143</v>
      </c>
      <c r="AU129" s="24">
        <f t="shared" si="21"/>
        <v>8.1186491808217909E-2</v>
      </c>
      <c r="AV129" s="24">
        <f t="shared" si="21"/>
        <v>0.49853712475531564</v>
      </c>
      <c r="AW129" s="24">
        <f t="shared" si="21"/>
        <v>2.5000379282970497E-2</v>
      </c>
      <c r="AX129" s="24">
        <f t="shared" si="21"/>
        <v>2.6466203493447082E-4</v>
      </c>
      <c r="AY129" s="24">
        <f t="shared" si="21"/>
        <v>9.3377083700538321E-2</v>
      </c>
      <c r="AZ129" s="24">
        <f t="shared" si="21"/>
        <v>0.25337077851206891</v>
      </c>
      <c r="BA129" s="24" t="e">
        <f t="shared" si="21"/>
        <v>#DIV/0!</v>
      </c>
      <c r="BB129" s="24">
        <f t="shared" si="21"/>
        <v>-0.87791280452325116</v>
      </c>
      <c r="BC129" s="24">
        <f t="shared" si="21"/>
        <v>-0.15749094224697191</v>
      </c>
      <c r="BD129" s="24">
        <f t="shared" si="21"/>
        <v>0.31907449243991204</v>
      </c>
      <c r="BE129" s="24">
        <f t="shared" si="21"/>
        <v>-8.6421007114757975E-2</v>
      </c>
      <c r="BF129" s="24">
        <f t="shared" si="21"/>
        <v>1.7171142345318025E-4</v>
      </c>
      <c r="BG129" s="24">
        <f t="shared" si="21"/>
        <v>6.7188307588897267E-2</v>
      </c>
      <c r="BH129" s="24">
        <f t="shared" si="21"/>
        <v>-0.29561696057410958</v>
      </c>
      <c r="BI129" s="24">
        <f t="shared" si="21"/>
        <v>-0.25239274798990041</v>
      </c>
      <c r="BJ129" s="24">
        <f t="shared" si="21"/>
        <v>-0.24956111083672394</v>
      </c>
      <c r="BK129" s="24">
        <f t="shared" si="21"/>
        <v>-6.7939456612802318E-2</v>
      </c>
      <c r="BL129" s="24">
        <f t="shared" si="21"/>
        <v>-2.8505012554321141E-2</v>
      </c>
      <c r="BM129" s="24">
        <f t="shared" si="21"/>
        <v>-0.17836711646802483</v>
      </c>
      <c r="BN129" s="24">
        <f t="shared" si="21"/>
        <v>7.3805127155110117E-2</v>
      </c>
      <c r="BO129" s="24">
        <f t="shared" si="21"/>
        <v>7.3324459711266332E-2</v>
      </c>
      <c r="BP129" s="24">
        <f t="shared" si="21"/>
        <v>0.12671458203960406</v>
      </c>
      <c r="BQ129" s="24">
        <f t="shared" si="19"/>
        <v>-0.3594585900934647</v>
      </c>
      <c r="BR129" s="24">
        <f t="shared" si="19"/>
        <v>0.15956406664054024</v>
      </c>
      <c r="BS129" s="24">
        <f t="shared" si="19"/>
        <v>0.15465215429254742</v>
      </c>
      <c r="BT129" s="24">
        <f t="shared" si="19"/>
        <v>6.5847181152651757E-2</v>
      </c>
      <c r="BU129" s="24">
        <f t="shared" si="19"/>
        <v>0.14989477155149444</v>
      </c>
      <c r="BV129" s="24">
        <f t="shared" si="19"/>
        <v>0.20451886985964851</v>
      </c>
      <c r="BW129" s="24">
        <f t="shared" si="19"/>
        <v>-0.45203767298228259</v>
      </c>
      <c r="BX129" s="24">
        <f t="shared" si="19"/>
        <v>-0.20135279956178376</v>
      </c>
      <c r="BY129" s="24">
        <f t="shared" si="19"/>
        <v>-0.27912878767551041</v>
      </c>
      <c r="BZ129" s="24">
        <f t="shared" si="19"/>
        <v>-0.38168471606286736</v>
      </c>
      <c r="CA129" s="24">
        <f t="shared" si="19"/>
        <v>0.29779967687807019</v>
      </c>
      <c r="CB129" s="24">
        <f t="shared" si="19"/>
        <v>1.8646116403073028</v>
      </c>
      <c r="CC129" s="24">
        <f t="shared" si="19"/>
        <v>54.452349671551303</v>
      </c>
      <c r="CD129" s="24">
        <f t="shared" si="19"/>
        <v>-0.87663883456817815</v>
      </c>
      <c r="CE129" s="24">
        <f t="shared" si="19"/>
        <v>-0.3434921539839414</v>
      </c>
      <c r="CF129" s="24">
        <f t="shared" si="19"/>
        <v>-8.7076113258820476E-3</v>
      </c>
      <c r="CG129" s="24">
        <f t="shared" si="19"/>
        <v>-4.7205053845556733E-2</v>
      </c>
      <c r="CH129" s="24">
        <f t="shared" si="19"/>
        <v>9.5377404259136433E-2</v>
      </c>
      <c r="CI129" s="24">
        <f t="shared" si="19"/>
        <v>0.19349517295145247</v>
      </c>
      <c r="CJ129" s="24">
        <f t="shared" si="19"/>
        <v>-0.92851009702960419</v>
      </c>
      <c r="CK129" s="24">
        <f t="shared" si="19"/>
        <v>0.96764565657100809</v>
      </c>
      <c r="CL129" s="24">
        <f t="shared" si="19"/>
        <v>3.535640093624548E-2</v>
      </c>
      <c r="CM129" s="24">
        <f t="shared" si="19"/>
        <v>-0.56522626733750336</v>
      </c>
      <c r="CN129" s="24">
        <f t="shared" si="19"/>
        <v>-1.212409774887635E-2</v>
      </c>
      <c r="CO129" s="24">
        <f t="shared" si="19"/>
        <v>-0.6693123535200316</v>
      </c>
      <c r="CP129" s="24">
        <f t="shared" si="19"/>
        <v>68.040730441034952</v>
      </c>
      <c r="CQ129" s="24">
        <f t="shared" si="19"/>
        <v>-0.50659709221355553</v>
      </c>
      <c r="CR129" s="24">
        <f t="shared" si="19"/>
        <v>3.0749157688794826E-2</v>
      </c>
      <c r="CS129" s="24">
        <f t="shared" si="19"/>
        <v>-0.13721947100284682</v>
      </c>
      <c r="CT129" s="24">
        <f t="shared" si="19"/>
        <v>-0.11682265519858925</v>
      </c>
      <c r="CU129" s="24">
        <f t="shared" si="19"/>
        <v>-0.68301682542470488</v>
      </c>
      <c r="CV129" s="24">
        <f t="shared" si="19"/>
        <v>0.16288673389383157</v>
      </c>
      <c r="CW129" s="24">
        <f t="shared" ref="CW129" si="24">+(CW106/CW102)-1</f>
        <v>-0.21523873553950457</v>
      </c>
    </row>
    <row r="130" spans="2:101">
      <c r="B130" s="140"/>
      <c r="C130" t="s">
        <v>3</v>
      </c>
      <c r="D130" s="24">
        <f t="shared" si="13"/>
        <v>-0.19928249774776852</v>
      </c>
      <c r="E130" s="24">
        <f t="shared" si="21"/>
        <v>-0.72958905388236994</v>
      </c>
      <c r="F130" s="24">
        <f t="shared" si="21"/>
        <v>2.1392667178111724E-2</v>
      </c>
      <c r="G130" s="24">
        <f t="shared" si="21"/>
        <v>-0.2207845749871804</v>
      </c>
      <c r="H130" s="24">
        <f t="shared" si="21"/>
        <v>-3.9880396979690258E-2</v>
      </c>
      <c r="I130" s="24">
        <f t="shared" si="21"/>
        <v>0.17716736853906756</v>
      </c>
      <c r="J130" s="24">
        <f t="shared" si="21"/>
        <v>0.41641138772625585</v>
      </c>
      <c r="K130" s="24">
        <f t="shared" si="21"/>
        <v>-0.16763046423582662</v>
      </c>
      <c r="L130" s="24">
        <f t="shared" si="21"/>
        <v>-0.34849359808669433</v>
      </c>
      <c r="M130" s="24">
        <f t="shared" si="21"/>
        <v>3.305242380167507</v>
      </c>
      <c r="N130" s="24">
        <f t="shared" si="21"/>
        <v>0.18706390742240409</v>
      </c>
      <c r="O130" s="24">
        <f t="shared" si="21"/>
        <v>-7.3842605580493603E-2</v>
      </c>
      <c r="P130" s="24">
        <f t="shared" si="21"/>
        <v>0.78237425410362937</v>
      </c>
      <c r="Q130" s="24">
        <f t="shared" si="21"/>
        <v>0.68062373114309094</v>
      </c>
      <c r="R130" s="24">
        <f t="shared" si="21"/>
        <v>-0.31106615279726424</v>
      </c>
      <c r="S130" s="24">
        <f t="shared" si="21"/>
        <v>-0.28148232676304041</v>
      </c>
      <c r="T130" s="24">
        <f t="shared" si="21"/>
        <v>0.37507606934528948</v>
      </c>
      <c r="U130" s="24">
        <f t="shared" si="21"/>
        <v>5.7825205222524323E-2</v>
      </c>
      <c r="V130" s="24">
        <f t="shared" si="21"/>
        <v>0.17490296649539938</v>
      </c>
      <c r="W130" s="24">
        <f t="shared" si="21"/>
        <v>0.2981465031004622</v>
      </c>
      <c r="X130" s="24">
        <f t="shared" si="21"/>
        <v>-7.9598385237916736E-2</v>
      </c>
      <c r="Y130" s="24">
        <f t="shared" si="21"/>
        <v>1.2972973087579165E-2</v>
      </c>
      <c r="Z130" s="24">
        <f t="shared" si="21"/>
        <v>-0.16627155071554023</v>
      </c>
      <c r="AA130" s="24">
        <f t="shared" si="21"/>
        <v>-0.64258519749426846</v>
      </c>
      <c r="AB130" s="24">
        <f t="shared" si="21"/>
        <v>0.25151392617003676</v>
      </c>
      <c r="AC130" s="24">
        <f t="shared" si="21"/>
        <v>0.76847042835354573</v>
      </c>
      <c r="AD130" s="24">
        <f t="shared" si="21"/>
        <v>-0.26670934403099866</v>
      </c>
      <c r="AE130" s="24">
        <f t="shared" si="21"/>
        <v>-0.32837510861072261</v>
      </c>
      <c r="AF130" s="24">
        <f t="shared" si="21"/>
        <v>-8.6531697189535683E-2</v>
      </c>
      <c r="AG130" s="24">
        <f t="shared" si="21"/>
        <v>2.7215217123717217E-2</v>
      </c>
      <c r="AH130" s="24">
        <f t="shared" si="21"/>
        <v>-0.63848080303425869</v>
      </c>
      <c r="AI130" s="24">
        <f t="shared" si="21"/>
        <v>2.91047508988731E-2</v>
      </c>
      <c r="AJ130" s="24">
        <f t="shared" si="21"/>
        <v>5.6432261192499444E-2</v>
      </c>
      <c r="AK130" s="24">
        <f t="shared" si="21"/>
        <v>-2.6465270564664634E-2</v>
      </c>
      <c r="AL130" s="24">
        <f t="shared" si="21"/>
        <v>5.5765107088820098E-2</v>
      </c>
      <c r="AM130" s="24">
        <f t="shared" si="21"/>
        <v>9.3983297219264195</v>
      </c>
      <c r="AN130" s="24">
        <f t="shared" si="21"/>
        <v>-0.65252858840449013</v>
      </c>
      <c r="AO130" s="24">
        <f t="shared" si="21"/>
        <v>-6.2022190515645725E-2</v>
      </c>
      <c r="AP130" s="24">
        <f t="shared" si="21"/>
        <v>-0.33851743420763247</v>
      </c>
      <c r="AQ130" s="24">
        <f t="shared" si="21"/>
        <v>-0.31298335965028801</v>
      </c>
      <c r="AR130" s="24">
        <f t="shared" si="21"/>
        <v>-0.2600841735632633</v>
      </c>
      <c r="AS130" s="24">
        <f t="shared" si="21"/>
        <v>3.0468816566748824E-3</v>
      </c>
      <c r="AT130" s="24">
        <f t="shared" si="21"/>
        <v>-2.2351935229922959E-2</v>
      </c>
      <c r="AU130" s="24">
        <f t="shared" si="21"/>
        <v>-1.8995566534935171E-2</v>
      </c>
      <c r="AV130" s="24">
        <f t="shared" si="21"/>
        <v>0.44473667179291154</v>
      </c>
      <c r="AW130" s="24">
        <f t="shared" si="21"/>
        <v>0.42092276680637464</v>
      </c>
      <c r="AX130" s="24">
        <f t="shared" si="21"/>
        <v>-0.70737273051372118</v>
      </c>
      <c r="AY130" s="24">
        <f t="shared" si="21"/>
        <v>-4.6548680018307587E-2</v>
      </c>
      <c r="AZ130" s="24">
        <f t="shared" si="21"/>
        <v>0.17880626817295386</v>
      </c>
      <c r="BA130" s="24" t="e">
        <f t="shared" si="21"/>
        <v>#DIV/0!</v>
      </c>
      <c r="BB130" s="24">
        <f t="shared" si="21"/>
        <v>1.3638192810005076</v>
      </c>
      <c r="BC130" s="24">
        <f t="shared" si="21"/>
        <v>-0.26128009992067835</v>
      </c>
      <c r="BD130" s="24">
        <f t="shared" si="21"/>
        <v>1.0922902306511606</v>
      </c>
      <c r="BE130" s="24">
        <f t="shared" si="21"/>
        <v>-9.5199491342423559E-2</v>
      </c>
      <c r="BF130" s="24">
        <f t="shared" si="21"/>
        <v>7.481302739392226E-2</v>
      </c>
      <c r="BG130" s="24">
        <f t="shared" si="21"/>
        <v>-4.1340112686358177E-2</v>
      </c>
      <c r="BH130" s="24">
        <f t="shared" si="21"/>
        <v>-0.46282980918223482</v>
      </c>
      <c r="BI130" s="24">
        <f t="shared" si="21"/>
        <v>-0.26756905938382736</v>
      </c>
      <c r="BJ130" s="24">
        <f t="shared" si="21"/>
        <v>-0.2616313517340465</v>
      </c>
      <c r="BK130" s="24">
        <f t="shared" si="21"/>
        <v>-7.3405886855194002E-2</v>
      </c>
      <c r="BL130" s="24">
        <f t="shared" si="21"/>
        <v>7.1726126042204186E-3</v>
      </c>
      <c r="BM130" s="24">
        <f t="shared" si="21"/>
        <v>-0.15421054317958838</v>
      </c>
      <c r="BN130" s="24">
        <f t="shared" si="21"/>
        <v>-9.1387061876984532E-2</v>
      </c>
      <c r="BO130" s="24">
        <f t="shared" si="21"/>
        <v>-4.3049257103169647E-2</v>
      </c>
      <c r="BP130" s="24">
        <f t="shared" ref="BP130:CV133" si="25">+(BP107/BP103)-1</f>
        <v>7.3913557356077852E-2</v>
      </c>
      <c r="BQ130" s="24">
        <f t="shared" si="25"/>
        <v>-2.3554958309229268E-2</v>
      </c>
      <c r="BR130" s="24">
        <f t="shared" si="25"/>
        <v>-0.43836282861912423</v>
      </c>
      <c r="BS130" s="24">
        <f t="shared" si="25"/>
        <v>0.29640161795326203</v>
      </c>
      <c r="BT130" s="24">
        <f t="shared" si="25"/>
        <v>3.8278117386697508E-2</v>
      </c>
      <c r="BU130" s="24">
        <f t="shared" si="25"/>
        <v>-2.9853861976264495E-2</v>
      </c>
      <c r="BV130" s="24">
        <f t="shared" si="25"/>
        <v>0.13937493987791427</v>
      </c>
      <c r="BW130" s="24">
        <f t="shared" si="25"/>
        <v>-0.38383186206465081</v>
      </c>
      <c r="BX130" s="24">
        <f t="shared" si="25"/>
        <v>-0.1148495035400392</v>
      </c>
      <c r="BY130" s="24">
        <f t="shared" si="25"/>
        <v>-3.3493650043985301E-2</v>
      </c>
      <c r="BZ130" s="24">
        <f t="shared" si="25"/>
        <v>0.15374409139377954</v>
      </c>
      <c r="CA130" s="24">
        <f t="shared" si="25"/>
        <v>1.177142710431589E-2</v>
      </c>
      <c r="CB130" s="24">
        <f t="shared" si="25"/>
        <v>3.8069513502334518</v>
      </c>
      <c r="CC130" s="24">
        <f t="shared" si="25"/>
        <v>4.3832542894578541</v>
      </c>
      <c r="CD130" s="24">
        <f t="shared" si="25"/>
        <v>-0.66885549083513396</v>
      </c>
      <c r="CE130" s="24">
        <f t="shared" si="25"/>
        <v>-0.10436000368601894</v>
      </c>
      <c r="CF130" s="24">
        <f t="shared" si="25"/>
        <v>-1.4190096496880411E-2</v>
      </c>
      <c r="CG130" s="24">
        <f t="shared" si="25"/>
        <v>-6.1501997243992301E-3</v>
      </c>
      <c r="CH130" s="24">
        <f t="shared" si="25"/>
        <v>0.11346868097287799</v>
      </c>
      <c r="CI130" s="24">
        <f t="shared" si="25"/>
        <v>0.19878668957037848</v>
      </c>
      <c r="CJ130" s="24">
        <f t="shared" si="25"/>
        <v>-0.61451283651788891</v>
      </c>
      <c r="CK130" s="24">
        <f t="shared" si="25"/>
        <v>0.39873135703538765</v>
      </c>
      <c r="CL130" s="24">
        <f t="shared" si="25"/>
        <v>-0.58166604107830544</v>
      </c>
      <c r="CM130" s="24">
        <f t="shared" si="25"/>
        <v>-0.28364227359609506</v>
      </c>
      <c r="CN130" s="24">
        <f t="shared" si="25"/>
        <v>-0.10716768320361392</v>
      </c>
      <c r="CO130" s="24">
        <f t="shared" si="25"/>
        <v>1.1923497990171414</v>
      </c>
      <c r="CP130" s="24">
        <f t="shared" si="25"/>
        <v>-0.88403036103351185</v>
      </c>
      <c r="CQ130" s="24">
        <f t="shared" si="25"/>
        <v>2.1782475796860452</v>
      </c>
      <c r="CR130" s="24">
        <f t="shared" si="25"/>
        <v>5.8758739307920749E-2</v>
      </c>
      <c r="CS130" s="24">
        <f t="shared" si="25"/>
        <v>-5.8610979960036058E-2</v>
      </c>
      <c r="CT130" s="24">
        <f t="shared" si="25"/>
        <v>-0.11718814987995518</v>
      </c>
      <c r="CU130" s="24">
        <f t="shared" si="25"/>
        <v>-0.49017681243869748</v>
      </c>
      <c r="CV130" s="24">
        <f t="shared" si="25"/>
        <v>5.9284632342544441E-2</v>
      </c>
      <c r="CW130" s="24">
        <f t="shared" ref="CW130" si="26">+(CW107/CW103)-1</f>
        <v>-0.18580292010429222</v>
      </c>
    </row>
    <row r="131" spans="2:101">
      <c r="B131" s="140"/>
      <c r="C131" t="s">
        <v>4</v>
      </c>
      <c r="D131" s="24">
        <f t="shared" si="13"/>
        <v>0.13530538222314026</v>
      </c>
      <c r="E131" s="24">
        <f t="shared" ref="E131:BP134" si="27">+(E108/E104)-1</f>
        <v>-0.44115594247906809</v>
      </c>
      <c r="F131" s="24">
        <f t="shared" si="27"/>
        <v>-0.2246853763008253</v>
      </c>
      <c r="G131" s="24">
        <f t="shared" si="27"/>
        <v>-0.21792190704492387</v>
      </c>
      <c r="H131" s="24">
        <f t="shared" si="27"/>
        <v>-2.8565474944459157E-2</v>
      </c>
      <c r="I131" s="24">
        <f t="shared" si="27"/>
        <v>0.12570259464247657</v>
      </c>
      <c r="J131" s="24">
        <f t="shared" si="27"/>
        <v>0.25329277614245815</v>
      </c>
      <c r="K131" s="24">
        <f t="shared" si="27"/>
        <v>0.11329840110652212</v>
      </c>
      <c r="L131" s="24">
        <f t="shared" si="27"/>
        <v>-0.2270234818569753</v>
      </c>
      <c r="M131" s="24">
        <f t="shared" si="27"/>
        <v>-6.4806488945188256E-3</v>
      </c>
      <c r="N131" s="24">
        <f t="shared" si="27"/>
        <v>0.11768738112844912</v>
      </c>
      <c r="O131" s="24">
        <f t="shared" si="27"/>
        <v>0.22089464247533308</v>
      </c>
      <c r="P131" s="24">
        <f t="shared" si="27"/>
        <v>-0.39955711807258809</v>
      </c>
      <c r="Q131" s="24">
        <f t="shared" si="27"/>
        <v>0.40910356001789339</v>
      </c>
      <c r="R131" s="24">
        <f t="shared" si="27"/>
        <v>0.12304066486696974</v>
      </c>
      <c r="S131" s="24">
        <f t="shared" si="27"/>
        <v>-0.1949903480471703</v>
      </c>
      <c r="T131" s="24">
        <f t="shared" si="27"/>
        <v>6.9772249222359806E-2</v>
      </c>
      <c r="U131" s="24">
        <f t="shared" si="27"/>
        <v>-9.6988411070314529E-3</v>
      </c>
      <c r="V131" s="24">
        <f t="shared" si="27"/>
        <v>-5.221092103587277E-2</v>
      </c>
      <c r="W131" s="24">
        <f t="shared" si="27"/>
        <v>0.37250251769350506</v>
      </c>
      <c r="X131" s="24">
        <f t="shared" si="27"/>
        <v>-0.17583732717572553</v>
      </c>
      <c r="Y131" s="24">
        <f t="shared" si="27"/>
        <v>0.15833725014681033</v>
      </c>
      <c r="Z131" s="24">
        <f t="shared" si="27"/>
        <v>0.14220236006553622</v>
      </c>
      <c r="AA131" s="24">
        <f t="shared" si="27"/>
        <v>0.46187658922312336</v>
      </c>
      <c r="AB131" s="24">
        <f t="shared" si="27"/>
        <v>4.0465345360905181E-2</v>
      </c>
      <c r="AC131" s="24">
        <f t="shared" si="27"/>
        <v>-0.11579998174851036</v>
      </c>
      <c r="AD131" s="24">
        <f t="shared" si="27"/>
        <v>-7.4982602387532959E-2</v>
      </c>
      <c r="AE131" s="24">
        <f t="shared" si="27"/>
        <v>-0.19237966237719961</v>
      </c>
      <c r="AF131" s="24">
        <f t="shared" si="27"/>
        <v>0.10071780860075608</v>
      </c>
      <c r="AG131" s="24">
        <f t="shared" si="27"/>
        <v>8.0649255827176969E-2</v>
      </c>
      <c r="AH131" s="24">
        <f t="shared" si="27"/>
        <v>-0.21240120731275136</v>
      </c>
      <c r="AI131" s="24">
        <f t="shared" si="27"/>
        <v>-0.12501019210321063</v>
      </c>
      <c r="AJ131" s="24">
        <f t="shared" si="27"/>
        <v>0.20549982889020924</v>
      </c>
      <c r="AK131" s="24">
        <f t="shared" si="27"/>
        <v>-0.11486985001608474</v>
      </c>
      <c r="AL131" s="24">
        <f t="shared" si="27"/>
        <v>-0.16702517250552429</v>
      </c>
      <c r="AM131" s="24">
        <f t="shared" si="27"/>
        <v>-0.96012646861397666</v>
      </c>
      <c r="AN131" s="24">
        <f t="shared" si="27"/>
        <v>-0.69453764730097833</v>
      </c>
      <c r="AO131" s="24">
        <f t="shared" si="27"/>
        <v>-4.5114845549483751E-2</v>
      </c>
      <c r="AP131" s="24">
        <f t="shared" si="27"/>
        <v>4.1363060837725119E-2</v>
      </c>
      <c r="AQ131" s="24">
        <f t="shared" si="27"/>
        <v>-0.21781414564429835</v>
      </c>
      <c r="AR131" s="24">
        <f t="shared" si="27"/>
        <v>-9.0676409949867476E-2</v>
      </c>
      <c r="AS131" s="24">
        <f t="shared" si="27"/>
        <v>0.21405374695893831</v>
      </c>
      <c r="AT131" s="24">
        <f t="shared" si="27"/>
        <v>-3.0453577841349611E-2</v>
      </c>
      <c r="AU131" s="24">
        <f t="shared" si="27"/>
        <v>-0.10634911760319132</v>
      </c>
      <c r="AV131" s="24">
        <f t="shared" si="27"/>
        <v>1.3949923963336914</v>
      </c>
      <c r="AW131" s="24">
        <f t="shared" si="27"/>
        <v>0.15715307831535941</v>
      </c>
      <c r="AX131" s="24">
        <f t="shared" si="27"/>
        <v>0.55210155328389487</v>
      </c>
      <c r="AY131" s="24">
        <f t="shared" si="27"/>
        <v>-6.6440009403864408E-2</v>
      </c>
      <c r="AZ131" s="24">
        <f t="shared" si="27"/>
        <v>-4.6155649926626796E-2</v>
      </c>
      <c r="BA131" s="24">
        <f t="shared" si="27"/>
        <v>4.2205000000000004</v>
      </c>
      <c r="BB131" s="24">
        <f t="shared" si="27"/>
        <v>39.464829349506481</v>
      </c>
      <c r="BC131" s="24">
        <f t="shared" si="27"/>
        <v>-0.30716198466281641</v>
      </c>
      <c r="BD131" s="24">
        <f t="shared" si="27"/>
        <v>0.340122499929981</v>
      </c>
      <c r="BE131" s="24">
        <f t="shared" si="27"/>
        <v>3.7118621262019147E-2</v>
      </c>
      <c r="BF131" s="24">
        <f t="shared" si="27"/>
        <v>-0.37751556523417384</v>
      </c>
      <c r="BG131" s="24">
        <f t="shared" si="27"/>
        <v>3.0823189250900329E-2</v>
      </c>
      <c r="BH131" s="24">
        <f t="shared" si="27"/>
        <v>2.0885175484216427</v>
      </c>
      <c r="BI131" s="24">
        <f t="shared" si="27"/>
        <v>-0.13538831218019631</v>
      </c>
      <c r="BJ131" s="24">
        <f t="shared" si="27"/>
        <v>-0.13616559633581682</v>
      </c>
      <c r="BK131" s="24">
        <f t="shared" si="27"/>
        <v>-0.11065579201856413</v>
      </c>
      <c r="BL131" s="24">
        <f t="shared" si="27"/>
        <v>-0.16095462857682596</v>
      </c>
      <c r="BM131" s="24">
        <f t="shared" si="27"/>
        <v>-0.1120252232009612</v>
      </c>
      <c r="BN131" s="24">
        <f t="shared" si="27"/>
        <v>0.12363391445728822</v>
      </c>
      <c r="BO131" s="24">
        <f t="shared" si="27"/>
        <v>1.8171869998647061E-2</v>
      </c>
      <c r="BP131" s="24">
        <f t="shared" si="27"/>
        <v>0.21341912093300275</v>
      </c>
      <c r="BQ131" s="24">
        <f t="shared" si="25"/>
        <v>1.5292087561213745</v>
      </c>
      <c r="BR131" s="24">
        <f t="shared" si="25"/>
        <v>0.25971555773629573</v>
      </c>
      <c r="BS131" s="24">
        <f t="shared" si="25"/>
        <v>0.10054707903154836</v>
      </c>
      <c r="BT131" s="24">
        <f t="shared" si="25"/>
        <v>7.089561673806033E-2</v>
      </c>
      <c r="BU131" s="24">
        <f t="shared" si="25"/>
        <v>0.12247189618445264</v>
      </c>
      <c r="BV131" s="24">
        <f t="shared" si="25"/>
        <v>8.6260062375923763E-2</v>
      </c>
      <c r="BW131" s="24">
        <f t="shared" si="25"/>
        <v>-0.28434287370343614</v>
      </c>
      <c r="BX131" s="24">
        <f t="shared" si="25"/>
        <v>-0.17462390757317425</v>
      </c>
      <c r="BY131" s="24">
        <f t="shared" si="25"/>
        <v>-0.20509886828367441</v>
      </c>
      <c r="BZ131" s="24">
        <f t="shared" si="25"/>
        <v>1.8490346379703433</v>
      </c>
      <c r="CA131" s="24">
        <f t="shared" si="25"/>
        <v>-0.1243421443320285</v>
      </c>
      <c r="CB131" s="24">
        <f t="shared" si="25"/>
        <v>25.849849645871224</v>
      </c>
      <c r="CC131" s="24">
        <f t="shared" si="25"/>
        <v>-0.97107410867836474</v>
      </c>
      <c r="CD131" s="24">
        <f t="shared" si="25"/>
        <v>6.5602420027871533E-2</v>
      </c>
      <c r="CE131" s="24">
        <f t="shared" si="25"/>
        <v>0.91506488118505946</v>
      </c>
      <c r="CF131" s="24">
        <f t="shared" si="25"/>
        <v>6.7755607904232518E-2</v>
      </c>
      <c r="CG131" s="24">
        <f t="shared" si="25"/>
        <v>2.6002654085253596E-2</v>
      </c>
      <c r="CH131" s="24">
        <f t="shared" si="25"/>
        <v>0.29261780738780852</v>
      </c>
      <c r="CI131" s="24">
        <f t="shared" si="25"/>
        <v>0.29013629991838408</v>
      </c>
      <c r="CJ131" s="24">
        <f t="shared" si="25"/>
        <v>-0.4608871950396034</v>
      </c>
      <c r="CK131" s="24">
        <f t="shared" si="25"/>
        <v>2.1979579636091096E-3</v>
      </c>
      <c r="CL131" s="24">
        <f t="shared" si="25"/>
        <v>0.65725549550899776</v>
      </c>
      <c r="CM131" s="24">
        <f t="shared" si="25"/>
        <v>-0.49807840206170739</v>
      </c>
      <c r="CN131" s="24">
        <f t="shared" si="25"/>
        <v>-0.14859476186818488</v>
      </c>
      <c r="CO131" s="24">
        <f t="shared" si="25"/>
        <v>-0.7877153297570455</v>
      </c>
      <c r="CP131" s="24">
        <f t="shared" si="25"/>
        <v>-0.39886953306640227</v>
      </c>
      <c r="CQ131" s="24">
        <f t="shared" si="25"/>
        <v>-0.57171243394747939</v>
      </c>
      <c r="CR131" s="24">
        <f t="shared" si="25"/>
        <v>-8.5881205316982179E-2</v>
      </c>
      <c r="CS131" s="24">
        <f t="shared" si="25"/>
        <v>-4.4568914795921621E-3</v>
      </c>
      <c r="CT131" s="24">
        <f t="shared" si="25"/>
        <v>-0.16549108859411898</v>
      </c>
      <c r="CU131" s="24">
        <f t="shared" si="25"/>
        <v>-0.359082274362994</v>
      </c>
      <c r="CV131" s="24">
        <f t="shared" si="25"/>
        <v>6.6346929398118926E-2</v>
      </c>
      <c r="CW131" s="24">
        <f t="shared" ref="CW131" si="28">+(CW108/CW104)-1</f>
        <v>-4.6431653710648946E-2</v>
      </c>
    </row>
    <row r="132" spans="2:101">
      <c r="B132" s="140">
        <v>2024</v>
      </c>
      <c r="C132" t="s">
        <v>1</v>
      </c>
      <c r="D132" s="24">
        <f t="shared" si="13"/>
        <v>0.48068085509148895</v>
      </c>
      <c r="E132" s="24">
        <f t="shared" si="27"/>
        <v>-0.45443356168347426</v>
      </c>
      <c r="F132" s="24">
        <f t="shared" si="27"/>
        <v>0.23760158536010234</v>
      </c>
      <c r="G132" s="24">
        <f t="shared" si="27"/>
        <v>0.75693993179376728</v>
      </c>
      <c r="H132" s="24">
        <f t="shared" si="27"/>
        <v>-0.13422691999338976</v>
      </c>
      <c r="I132" s="24">
        <f t="shared" si="27"/>
        <v>7.7883392159712406E-2</v>
      </c>
      <c r="J132" s="24">
        <f t="shared" si="27"/>
        <v>0.20055198104237837</v>
      </c>
      <c r="K132" s="24">
        <f t="shared" si="27"/>
        <v>0.61547671090701495</v>
      </c>
      <c r="L132" s="24">
        <f t="shared" si="27"/>
        <v>-9.4264971524836039E-2</v>
      </c>
      <c r="M132" s="24">
        <f t="shared" si="27"/>
        <v>1.5179036231135097</v>
      </c>
      <c r="N132" s="24">
        <f t="shared" si="27"/>
        <v>0.11236885992526346</v>
      </c>
      <c r="O132" s="24">
        <f t="shared" si="27"/>
        <v>0.30891552673348865</v>
      </c>
      <c r="P132" s="24">
        <f t="shared" si="27"/>
        <v>0.33121031891437469</v>
      </c>
      <c r="Q132" s="24">
        <f t="shared" si="27"/>
        <v>0.50694876793294918</v>
      </c>
      <c r="R132" s="24">
        <f t="shared" si="27"/>
        <v>-0.25376549860077491</v>
      </c>
      <c r="S132" s="24">
        <f t="shared" si="27"/>
        <v>-0.49761043664926186</v>
      </c>
      <c r="T132" s="24">
        <f t="shared" si="27"/>
        <v>8.4557801525051213E-2</v>
      </c>
      <c r="U132" s="24">
        <f t="shared" si="27"/>
        <v>0.93079283250810851</v>
      </c>
      <c r="V132" s="24">
        <f t="shared" si="27"/>
        <v>-0.1352455984355303</v>
      </c>
      <c r="W132" s="24">
        <f t="shared" si="27"/>
        <v>0.28670804228544533</v>
      </c>
      <c r="X132" s="24">
        <f t="shared" si="27"/>
        <v>-0.19496362934766687</v>
      </c>
      <c r="Y132" s="24">
        <f t="shared" si="27"/>
        <v>5.0076778200545791E-2</v>
      </c>
      <c r="Z132" s="24">
        <f t="shared" si="27"/>
        <v>-0.11794955104255733</v>
      </c>
      <c r="AA132" s="24">
        <f t="shared" si="27"/>
        <v>4.4049224489001393E-2</v>
      </c>
      <c r="AB132" s="24">
        <f t="shared" si="27"/>
        <v>0.73986336266070118</v>
      </c>
      <c r="AC132" s="24">
        <f t="shared" si="27"/>
        <v>-8.7266495552883461E-2</v>
      </c>
      <c r="AD132" s="24">
        <f t="shared" si="27"/>
        <v>-0.16658865327735184</v>
      </c>
      <c r="AE132" s="24">
        <f t="shared" si="27"/>
        <v>-0.12001858858973924</v>
      </c>
      <c r="AF132" s="24">
        <f t="shared" si="27"/>
        <v>5.2790649605746642E-2</v>
      </c>
      <c r="AG132" s="24">
        <f t="shared" si="27"/>
        <v>-7.3139840615934038E-2</v>
      </c>
      <c r="AH132" s="24">
        <f t="shared" si="27"/>
        <v>-0.42073223906559398</v>
      </c>
      <c r="AI132" s="24">
        <f t="shared" si="27"/>
        <v>0.22202443593328081</v>
      </c>
      <c r="AJ132" s="24">
        <f t="shared" si="27"/>
        <v>0.132538832782372</v>
      </c>
      <c r="AK132" s="24">
        <f t="shared" si="27"/>
        <v>1.0942682488669586E-2</v>
      </c>
      <c r="AL132" s="24">
        <f t="shared" si="27"/>
        <v>-0.24127137121317732</v>
      </c>
      <c r="AM132" s="24">
        <f t="shared" si="27"/>
        <v>0.11607037533512066</v>
      </c>
      <c r="AN132" s="24">
        <f t="shared" si="27"/>
        <v>-0.34238411843901539</v>
      </c>
      <c r="AO132" s="24">
        <f t="shared" si="27"/>
        <v>2.4568544125114222E-3</v>
      </c>
      <c r="AP132" s="24">
        <f t="shared" si="27"/>
        <v>9.0801897095773576E-3</v>
      </c>
      <c r="AQ132" s="24">
        <f t="shared" si="27"/>
        <v>-0.10579642964121938</v>
      </c>
      <c r="AR132" s="24">
        <f t="shared" si="27"/>
        <v>-0.20629818077051543</v>
      </c>
      <c r="AS132" s="24">
        <f t="shared" si="27"/>
        <v>-2.4554537360407802E-2</v>
      </c>
      <c r="AT132" s="24">
        <f t="shared" si="27"/>
        <v>-0.27092289354269627</v>
      </c>
      <c r="AU132" s="24">
        <f t="shared" si="27"/>
        <v>2.9127937108288426E-2</v>
      </c>
      <c r="AV132" s="24">
        <f t="shared" si="27"/>
        <v>0.14673664207077675</v>
      </c>
      <c r="AW132" s="24">
        <f t="shared" si="27"/>
        <v>-0.1898737841169571</v>
      </c>
      <c r="AX132" s="24">
        <f t="shared" si="27"/>
        <v>-0.23806383969089917</v>
      </c>
      <c r="AY132" s="24">
        <f t="shared" si="27"/>
        <v>-3.7835851776684248E-2</v>
      </c>
      <c r="AZ132" s="24">
        <f t="shared" si="27"/>
        <v>0.10785039362083859</v>
      </c>
      <c r="BA132" s="24">
        <f t="shared" si="27"/>
        <v>-1</v>
      </c>
      <c r="BB132" s="24">
        <f t="shared" si="27"/>
        <v>-0.19767793446655468</v>
      </c>
      <c r="BC132" s="24">
        <f t="shared" si="27"/>
        <v>-0.24508865905345556</v>
      </c>
      <c r="BD132" s="24">
        <f t="shared" si="27"/>
        <v>1.2284301427853666</v>
      </c>
      <c r="BE132" s="24">
        <f t="shared" si="27"/>
        <v>-2.401759313531171E-2</v>
      </c>
      <c r="BF132" s="24">
        <f t="shared" si="27"/>
        <v>-0.21942660575273309</v>
      </c>
      <c r="BG132" s="24">
        <f t="shared" si="27"/>
        <v>1.0059803569726578E-2</v>
      </c>
      <c r="BH132" s="24">
        <f t="shared" si="27"/>
        <v>0.71813374782051453</v>
      </c>
      <c r="BI132" s="24">
        <f t="shared" si="27"/>
        <v>-5.0468576056412751E-2</v>
      </c>
      <c r="BJ132" s="24">
        <f t="shared" si="27"/>
        <v>-0.33409760721348136</v>
      </c>
      <c r="BK132" s="24">
        <f t="shared" si="27"/>
        <v>0.12563977305279828</v>
      </c>
      <c r="BL132" s="24">
        <f t="shared" si="27"/>
        <v>-6.0379819576157345E-2</v>
      </c>
      <c r="BM132" s="24">
        <f t="shared" si="27"/>
        <v>-0.1999544858602661</v>
      </c>
      <c r="BN132" s="24">
        <f t="shared" si="27"/>
        <v>5.9348164666229497E-2</v>
      </c>
      <c r="BO132" s="24">
        <f t="shared" si="27"/>
        <v>0.13341520741301416</v>
      </c>
      <c r="BP132" s="24">
        <f t="shared" si="27"/>
        <v>0.12957935771180473</v>
      </c>
      <c r="BQ132" s="24">
        <f t="shared" si="25"/>
        <v>1.8545174506931845</v>
      </c>
      <c r="BR132" s="24">
        <f t="shared" si="25"/>
        <v>0.21483102555775346</v>
      </c>
      <c r="BS132" s="24">
        <f t="shared" si="25"/>
        <v>0.15353375672083747</v>
      </c>
      <c r="BT132" s="24">
        <f t="shared" si="25"/>
        <v>-1.1582431117466818E-2</v>
      </c>
      <c r="BU132" s="24">
        <f t="shared" si="25"/>
        <v>-5.3177506055900214E-2</v>
      </c>
      <c r="BV132" s="24">
        <f t="shared" si="25"/>
        <v>-8.8888523460636804E-2</v>
      </c>
      <c r="BW132" s="24">
        <f t="shared" si="25"/>
        <v>-0.49843541991218754</v>
      </c>
      <c r="BX132" s="24">
        <f t="shared" si="25"/>
        <v>0.1913241402285335</v>
      </c>
      <c r="BY132" s="24">
        <f t="shared" si="25"/>
        <v>-4.2816728645089119E-2</v>
      </c>
      <c r="BZ132" s="24">
        <f t="shared" si="25"/>
        <v>0.40478025688888719</v>
      </c>
      <c r="CA132" s="24">
        <f t="shared" si="25"/>
        <v>-0.29455923212131574</v>
      </c>
      <c r="CB132" s="24">
        <f t="shared" si="25"/>
        <v>-0.11772719172889534</v>
      </c>
      <c r="CC132" s="24">
        <f t="shared" si="25"/>
        <v>-0.97776304396129843</v>
      </c>
      <c r="CD132" s="24">
        <f t="shared" si="25"/>
        <v>-0.68339231925029731</v>
      </c>
      <c r="CE132" s="24">
        <f t="shared" si="25"/>
        <v>6.7491230968121929E-2</v>
      </c>
      <c r="CF132" s="24">
        <f t="shared" si="25"/>
        <v>7.1189777499847784E-2</v>
      </c>
      <c r="CG132" s="24">
        <f t="shared" si="25"/>
        <v>-5.7641114707061014E-3</v>
      </c>
      <c r="CH132" s="24">
        <f t="shared" si="25"/>
        <v>0.31782458601452013</v>
      </c>
      <c r="CI132" s="24">
        <f t="shared" si="25"/>
        <v>0.29246985462862574</v>
      </c>
      <c r="CJ132" s="24">
        <f t="shared" si="25"/>
        <v>0.31803575262589612</v>
      </c>
      <c r="CK132" s="24">
        <f t="shared" si="25"/>
        <v>0.55526449870887506</v>
      </c>
      <c r="CL132" s="24">
        <f t="shared" si="25"/>
        <v>1.9399436711009037</v>
      </c>
      <c r="CM132" s="24">
        <f t="shared" si="25"/>
        <v>1.0310806693525767</v>
      </c>
      <c r="CN132" s="24">
        <f t="shared" si="25"/>
        <v>0.29656117295990403</v>
      </c>
      <c r="CO132" s="24">
        <f t="shared" si="25"/>
        <v>-0.72953775277296562</v>
      </c>
      <c r="CP132" s="24">
        <f t="shared" si="25"/>
        <v>-0.1372136425438033</v>
      </c>
      <c r="CQ132" s="24">
        <f t="shared" si="25"/>
        <v>-0.57979090719361059</v>
      </c>
      <c r="CR132" s="24">
        <f t="shared" si="25"/>
        <v>-0.24627099742423542</v>
      </c>
      <c r="CS132" s="24">
        <f t="shared" si="25"/>
        <v>-0.32119483787222292</v>
      </c>
      <c r="CT132" s="24">
        <f t="shared" si="25"/>
        <v>-0.1572427309476927</v>
      </c>
      <c r="CU132" s="24">
        <f t="shared" si="25"/>
        <v>-0.56184517450013205</v>
      </c>
      <c r="CV132" s="24">
        <f t="shared" si="25"/>
        <v>-0.24936618896211682</v>
      </c>
      <c r="CW132" s="24">
        <f t="shared" ref="CW132" si="29">+(CW109/CW105)-1</f>
        <v>-9.1518432372799108E-2</v>
      </c>
    </row>
    <row r="133" spans="2:101">
      <c r="B133" s="140"/>
      <c r="C133" t="s">
        <v>2</v>
      </c>
      <c r="D133" s="24">
        <f t="shared" si="13"/>
        <v>-0.60934125706248643</v>
      </c>
      <c r="E133" s="24">
        <f t="shared" si="27"/>
        <v>-0.4385073418062746</v>
      </c>
      <c r="F133" s="24">
        <f t="shared" si="27"/>
        <v>-0.34090554839412035</v>
      </c>
      <c r="G133" s="24">
        <f t="shared" si="27"/>
        <v>1.3859575374294</v>
      </c>
      <c r="H133" s="24">
        <f t="shared" si="27"/>
        <v>0.13874493975771629</v>
      </c>
      <c r="I133" s="24">
        <f t="shared" si="27"/>
        <v>0.17337193495161562</v>
      </c>
      <c r="J133" s="24">
        <f t="shared" si="27"/>
        <v>0.18369316212795472</v>
      </c>
      <c r="K133" s="24">
        <f t="shared" si="27"/>
        <v>0.38544708332634703</v>
      </c>
      <c r="L133" s="24">
        <f t="shared" si="27"/>
        <v>0.18152209706779665</v>
      </c>
      <c r="M133" s="24">
        <f t="shared" si="27"/>
        <v>-0.32954271884643749</v>
      </c>
      <c r="N133" s="24">
        <f t="shared" si="27"/>
        <v>-0.19346452817975801</v>
      </c>
      <c r="O133" s="24">
        <f t="shared" si="27"/>
        <v>0.13851420458385877</v>
      </c>
      <c r="P133" s="24">
        <f t="shared" si="27"/>
        <v>-0.170951045687184</v>
      </c>
      <c r="Q133" s="24">
        <f t="shared" si="27"/>
        <v>0.14547382286449539</v>
      </c>
      <c r="R133" s="24">
        <f t="shared" si="27"/>
        <v>-9.6544333898154422E-2</v>
      </c>
      <c r="S133" s="24">
        <f t="shared" si="27"/>
        <v>-0.16914079486650402</v>
      </c>
      <c r="T133" s="24">
        <f t="shared" si="27"/>
        <v>-4.3555902056890194E-2</v>
      </c>
      <c r="U133" s="24">
        <f t="shared" si="27"/>
        <v>1.2371145969870878</v>
      </c>
      <c r="V133" s="24">
        <f t="shared" si="27"/>
        <v>-0.13247344193497845</v>
      </c>
      <c r="W133" s="24">
        <f t="shared" si="27"/>
        <v>0.16727191564680344</v>
      </c>
      <c r="X133" s="24">
        <f t="shared" si="27"/>
        <v>-2.8682556017630034E-2</v>
      </c>
      <c r="Y133" s="24">
        <f t="shared" si="27"/>
        <v>-2.4105978100954717E-2</v>
      </c>
      <c r="Z133" s="24">
        <f t="shared" si="27"/>
        <v>-2.7351850262058552E-2</v>
      </c>
      <c r="AA133" s="24">
        <f t="shared" si="27"/>
        <v>0.24588065806377135</v>
      </c>
      <c r="AB133" s="24">
        <f t="shared" si="27"/>
        <v>5.1838293041268857E-2</v>
      </c>
      <c r="AC133" s="24">
        <f t="shared" si="27"/>
        <v>-0.64732685534563239</v>
      </c>
      <c r="AD133" s="24">
        <f t="shared" si="27"/>
        <v>-5.7335075357034526E-4</v>
      </c>
      <c r="AE133" s="24">
        <f t="shared" si="27"/>
        <v>0.15970048287533589</v>
      </c>
      <c r="AF133" s="24">
        <f t="shared" si="27"/>
        <v>0.16351551618955051</v>
      </c>
      <c r="AG133" s="24">
        <f t="shared" si="27"/>
        <v>-0.15209620492525866</v>
      </c>
      <c r="AH133" s="24">
        <f t="shared" si="27"/>
        <v>-0.11745110607683629</v>
      </c>
      <c r="AI133" s="24">
        <f t="shared" si="27"/>
        <v>6.6612110151751391E-2</v>
      </c>
      <c r="AJ133" s="24">
        <f t="shared" si="27"/>
        <v>0.29008867843446606</v>
      </c>
      <c r="AK133" s="24">
        <f t="shared" si="27"/>
        <v>5.2818380007510379E-2</v>
      </c>
      <c r="AL133" s="24">
        <f t="shared" si="27"/>
        <v>0.17270833083095405</v>
      </c>
      <c r="AM133" s="24" t="e">
        <f t="shared" si="27"/>
        <v>#DIV/0!</v>
      </c>
      <c r="AN133" s="24">
        <f t="shared" si="27"/>
        <v>1.3550984860643021</v>
      </c>
      <c r="AO133" s="24">
        <f t="shared" si="27"/>
        <v>-0.12253496822238907</v>
      </c>
      <c r="AP133" s="24">
        <f t="shared" si="27"/>
        <v>0.17174328988971355</v>
      </c>
      <c r="AQ133" s="24">
        <f t="shared" si="27"/>
        <v>-0.14888880674775629</v>
      </c>
      <c r="AR133" s="24">
        <f t="shared" si="27"/>
        <v>-0.13760994151927075</v>
      </c>
      <c r="AS133" s="24">
        <f t="shared" si="27"/>
        <v>-0.20818156743341465</v>
      </c>
      <c r="AT133" s="24">
        <f t="shared" si="27"/>
        <v>-0.28866123802909971</v>
      </c>
      <c r="AU133" s="24">
        <f t="shared" si="27"/>
        <v>-0.12434166391017021</v>
      </c>
      <c r="AV133" s="24">
        <f t="shared" si="27"/>
        <v>0.8190987961834717</v>
      </c>
      <c r="AW133" s="24">
        <f t="shared" si="27"/>
        <v>-0.11393655359758814</v>
      </c>
      <c r="AX133" s="24">
        <f t="shared" si="27"/>
        <v>0.25663069903578761</v>
      </c>
      <c r="AY133" s="24">
        <f t="shared" si="27"/>
        <v>-1.821834560090374E-2</v>
      </c>
      <c r="AZ133" s="24">
        <f t="shared" si="27"/>
        <v>9.1656337132341781E-2</v>
      </c>
      <c r="BA133" s="24">
        <f t="shared" si="27"/>
        <v>-0.96542347182622745</v>
      </c>
      <c r="BB133" s="24">
        <f t="shared" si="27"/>
        <v>-5.5890421931633738E-2</v>
      </c>
      <c r="BC133" s="24">
        <f t="shared" si="27"/>
        <v>-0.40057275015190685</v>
      </c>
      <c r="BD133" s="24">
        <f t="shared" si="27"/>
        <v>3.4586244423341794E-2</v>
      </c>
      <c r="BE133" s="24">
        <f t="shared" si="27"/>
        <v>-3.231503172493666E-2</v>
      </c>
      <c r="BF133" s="24">
        <f t="shared" si="27"/>
        <v>-3.2255505332401069E-2</v>
      </c>
      <c r="BG133" s="24">
        <f t="shared" si="27"/>
        <v>2.9624123109709855E-2</v>
      </c>
      <c r="BH133" s="24">
        <f t="shared" si="27"/>
        <v>2.2362678040329751</v>
      </c>
      <c r="BI133" s="24">
        <f t="shared" si="27"/>
        <v>-8.6553298624320374E-2</v>
      </c>
      <c r="BJ133" s="24">
        <f t="shared" si="27"/>
        <v>-9.313420040613285E-2</v>
      </c>
      <c r="BK133" s="24">
        <f t="shared" si="27"/>
        <v>0.11800505812150841</v>
      </c>
      <c r="BL133" s="24">
        <f t="shared" si="27"/>
        <v>-0.12518431127456331</v>
      </c>
      <c r="BM133" s="24">
        <f t="shared" si="27"/>
        <v>-0.10544166913341979</v>
      </c>
      <c r="BN133" s="24">
        <f t="shared" si="27"/>
        <v>8.1717176242955603E-2</v>
      </c>
      <c r="BO133" s="24">
        <f t="shared" si="27"/>
        <v>-8.4562535013172346E-2</v>
      </c>
      <c r="BP133" s="24">
        <f t="shared" si="27"/>
        <v>0.38785507402622588</v>
      </c>
      <c r="BQ133" s="24">
        <f t="shared" si="25"/>
        <v>0.18794822317090398</v>
      </c>
      <c r="BR133" s="24">
        <f t="shared" si="25"/>
        <v>-0.27313262343228639</v>
      </c>
      <c r="BS133" s="24">
        <f t="shared" si="25"/>
        <v>9.5227893782978024E-2</v>
      </c>
      <c r="BT133" s="24">
        <f t="shared" si="25"/>
        <v>0.10800961527978092</v>
      </c>
      <c r="BU133" s="24">
        <f t="shared" si="25"/>
        <v>-0.22838452310640567</v>
      </c>
      <c r="BV133" s="24">
        <f t="shared" si="25"/>
        <v>0.1608287167108513</v>
      </c>
      <c r="BW133" s="24">
        <f t="shared" si="25"/>
        <v>-0.12642122851919402</v>
      </c>
      <c r="BX133" s="24">
        <f t="shared" si="25"/>
        <v>0.38171267182135615</v>
      </c>
      <c r="BY133" s="24">
        <f t="shared" si="25"/>
        <v>0.51781345724887484</v>
      </c>
      <c r="BZ133" s="24">
        <f t="shared" si="25"/>
        <v>1.0183711245698581</v>
      </c>
      <c r="CA133" s="24">
        <f t="shared" si="25"/>
        <v>-7.8690286461408965E-2</v>
      </c>
      <c r="CB133" s="24">
        <f t="shared" si="25"/>
        <v>-0.45246287369269877</v>
      </c>
      <c r="CC133" s="24">
        <f t="shared" si="25"/>
        <v>0.67793282072871497</v>
      </c>
      <c r="CD133" s="24">
        <f t="shared" si="25"/>
        <v>5.0175899937920247</v>
      </c>
      <c r="CE133" s="24">
        <f t="shared" si="25"/>
        <v>0.6028412308204496</v>
      </c>
      <c r="CF133" s="24">
        <f t="shared" si="25"/>
        <v>-2.8577447630760089E-2</v>
      </c>
      <c r="CG133" s="24">
        <f t="shared" si="25"/>
        <v>7.7205735079859616E-2</v>
      </c>
      <c r="CH133" s="24">
        <f t="shared" si="25"/>
        <v>0.11113414619366768</v>
      </c>
      <c r="CI133" s="24">
        <f t="shared" si="25"/>
        <v>0.27605386257662579</v>
      </c>
      <c r="CJ133" s="24">
        <f t="shared" si="25"/>
        <v>5.9778900593251949</v>
      </c>
      <c r="CK133" s="24">
        <f t="shared" si="25"/>
        <v>-0.30535201849071003</v>
      </c>
      <c r="CL133" s="24">
        <f t="shared" si="25"/>
        <v>1.4316547454066439</v>
      </c>
      <c r="CM133" s="24">
        <f t="shared" si="25"/>
        <v>-0.32361518200078709</v>
      </c>
      <c r="CN133" s="24">
        <f t="shared" si="25"/>
        <v>9.909578192667734E-2</v>
      </c>
      <c r="CO133" s="24">
        <f t="shared" si="25"/>
        <v>2.6498637107429044</v>
      </c>
      <c r="CP133" s="24">
        <f t="shared" si="25"/>
        <v>-0.38941752436560284</v>
      </c>
      <c r="CQ133" s="24">
        <f t="shared" si="25"/>
        <v>1.5079385883945187</v>
      </c>
      <c r="CR133" s="24">
        <f t="shared" si="25"/>
        <v>1.6296238487324866E-2</v>
      </c>
      <c r="CS133" s="24">
        <f t="shared" si="25"/>
        <v>-0.50324308156141528</v>
      </c>
      <c r="CT133" s="24">
        <f t="shared" si="25"/>
        <v>2.1753857157551071E-2</v>
      </c>
      <c r="CU133" s="24">
        <f t="shared" si="25"/>
        <v>1.3317641882397857</v>
      </c>
      <c r="CV133" s="24">
        <f t="shared" si="25"/>
        <v>-7.9357734953973358E-2</v>
      </c>
      <c r="CW133" s="24">
        <f t="shared" ref="CW133" si="30">+(CW110/CW106)-1</f>
        <v>3.7571768976425224E-2</v>
      </c>
    </row>
    <row r="134" spans="2:101">
      <c r="B134" s="140"/>
      <c r="C134" t="s">
        <v>3</v>
      </c>
      <c r="D134" s="24">
        <f t="shared" si="13"/>
        <v>-0.21478827490165386</v>
      </c>
      <c r="E134" s="24">
        <f t="shared" si="27"/>
        <v>0.86700645446457125</v>
      </c>
      <c r="F134" s="24">
        <f t="shared" si="27"/>
        <v>9.2483230178985742E-3</v>
      </c>
      <c r="G134" s="24">
        <f t="shared" si="27"/>
        <v>1.9336906234518403</v>
      </c>
      <c r="H134" s="24">
        <f t="shared" si="27"/>
        <v>0.21564154069133568</v>
      </c>
      <c r="I134" s="24">
        <f t="shared" si="27"/>
        <v>0.11253142035775299</v>
      </c>
      <c r="J134" s="24">
        <f t="shared" si="27"/>
        <v>-1.501392428996895E-2</v>
      </c>
      <c r="K134" s="24">
        <f t="shared" si="27"/>
        <v>0.36767405859984281</v>
      </c>
      <c r="L134" s="24">
        <f t="shared" si="27"/>
        <v>0.29691553880638422</v>
      </c>
      <c r="M134" s="24">
        <f t="shared" si="27"/>
        <v>12.787158530597342</v>
      </c>
      <c r="N134" s="24">
        <f t="shared" si="27"/>
        <v>-0.34158186903779708</v>
      </c>
      <c r="O134" s="24">
        <f t="shared" si="27"/>
        <v>0.14635983575883404</v>
      </c>
      <c r="P134" s="24">
        <f t="shared" si="27"/>
        <v>2.0315908221549388</v>
      </c>
      <c r="Q134" s="24">
        <f t="shared" si="27"/>
        <v>2.877065635791598E-2</v>
      </c>
      <c r="R134" s="24">
        <f t="shared" si="27"/>
        <v>-4.703945140902166E-2</v>
      </c>
      <c r="S134" s="24">
        <f t="shared" si="27"/>
        <v>-0.31443113729447369</v>
      </c>
      <c r="T134" s="24">
        <f t="shared" si="27"/>
        <v>-0.15055142622229123</v>
      </c>
      <c r="U134" s="24">
        <f t="shared" si="27"/>
        <v>0.95021846442721469</v>
      </c>
      <c r="V134" s="24">
        <f t="shared" si="27"/>
        <v>-0.15559432057767564</v>
      </c>
      <c r="W134" s="24">
        <f t="shared" si="27"/>
        <v>9.0763077305595852E-2</v>
      </c>
      <c r="X134" s="24">
        <f t="shared" si="27"/>
        <v>1.2976761366097378E-2</v>
      </c>
      <c r="Y134" s="24">
        <f t="shared" si="27"/>
        <v>0.13897010780014596</v>
      </c>
      <c r="Z134" s="24">
        <f t="shared" si="27"/>
        <v>0.1414543151052372</v>
      </c>
      <c r="AA134" s="24">
        <f t="shared" si="27"/>
        <v>1.8490480352005503</v>
      </c>
      <c r="AB134" s="24">
        <f t="shared" si="27"/>
        <v>-0.29238580465110031</v>
      </c>
      <c r="AC134" s="24">
        <f t="shared" si="27"/>
        <v>-0.51618699399419188</v>
      </c>
      <c r="AD134" s="24">
        <f t="shared" si="27"/>
        <v>-8.5676336985400114E-2</v>
      </c>
      <c r="AE134" s="24">
        <f t="shared" si="27"/>
        <v>0.31172998492645498</v>
      </c>
      <c r="AF134" s="24">
        <f t="shared" si="27"/>
        <v>9.0724083086834106E-2</v>
      </c>
      <c r="AG134" s="24">
        <f t="shared" si="27"/>
        <v>-7.1016265268896372E-2</v>
      </c>
      <c r="AH134" s="24">
        <f t="shared" si="27"/>
        <v>0.14584093448410029</v>
      </c>
      <c r="AI134" s="24">
        <f t="shared" si="27"/>
        <v>9.0722655534764662E-2</v>
      </c>
      <c r="AJ134" s="24">
        <f t="shared" si="27"/>
        <v>0.17739952874535048</v>
      </c>
      <c r="AK134" s="24">
        <f t="shared" si="27"/>
        <v>6.8789243307894488E-2</v>
      </c>
      <c r="AL134" s="24">
        <f t="shared" si="27"/>
        <v>-0.13564061200949384</v>
      </c>
      <c r="AM134" s="24">
        <f t="shared" si="27"/>
        <v>-1</v>
      </c>
      <c r="AN134" s="24">
        <f t="shared" si="27"/>
        <v>1.8052575042016521</v>
      </c>
      <c r="AO134" s="24">
        <f t="shared" si="27"/>
        <v>0.20299518395847937</v>
      </c>
      <c r="AP134" s="24">
        <f t="shared" si="27"/>
        <v>0.13652051250682362</v>
      </c>
      <c r="AQ134" s="24">
        <f t="shared" si="27"/>
        <v>0.16609768295736349</v>
      </c>
      <c r="AR134" s="24">
        <f t="shared" si="27"/>
        <v>-7.2455801409167631E-2</v>
      </c>
      <c r="AS134" s="24">
        <f t="shared" si="27"/>
        <v>-0.1981415154293692</v>
      </c>
      <c r="AT134" s="24">
        <f t="shared" si="27"/>
        <v>7.8192978878579567E-2</v>
      </c>
      <c r="AU134" s="24">
        <f t="shared" si="27"/>
        <v>-5.4448843245452627E-3</v>
      </c>
      <c r="AV134" s="24">
        <f t="shared" si="27"/>
        <v>-0.17619070305882467</v>
      </c>
      <c r="AW134" s="24">
        <f t="shared" si="27"/>
        <v>-0.26692960391010756</v>
      </c>
      <c r="AX134" s="24">
        <f t="shared" si="27"/>
        <v>1.6100809706709529</v>
      </c>
      <c r="AY134" s="24">
        <f t="shared" si="27"/>
        <v>9.4016698756840045E-2</v>
      </c>
      <c r="AZ134" s="24">
        <f t="shared" si="27"/>
        <v>0.30755809262420919</v>
      </c>
      <c r="BA134" s="24">
        <f t="shared" si="27"/>
        <v>-0.24338959544859973</v>
      </c>
      <c r="BB134" s="24">
        <f t="shared" si="27"/>
        <v>-0.76559107876364652</v>
      </c>
      <c r="BC134" s="24">
        <f t="shared" si="27"/>
        <v>-0.25815995606784459</v>
      </c>
      <c r="BD134" s="24">
        <f t="shared" si="27"/>
        <v>-0.52855718631709481</v>
      </c>
      <c r="BE134" s="24">
        <f t="shared" si="27"/>
        <v>1.0487850891763628E-2</v>
      </c>
      <c r="BF134" s="24">
        <f t="shared" si="27"/>
        <v>-0.37598710104977529</v>
      </c>
      <c r="BG134" s="24">
        <f t="shared" si="27"/>
        <v>1.0855488115482759E-2</v>
      </c>
      <c r="BH134" s="24">
        <f t="shared" si="27"/>
        <v>0.71734502149147894</v>
      </c>
      <c r="BI134" s="24">
        <f t="shared" si="27"/>
        <v>8.3830129593197578E-2</v>
      </c>
      <c r="BJ134" s="24">
        <f t="shared" si="27"/>
        <v>1.2748664710204416E-2</v>
      </c>
      <c r="BK134" s="24">
        <f t="shared" si="27"/>
        <v>1.2320816484291175E-2</v>
      </c>
      <c r="BL134" s="24">
        <f t="shared" si="27"/>
        <v>-0.12417071138603475</v>
      </c>
      <c r="BM134" s="24">
        <f t="shared" si="27"/>
        <v>-0.11406705095255676</v>
      </c>
      <c r="BN134" s="24">
        <f t="shared" si="27"/>
        <v>0.21800467394076284</v>
      </c>
      <c r="BO134" s="24">
        <f t="shared" si="27"/>
        <v>-8.4702549416518225E-2</v>
      </c>
      <c r="BP134" s="24">
        <f t="shared" ref="BP134:CV139" si="31">+(BP111/BP107)-1</f>
        <v>0.11176034091585896</v>
      </c>
      <c r="BQ134" s="24">
        <f t="shared" si="31"/>
        <v>0.55522207046232341</v>
      </c>
      <c r="BR134" s="24">
        <f t="shared" si="31"/>
        <v>-0.22828050957377133</v>
      </c>
      <c r="BS134" s="24">
        <f t="shared" si="31"/>
        <v>4.5897206802713253E-2</v>
      </c>
      <c r="BT134" s="24">
        <f t="shared" si="31"/>
        <v>1.1410120401920354E-2</v>
      </c>
      <c r="BU134" s="24">
        <f t="shared" si="31"/>
        <v>-5.8484851742822253E-2</v>
      </c>
      <c r="BV134" s="24">
        <f t="shared" si="31"/>
        <v>0.26271447499328304</v>
      </c>
      <c r="BW134" s="24">
        <f t="shared" si="31"/>
        <v>0.17302479790957803</v>
      </c>
      <c r="BX134" s="24">
        <f t="shared" si="31"/>
        <v>8.3907645017013754E-2</v>
      </c>
      <c r="BY134" s="24">
        <f t="shared" si="31"/>
        <v>0.64965582219868545</v>
      </c>
      <c r="BZ134" s="24">
        <f t="shared" si="31"/>
        <v>0.74341577067364617</v>
      </c>
      <c r="CA134" s="24">
        <f t="shared" si="31"/>
        <v>0.26823193863767791</v>
      </c>
      <c r="CB134" s="24">
        <f t="shared" si="31"/>
        <v>-0.28796326595504573</v>
      </c>
      <c r="CC134" s="24">
        <f t="shared" si="31"/>
        <v>0.37931007989255017</v>
      </c>
      <c r="CD134" s="24">
        <f t="shared" si="31"/>
        <v>-3.6721533749517477E-4</v>
      </c>
      <c r="CE134" s="24">
        <f t="shared" si="31"/>
        <v>0.19841181978377631</v>
      </c>
      <c r="CF134" s="24">
        <f t="shared" si="31"/>
        <v>-0.10367426055401163</v>
      </c>
      <c r="CG134" s="24">
        <f t="shared" si="31"/>
        <v>-0.2379073694302235</v>
      </c>
      <c r="CH134" s="24">
        <f t="shared" si="31"/>
        <v>4.5225963369322608E-2</v>
      </c>
      <c r="CI134" s="24">
        <f t="shared" si="31"/>
        <v>0.33765463038771393</v>
      </c>
      <c r="CJ134" s="24">
        <f t="shared" si="31"/>
        <v>-0.24350277940671028</v>
      </c>
      <c r="CK134" s="24">
        <f t="shared" si="31"/>
        <v>-0.21492484454332128</v>
      </c>
      <c r="CL134" s="24">
        <f t="shared" si="31"/>
        <v>1.2966299012685609</v>
      </c>
      <c r="CM134" s="24">
        <f t="shared" si="31"/>
        <v>-0.57575503468740208</v>
      </c>
      <c r="CN134" s="24">
        <f t="shared" si="31"/>
        <v>0.68830324188873093</v>
      </c>
      <c r="CO134" s="24">
        <f t="shared" si="31"/>
        <v>6.9428085298063511</v>
      </c>
      <c r="CP134" s="24">
        <f t="shared" si="31"/>
        <v>2.8806331869791939</v>
      </c>
      <c r="CQ134" s="24">
        <f t="shared" si="31"/>
        <v>0.48367053200054522</v>
      </c>
      <c r="CR134" s="24">
        <f t="shared" si="31"/>
        <v>2.573256168718574E-2</v>
      </c>
      <c r="CS134" s="24">
        <f t="shared" si="31"/>
        <v>-0.24962313518652812</v>
      </c>
      <c r="CT134" s="24">
        <f t="shared" si="31"/>
        <v>4.4542404693135085E-2</v>
      </c>
      <c r="CU134" s="24">
        <f t="shared" si="31"/>
        <v>1.7326880854820277</v>
      </c>
      <c r="CV134" s="24">
        <f t="shared" si="31"/>
        <v>-0.1794494760654276</v>
      </c>
      <c r="CW134" s="24">
        <f t="shared" ref="CW134" si="32">+(CW111/CW107)-1</f>
        <v>2.8001955389741484E-2</v>
      </c>
    </row>
    <row r="135" spans="2:101">
      <c r="B135" s="140"/>
      <c r="C135" t="s">
        <v>4</v>
      </c>
      <c r="D135" s="24">
        <f t="shared" si="13"/>
        <v>-0.21653183113515828</v>
      </c>
      <c r="E135" s="24">
        <f t="shared" ref="E135:BP139" si="33">+(E112/E108)-1</f>
        <v>0.79821479112578775</v>
      </c>
      <c r="F135" s="24">
        <f t="shared" si="33"/>
        <v>-0.25617266192001931</v>
      </c>
      <c r="G135" s="24">
        <f t="shared" si="33"/>
        <v>1.3637493101341778</v>
      </c>
      <c r="H135" s="24">
        <f t="shared" si="33"/>
        <v>-0.33403511042010559</v>
      </c>
      <c r="I135" s="24">
        <f t="shared" si="33"/>
        <v>0.15457177326961724</v>
      </c>
      <c r="J135" s="24">
        <f t="shared" si="33"/>
        <v>0.12841190979400929</v>
      </c>
      <c r="K135" s="24">
        <f t="shared" si="33"/>
        <v>0.11788365023022274</v>
      </c>
      <c r="L135" s="24">
        <f t="shared" si="33"/>
        <v>0.50941436562650355</v>
      </c>
      <c r="M135" s="24">
        <f t="shared" si="33"/>
        <v>23.432681670504909</v>
      </c>
      <c r="N135" s="24">
        <f t="shared" si="33"/>
        <v>2.0153839966505105E-2</v>
      </c>
      <c r="O135" s="24">
        <f t="shared" si="33"/>
        <v>-5.1185165942669975E-2</v>
      </c>
      <c r="P135" s="24">
        <f t="shared" si="33"/>
        <v>1.9575906608820222</v>
      </c>
      <c r="Q135" s="24">
        <f t="shared" si="33"/>
        <v>-0.43682346255296045</v>
      </c>
      <c r="R135" s="24">
        <f t="shared" si="33"/>
        <v>0.15374354705008986</v>
      </c>
      <c r="S135" s="24">
        <f t="shared" si="33"/>
        <v>0.16712248258806151</v>
      </c>
      <c r="T135" s="24">
        <f t="shared" si="33"/>
        <v>-1.5368869434169929E-2</v>
      </c>
      <c r="U135" s="24">
        <f t="shared" si="33"/>
        <v>1.1301507940994777</v>
      </c>
      <c r="V135" s="24">
        <f t="shared" si="33"/>
        <v>0.14127922832389683</v>
      </c>
      <c r="W135" s="24">
        <f t="shared" si="33"/>
        <v>9.6700051637105933E-2</v>
      </c>
      <c r="X135" s="24">
        <f t="shared" si="33"/>
        <v>-1.0604430683061827E-2</v>
      </c>
      <c r="Y135" s="24">
        <f t="shared" si="33"/>
        <v>0.34981796004952037</v>
      </c>
      <c r="Z135" s="24">
        <f t="shared" si="33"/>
        <v>0.24477385987265321</v>
      </c>
      <c r="AA135" s="24">
        <f t="shared" si="33"/>
        <v>-0.2129753542905537</v>
      </c>
      <c r="AB135" s="24">
        <f t="shared" si="33"/>
        <v>-1.9765125230650771E-2</v>
      </c>
      <c r="AC135" s="24">
        <f t="shared" si="33"/>
        <v>0.50981064684737287</v>
      </c>
      <c r="AD135" s="24">
        <f t="shared" si="33"/>
        <v>-0.17632131583031252</v>
      </c>
      <c r="AE135" s="24">
        <f t="shared" si="33"/>
        <v>0.13710356656831357</v>
      </c>
      <c r="AF135" s="24">
        <f t="shared" si="33"/>
        <v>2.2750278011633984E-3</v>
      </c>
      <c r="AG135" s="24">
        <f t="shared" si="33"/>
        <v>-5.7796397596201476E-2</v>
      </c>
      <c r="AH135" s="24">
        <f t="shared" si="33"/>
        <v>-0.10653339136351392</v>
      </c>
      <c r="AI135" s="24">
        <f t="shared" si="33"/>
        <v>0.26225293201223732</v>
      </c>
      <c r="AJ135" s="24">
        <f t="shared" si="33"/>
        <v>0.12757063689096371</v>
      </c>
      <c r="AK135" s="24">
        <f t="shared" si="33"/>
        <v>0.28120109200636878</v>
      </c>
      <c r="AL135" s="24">
        <f t="shared" si="33"/>
        <v>0.23278617502910626</v>
      </c>
      <c r="AM135" s="24">
        <f t="shared" si="33"/>
        <v>0.27914684159596215</v>
      </c>
      <c r="AN135" s="24">
        <f t="shared" si="33"/>
        <v>0.51903796725124729</v>
      </c>
      <c r="AO135" s="24">
        <f t="shared" si="33"/>
        <v>0.27982627133805038</v>
      </c>
      <c r="AP135" s="24">
        <f t="shared" si="33"/>
        <v>1.3386393245329309E-2</v>
      </c>
      <c r="AQ135" s="24">
        <f t="shared" si="33"/>
        <v>0.25889141394607518</v>
      </c>
      <c r="AR135" s="24">
        <f t="shared" si="33"/>
        <v>7.6162368962747973E-2</v>
      </c>
      <c r="AS135" s="24">
        <f t="shared" si="33"/>
        <v>-9.4028304313974131E-2</v>
      </c>
      <c r="AT135" s="24">
        <f t="shared" si="33"/>
        <v>-0.21453124334120233</v>
      </c>
      <c r="AU135" s="24">
        <f t="shared" si="33"/>
        <v>-0.14651441326873638</v>
      </c>
      <c r="AV135" s="24">
        <f t="shared" si="33"/>
        <v>-0.65119930305916807</v>
      </c>
      <c r="AW135" s="24">
        <f t="shared" si="33"/>
        <v>-0.26690241063195586</v>
      </c>
      <c r="AX135" s="24">
        <f t="shared" si="33"/>
        <v>2.2878054290468031</v>
      </c>
      <c r="AY135" s="24">
        <f t="shared" si="33"/>
        <v>0.25583864742849394</v>
      </c>
      <c r="AZ135" s="24">
        <f t="shared" si="33"/>
        <v>0.61556436315179641</v>
      </c>
      <c r="BA135" s="24">
        <f t="shared" si="33"/>
        <v>6.1400249018293271</v>
      </c>
      <c r="BB135" s="24">
        <f t="shared" si="33"/>
        <v>-0.9076142020094411</v>
      </c>
      <c r="BC135" s="24">
        <f t="shared" si="33"/>
        <v>-0.18682059419805186</v>
      </c>
      <c r="BD135" s="24">
        <f t="shared" si="33"/>
        <v>-0.59133284779712469</v>
      </c>
      <c r="BE135" s="24">
        <f t="shared" si="33"/>
        <v>-0.18436993834104087</v>
      </c>
      <c r="BF135" s="24">
        <f t="shared" si="33"/>
        <v>0.31411255790295156</v>
      </c>
      <c r="BG135" s="24">
        <f t="shared" si="33"/>
        <v>2.9578249840208182E-2</v>
      </c>
      <c r="BH135" s="24">
        <f t="shared" si="33"/>
        <v>0.32777205435592838</v>
      </c>
      <c r="BI135" s="24">
        <f t="shared" si="33"/>
        <v>-0.10243463567543654</v>
      </c>
      <c r="BJ135" s="24">
        <f t="shared" si="33"/>
        <v>-0.12849426595142133</v>
      </c>
      <c r="BK135" s="24">
        <f t="shared" si="33"/>
        <v>0.13535975406815837</v>
      </c>
      <c r="BL135" s="24">
        <f t="shared" si="33"/>
        <v>4.9936150749000818E-2</v>
      </c>
      <c r="BM135" s="24">
        <f t="shared" si="33"/>
        <v>-0.10705205055231193</v>
      </c>
      <c r="BN135" s="24">
        <f t="shared" si="33"/>
        <v>0.18963675814790171</v>
      </c>
      <c r="BO135" s="24">
        <f t="shared" si="33"/>
        <v>-9.8716369201152787E-2</v>
      </c>
      <c r="BP135" s="24">
        <f t="shared" si="33"/>
        <v>2.8317011132507286E-2</v>
      </c>
      <c r="BQ135" s="24">
        <f t="shared" si="31"/>
        <v>-0.74323823322938654</v>
      </c>
      <c r="BR135" s="24">
        <f t="shared" si="31"/>
        <v>-3.1698898271397269E-3</v>
      </c>
      <c r="BS135" s="24">
        <f t="shared" si="31"/>
        <v>-3.6656651026327869E-2</v>
      </c>
      <c r="BT135" s="24">
        <f t="shared" si="31"/>
        <v>-2.2680756425277226E-2</v>
      </c>
      <c r="BU135" s="24">
        <f t="shared" si="31"/>
        <v>-0.12591623187617296</v>
      </c>
      <c r="BV135" s="24">
        <f t="shared" si="31"/>
        <v>0.40849361048413591</v>
      </c>
      <c r="BW135" s="24">
        <f t="shared" si="31"/>
        <v>0.20895745535672394</v>
      </c>
      <c r="BX135" s="24">
        <f t="shared" si="31"/>
        <v>0.13478643883649788</v>
      </c>
      <c r="BY135" s="24">
        <f t="shared" si="31"/>
        <v>0.77428509636201825</v>
      </c>
      <c r="BZ135" s="24">
        <f t="shared" si="31"/>
        <v>-0.72994550700628102</v>
      </c>
      <c r="CA135" s="24">
        <f t="shared" si="31"/>
        <v>0.17273945724580964</v>
      </c>
      <c r="CB135" s="24">
        <f t="shared" si="31"/>
        <v>1.0246188658471471</v>
      </c>
      <c r="CC135" s="24">
        <f t="shared" si="31"/>
        <v>-9.5286144269520756E-3</v>
      </c>
      <c r="CD135" s="24">
        <f t="shared" si="31"/>
        <v>1.0639716521570253</v>
      </c>
      <c r="CE135" s="24">
        <f t="shared" si="31"/>
        <v>-0.3091174412374218</v>
      </c>
      <c r="CF135" s="24">
        <f t="shared" si="31"/>
        <v>5.2830688627526046E-2</v>
      </c>
      <c r="CG135" s="24">
        <f t="shared" si="31"/>
        <v>-8.6395227890575521E-2</v>
      </c>
      <c r="CH135" s="24">
        <f t="shared" si="31"/>
        <v>4.6802414459155006E-3</v>
      </c>
      <c r="CI135" s="24">
        <f t="shared" si="31"/>
        <v>0.2095259440445203</v>
      </c>
      <c r="CJ135" s="24">
        <f t="shared" si="31"/>
        <v>4.7210008283567664</v>
      </c>
      <c r="CK135" s="24">
        <f t="shared" si="31"/>
        <v>7.2156058387032651E-2</v>
      </c>
      <c r="CL135" s="24">
        <f t="shared" si="31"/>
        <v>-0.70811077838571879</v>
      </c>
      <c r="CM135" s="24">
        <f t="shared" si="31"/>
        <v>19.644591976368162</v>
      </c>
      <c r="CN135" s="24">
        <f t="shared" si="31"/>
        <v>0.31789878765552859</v>
      </c>
      <c r="CO135" s="24">
        <f t="shared" si="31"/>
        <v>33.970996242122268</v>
      </c>
      <c r="CP135" s="24">
        <f t="shared" si="31"/>
        <v>-0.64241543486310526</v>
      </c>
      <c r="CQ135" s="24">
        <f t="shared" si="31"/>
        <v>-0.34793604529625244</v>
      </c>
      <c r="CR135" s="24">
        <f t="shared" si="31"/>
        <v>0.16045905757098455</v>
      </c>
      <c r="CS135" s="24">
        <f t="shared" si="31"/>
        <v>-0.48293388195671549</v>
      </c>
      <c r="CT135" s="24">
        <f t="shared" si="31"/>
        <v>4.1425306606339696E-2</v>
      </c>
      <c r="CU135" s="24">
        <f t="shared" si="31"/>
        <v>-0.71335608121006844</v>
      </c>
      <c r="CV135" s="24">
        <f t="shared" si="31"/>
        <v>-4.3231925892138534E-2</v>
      </c>
      <c r="CW135" s="24">
        <f t="shared" ref="CW135" si="34">+(CW112/CW108)-1</f>
        <v>9.4749953978168211E-3</v>
      </c>
    </row>
    <row r="136" spans="2:101">
      <c r="B136" s="140">
        <v>2025</v>
      </c>
      <c r="C136" t="s">
        <v>1</v>
      </c>
      <c r="D136" s="24">
        <f t="shared" si="13"/>
        <v>-0.10839805879243825</v>
      </c>
      <c r="E136" s="24">
        <f t="shared" si="33"/>
        <v>1.3294087726885402</v>
      </c>
      <c r="F136" s="24">
        <f t="shared" si="33"/>
        <v>-0.15642764096954098</v>
      </c>
      <c r="G136" s="24">
        <f t="shared" si="33"/>
        <v>0.62855770873048789</v>
      </c>
      <c r="H136" s="24">
        <f t="shared" si="33"/>
        <v>-0.19596755630334672</v>
      </c>
      <c r="I136" s="24">
        <f t="shared" si="33"/>
        <v>9.8218540293175893E-2</v>
      </c>
      <c r="J136" s="24">
        <f t="shared" si="33"/>
        <v>-0.12511150785897185</v>
      </c>
      <c r="K136" s="24">
        <f t="shared" si="33"/>
        <v>0.21792847059094589</v>
      </c>
      <c r="L136" s="24">
        <f t="shared" si="33"/>
        <v>1.0160489471367438</v>
      </c>
      <c r="M136" s="24">
        <f t="shared" si="33"/>
        <v>3.2401608095858743</v>
      </c>
      <c r="N136" s="24">
        <f t="shared" si="33"/>
        <v>-9.4940450193761294E-2</v>
      </c>
      <c r="O136" s="24">
        <f t="shared" si="33"/>
        <v>-0.11698785506547416</v>
      </c>
      <c r="P136" s="24">
        <f t="shared" si="33"/>
        <v>-0.47272288317892097</v>
      </c>
      <c r="Q136" s="24">
        <f t="shared" si="33"/>
        <v>0.20345211710402333</v>
      </c>
      <c r="R136" s="24">
        <f t="shared" si="33"/>
        <v>0.89507780124229552</v>
      </c>
      <c r="S136" s="24">
        <f t="shared" si="33"/>
        <v>0.1998255292360489</v>
      </c>
      <c r="T136" s="24">
        <f t="shared" si="33"/>
        <v>7.4093112291043761E-2</v>
      </c>
      <c r="U136" s="24">
        <f t="shared" si="33"/>
        <v>1.5686792052961041</v>
      </c>
      <c r="V136" s="24">
        <f t="shared" si="33"/>
        <v>0.33693385030672629</v>
      </c>
      <c r="W136" s="24">
        <f t="shared" si="33"/>
        <v>0.12593237395486456</v>
      </c>
      <c r="X136" s="24">
        <f t="shared" si="33"/>
        <v>0.29751745900315241</v>
      </c>
      <c r="Y136" s="24">
        <f t="shared" si="33"/>
        <v>0.51386140869012387</v>
      </c>
      <c r="Z136" s="24">
        <f t="shared" si="33"/>
        <v>0.65983665992290375</v>
      </c>
      <c r="AA136" s="24">
        <f t="shared" si="33"/>
        <v>0.915928443493641</v>
      </c>
      <c r="AB136" s="24">
        <f t="shared" si="33"/>
        <v>-0.21013732777319893</v>
      </c>
      <c r="AC136" s="24">
        <f t="shared" si="33"/>
        <v>1.3959262127470082</v>
      </c>
      <c r="AD136" s="24">
        <f t="shared" si="33"/>
        <v>-0.18163572235010583</v>
      </c>
      <c r="AE136" s="24">
        <f t="shared" si="33"/>
        <v>0.30538107716637852</v>
      </c>
      <c r="AF136" s="24">
        <f t="shared" si="33"/>
        <v>0.13968972560754511</v>
      </c>
      <c r="AG136" s="24">
        <f t="shared" si="33"/>
        <v>0.11905697133032667</v>
      </c>
      <c r="AH136" s="24">
        <f t="shared" si="33"/>
        <v>0.26701015409021167</v>
      </c>
      <c r="AI136" s="24">
        <f t="shared" si="33"/>
        <v>0.19773660270725935</v>
      </c>
      <c r="AJ136" s="24">
        <f t="shared" si="33"/>
        <v>0.24834739468953226</v>
      </c>
      <c r="AK136" s="24">
        <f t="shared" si="33"/>
        <v>0.33177631731139368</v>
      </c>
      <c r="AL136" s="24">
        <f t="shared" si="33"/>
        <v>0.12212132961199007</v>
      </c>
      <c r="AM136" s="24">
        <f t="shared" si="33"/>
        <v>-0.16916740182375001</v>
      </c>
      <c r="AN136" s="24">
        <f t="shared" si="33"/>
        <v>0.24087343504230185</v>
      </c>
      <c r="AO136" s="24">
        <f t="shared" si="33"/>
        <v>0.19449077766454392</v>
      </c>
      <c r="AP136" s="24">
        <f t="shared" si="33"/>
        <v>0.16025465490613522</v>
      </c>
      <c r="AQ136" s="24">
        <f t="shared" si="33"/>
        <v>-0.15359430051961431</v>
      </c>
      <c r="AR136" s="24">
        <f t="shared" si="33"/>
        <v>0.52680143245177224</v>
      </c>
      <c r="AS136" s="24">
        <f t="shared" si="33"/>
        <v>0.21670718921263665</v>
      </c>
      <c r="AT136" s="24">
        <f t="shared" si="33"/>
        <v>0.23814372015143226</v>
      </c>
      <c r="AU136" s="24">
        <f t="shared" si="33"/>
        <v>7.126976314989486E-3</v>
      </c>
      <c r="AV136" s="24">
        <f t="shared" si="33"/>
        <v>2.1052759831759307</v>
      </c>
      <c r="AW136" s="24">
        <f t="shared" si="33"/>
        <v>0.2108726021482854</v>
      </c>
      <c r="AX136" s="24">
        <f t="shared" si="33"/>
        <v>9.5745716801742908</v>
      </c>
      <c r="AY136" s="24">
        <f t="shared" si="33"/>
        <v>0.36409725318523067</v>
      </c>
      <c r="AZ136" s="24">
        <f t="shared" si="33"/>
        <v>0.1042383310727848</v>
      </c>
      <c r="BA136" s="24" t="e">
        <f t="shared" si="33"/>
        <v>#DIV/0!</v>
      </c>
      <c r="BB136" s="24">
        <f t="shared" si="33"/>
        <v>0.16674553362707734</v>
      </c>
      <c r="BC136" s="24">
        <f t="shared" si="33"/>
        <v>0.39236518738050008</v>
      </c>
      <c r="BD136" s="24">
        <f t="shared" si="33"/>
        <v>-0.44780964702058335</v>
      </c>
      <c r="BE136" s="24">
        <f t="shared" si="33"/>
        <v>-7.2472260149967216E-3</v>
      </c>
      <c r="BF136" s="24">
        <f t="shared" si="33"/>
        <v>0.79090815830265004</v>
      </c>
      <c r="BG136" s="24">
        <f t="shared" si="33"/>
        <v>7.8099351924949989E-2</v>
      </c>
      <c r="BH136" s="24">
        <f t="shared" si="33"/>
        <v>-0.14392436248448659</v>
      </c>
      <c r="BI136" s="24">
        <f t="shared" si="33"/>
        <v>0.17392789958758348</v>
      </c>
      <c r="BJ136" s="24">
        <f t="shared" si="33"/>
        <v>8.5653818363129908E-2</v>
      </c>
      <c r="BK136" s="24">
        <f t="shared" si="33"/>
        <v>2.9241161599340204E-2</v>
      </c>
      <c r="BL136" s="24">
        <f t="shared" si="33"/>
        <v>0.14121526466001355</v>
      </c>
      <c r="BM136" s="24">
        <f t="shared" si="33"/>
        <v>0.1232280299049926</v>
      </c>
      <c r="BN136" s="24">
        <f t="shared" si="33"/>
        <v>0.16368426844678985</v>
      </c>
      <c r="BO136" s="24">
        <f t="shared" si="33"/>
        <v>8.3949441357136445E-2</v>
      </c>
      <c r="BP136" s="24">
        <f t="shared" si="33"/>
        <v>0.60984007298177212</v>
      </c>
      <c r="BQ136" s="24">
        <f t="shared" si="31"/>
        <v>-0.94869639443389342</v>
      </c>
      <c r="BR136" s="24">
        <f t="shared" si="31"/>
        <v>4.8638810945570867</v>
      </c>
      <c r="BS136" s="24">
        <f t="shared" si="31"/>
        <v>0.2145565588742997</v>
      </c>
      <c r="BT136" s="24">
        <f t="shared" si="31"/>
        <v>0.24013452928641899</v>
      </c>
      <c r="BU136" s="24">
        <f t="shared" si="31"/>
        <v>-7.3410891924555299E-2</v>
      </c>
      <c r="BV136" s="24">
        <f t="shared" si="31"/>
        <v>0.38947170231327499</v>
      </c>
      <c r="BW136" s="24">
        <f t="shared" si="31"/>
        <v>0.24941002624745501</v>
      </c>
      <c r="BX136" s="24">
        <f t="shared" si="31"/>
        <v>-0.14795505975542167</v>
      </c>
      <c r="BY136" s="24">
        <f t="shared" si="31"/>
        <v>0.12345442590377886</v>
      </c>
      <c r="BZ136" s="24">
        <f t="shared" si="31"/>
        <v>6.0372046969055999</v>
      </c>
      <c r="CA136" s="24">
        <f t="shared" si="31"/>
        <v>4.1687948545288567E-2</v>
      </c>
      <c r="CB136" s="24">
        <f t="shared" si="31"/>
        <v>1.6831453661534388</v>
      </c>
      <c r="CC136" s="24">
        <f t="shared" si="31"/>
        <v>5.0235239976586179</v>
      </c>
      <c r="CD136" s="24">
        <f t="shared" si="31"/>
        <v>109.97674473526178</v>
      </c>
      <c r="CE136" s="24">
        <f t="shared" si="31"/>
        <v>-0.1660689279625156</v>
      </c>
      <c r="CF136" s="24">
        <f t="shared" si="31"/>
        <v>0.17528471953743141</v>
      </c>
      <c r="CG136" s="24">
        <f t="shared" si="31"/>
        <v>1.936924350828706E-3</v>
      </c>
      <c r="CH136" s="24">
        <f t="shared" si="31"/>
        <v>0.18983247515750246</v>
      </c>
      <c r="CI136" s="24">
        <f t="shared" si="31"/>
        <v>0.32364928873287657</v>
      </c>
      <c r="CJ136" s="24">
        <f t="shared" si="31"/>
        <v>1.6741456303212732</v>
      </c>
      <c r="CK136" s="24">
        <f t="shared" si="31"/>
        <v>-0.24385159209566387</v>
      </c>
      <c r="CL136" s="24">
        <f t="shared" si="31"/>
        <v>1.6353156945996461</v>
      </c>
      <c r="CM136" s="24">
        <f t="shared" si="31"/>
        <v>1.526739114080899</v>
      </c>
      <c r="CN136" s="24">
        <f t="shared" si="31"/>
        <v>-5.8092031689789714E-2</v>
      </c>
      <c r="CO136" s="24">
        <f t="shared" si="31"/>
        <v>50.700212214224536</v>
      </c>
      <c r="CP136" s="24">
        <f t="shared" si="31"/>
        <v>0.8863480094641234</v>
      </c>
      <c r="CQ136" s="24">
        <f t="shared" si="31"/>
        <v>-0.35736894359558324</v>
      </c>
      <c r="CR136" s="24">
        <f t="shared" si="31"/>
        <v>4.406256389674601E-2</v>
      </c>
      <c r="CS136" s="24">
        <f t="shared" si="31"/>
        <v>-0.20666724952640791</v>
      </c>
      <c r="CT136" s="24">
        <f t="shared" si="31"/>
        <v>0.28832356331947184</v>
      </c>
      <c r="CU136" s="24">
        <f t="shared" si="31"/>
        <v>-0.34923558709171487</v>
      </c>
      <c r="CV136" s="24">
        <f t="shared" si="31"/>
        <v>-0.20246976750184575</v>
      </c>
      <c r="CW136" s="24">
        <f t="shared" ref="CW136" si="35">+(CW113/CW109)-1</f>
        <v>8.8369221535317122E-2</v>
      </c>
    </row>
    <row r="137" spans="2:101">
      <c r="B137" s="140"/>
      <c r="C137" t="s">
        <v>2</v>
      </c>
      <c r="D137" s="24">
        <f t="shared" si="13"/>
        <v>0.48199399502029006</v>
      </c>
      <c r="E137" s="24">
        <f t="shared" si="33"/>
        <v>0.70286854590874603</v>
      </c>
      <c r="F137" s="24">
        <f t="shared" si="33"/>
        <v>0.51959772290741069</v>
      </c>
      <c r="G137" s="24">
        <f t="shared" si="33"/>
        <v>-0.1957522871658266</v>
      </c>
      <c r="H137" s="24">
        <f t="shared" si="33"/>
        <v>3.7963523639957586E-2</v>
      </c>
      <c r="I137" s="24">
        <f t="shared" si="33"/>
        <v>0.10811857718864948</v>
      </c>
      <c r="J137" s="24">
        <f t="shared" si="33"/>
        <v>-0.10303314049867363</v>
      </c>
      <c r="K137" s="24">
        <f t="shared" si="33"/>
        <v>0.20090451738513737</v>
      </c>
      <c r="L137" s="24">
        <f t="shared" si="33"/>
        <v>0.63387781070383009</v>
      </c>
      <c r="M137" s="24">
        <f t="shared" si="33"/>
        <v>3.0836307788441006</v>
      </c>
      <c r="N137" s="24">
        <f t="shared" si="33"/>
        <v>1.9840635831763764E-2</v>
      </c>
      <c r="O137" s="24">
        <f t="shared" si="33"/>
        <v>-6.8167978041459354E-2</v>
      </c>
      <c r="P137" s="24">
        <f t="shared" si="33"/>
        <v>-8.6184649812548919E-2</v>
      </c>
      <c r="Q137" s="24">
        <f t="shared" si="33"/>
        <v>7.788774990648184E-2</v>
      </c>
      <c r="R137" s="24">
        <f t="shared" si="33"/>
        <v>0.8043191234983702</v>
      </c>
      <c r="S137" s="24">
        <f t="shared" si="33"/>
        <v>-0.17999893925376342</v>
      </c>
      <c r="T137" s="24">
        <f t="shared" si="33"/>
        <v>9.8735812880047735E-2</v>
      </c>
      <c r="U137" s="24">
        <f t="shared" si="33"/>
        <v>0.57117745386117669</v>
      </c>
      <c r="V137" s="24">
        <f t="shared" si="33"/>
        <v>1.5417887827247734E-2</v>
      </c>
      <c r="W137" s="24">
        <f t="shared" si="33"/>
        <v>0.10048941828459235</v>
      </c>
      <c r="X137" s="24">
        <f t="shared" si="33"/>
        <v>0.31583345105531668</v>
      </c>
      <c r="Y137" s="24">
        <f t="shared" si="33"/>
        <v>0.46584588864523013</v>
      </c>
      <c r="Z137" s="24">
        <f t="shared" si="33"/>
        <v>0.54831467017521662</v>
      </c>
      <c r="AA137" s="24">
        <f t="shared" si="33"/>
        <v>0.71678034235857813</v>
      </c>
      <c r="AB137" s="24">
        <f t="shared" si="33"/>
        <v>0.1373063621370223</v>
      </c>
      <c r="AC137" s="24">
        <f t="shared" si="33"/>
        <v>1.3389053177130132</v>
      </c>
      <c r="AD137" s="24">
        <f t="shared" si="33"/>
        <v>-0.24955465072454008</v>
      </c>
      <c r="AE137" s="24">
        <f t="shared" si="33"/>
        <v>3.0820483300656232E-2</v>
      </c>
      <c r="AF137" s="24">
        <f t="shared" si="33"/>
        <v>-0.25835447870398276</v>
      </c>
      <c r="AG137" s="24">
        <f t="shared" si="33"/>
        <v>0.15414770091652419</v>
      </c>
      <c r="AH137" s="24">
        <f t="shared" si="33"/>
        <v>1.0814142229021773E-2</v>
      </c>
      <c r="AI137" s="24">
        <f t="shared" si="33"/>
        <v>0.19878675419201475</v>
      </c>
      <c r="AJ137" s="24">
        <f t="shared" si="33"/>
        <v>5.2274588303746761E-2</v>
      </c>
      <c r="AK137" s="24">
        <f t="shared" si="33"/>
        <v>0.10752031258602668</v>
      </c>
      <c r="AL137" s="24">
        <f t="shared" si="33"/>
        <v>7.8280843120814847E-2</v>
      </c>
      <c r="AM137" s="24" t="e">
        <f t="shared" si="33"/>
        <v>#DIV/0!</v>
      </c>
      <c r="AN137" s="24">
        <f t="shared" si="33"/>
        <v>-0.37540614343277889</v>
      </c>
      <c r="AO137" s="24">
        <f t="shared" si="33"/>
        <v>0.1599219311591904</v>
      </c>
      <c r="AP137" s="24">
        <f t="shared" si="33"/>
        <v>-2.5420979056216986E-2</v>
      </c>
      <c r="AQ137" s="24">
        <f t="shared" si="33"/>
        <v>1.3014532116944144E-2</v>
      </c>
      <c r="AR137" s="24">
        <f t="shared" si="33"/>
        <v>0.24604940460419611</v>
      </c>
      <c r="AS137" s="24">
        <f t="shared" si="33"/>
        <v>0.28262685432285317</v>
      </c>
      <c r="AT137" s="24">
        <f t="shared" si="33"/>
        <v>6.4296930878776415E-2</v>
      </c>
      <c r="AU137" s="24">
        <f t="shared" si="33"/>
        <v>-2.300980183686907E-2</v>
      </c>
      <c r="AV137" s="24">
        <f t="shared" si="33"/>
        <v>0.38732822979690784</v>
      </c>
      <c r="AW137" s="24">
        <f t="shared" si="33"/>
        <v>-0.12934731220254814</v>
      </c>
      <c r="AX137" s="24">
        <f t="shared" si="33"/>
        <v>0.37091497713370702</v>
      </c>
      <c r="AY137" s="24">
        <f t="shared" si="33"/>
        <v>8.2823774180313947E-3</v>
      </c>
      <c r="AZ137" s="24">
        <f t="shared" si="33"/>
        <v>0.16925716663031953</v>
      </c>
      <c r="BA137" s="24">
        <f t="shared" si="33"/>
        <v>509.38465204957112</v>
      </c>
      <c r="BB137" s="24">
        <f t="shared" si="33"/>
        <v>1.9194912258374695</v>
      </c>
      <c r="BC137" s="24">
        <f t="shared" si="33"/>
        <v>0.19850027525394021</v>
      </c>
      <c r="BD137" s="24">
        <f t="shared" si="33"/>
        <v>-0.64056222137663466</v>
      </c>
      <c r="BE137" s="24">
        <f t="shared" si="33"/>
        <v>-0.15817800117829428</v>
      </c>
      <c r="BF137" s="24">
        <f t="shared" si="33"/>
        <v>-0.38288407591617402</v>
      </c>
      <c r="BG137" s="24">
        <f t="shared" si="33"/>
        <v>-0.12932735313671606</v>
      </c>
      <c r="BH137" s="24">
        <f t="shared" si="33"/>
        <v>-0.50561315327955858</v>
      </c>
      <c r="BI137" s="24">
        <f t="shared" si="33"/>
        <v>-9.4953333436282761E-2</v>
      </c>
      <c r="BJ137" s="24">
        <f t="shared" si="33"/>
        <v>-0.32307768917583235</v>
      </c>
      <c r="BK137" s="24">
        <f t="shared" si="33"/>
        <v>-5.8752818279632968E-2</v>
      </c>
      <c r="BL137" s="24">
        <f t="shared" si="33"/>
        <v>7.6824075476221276E-2</v>
      </c>
      <c r="BM137" s="24">
        <f t="shared" si="33"/>
        <v>-4.7412265036850254E-2</v>
      </c>
      <c r="BN137" s="24">
        <f t="shared" si="33"/>
        <v>0.16929069611395886</v>
      </c>
      <c r="BO137" s="24">
        <f t="shared" si="33"/>
        <v>-7.4500433309831804E-2</v>
      </c>
      <c r="BP137" s="24">
        <f t="shared" si="33"/>
        <v>-6.2659358264641751E-2</v>
      </c>
      <c r="BQ137" s="24">
        <f t="shared" si="31"/>
        <v>-0.55954598831850011</v>
      </c>
      <c r="BR137" s="24">
        <f t="shared" si="31"/>
        <v>6.4048488563378569</v>
      </c>
      <c r="BS137" s="24">
        <f t="shared" si="31"/>
        <v>-1.3056835946900103E-2</v>
      </c>
      <c r="BT137" s="24">
        <f t="shared" si="31"/>
        <v>-8.8262618798706782E-3</v>
      </c>
      <c r="BU137" s="24">
        <f t="shared" si="31"/>
        <v>-5.4577812926012159E-2</v>
      </c>
      <c r="BV137" s="24">
        <f t="shared" si="31"/>
        <v>3.5305683216933836E-2</v>
      </c>
      <c r="BW137" s="24">
        <f t="shared" si="31"/>
        <v>-0.15053056623579508</v>
      </c>
      <c r="BX137" s="24">
        <f t="shared" si="31"/>
        <v>-0.11566311439982224</v>
      </c>
      <c r="BY137" s="24">
        <f t="shared" si="31"/>
        <v>-0.11055679744553482</v>
      </c>
      <c r="BZ137" s="24">
        <f t="shared" si="31"/>
        <v>3.1124019503049443</v>
      </c>
      <c r="CA137" s="24">
        <f t="shared" si="31"/>
        <v>0.13722460241538426</v>
      </c>
      <c r="CB137" s="24">
        <f t="shared" si="31"/>
        <v>0.15903039774644423</v>
      </c>
      <c r="CC137" s="24">
        <f t="shared" si="31"/>
        <v>0.9355827251875668</v>
      </c>
      <c r="CD137" s="24">
        <f t="shared" si="31"/>
        <v>17.710629833306875</v>
      </c>
      <c r="CE137" s="24">
        <f t="shared" si="31"/>
        <v>6.4224764168381299E-2</v>
      </c>
      <c r="CF137" s="24">
        <f t="shared" si="31"/>
        <v>2.4174331153165918E-2</v>
      </c>
      <c r="CG137" s="24">
        <f t="shared" si="31"/>
        <v>4.9152815337352163E-3</v>
      </c>
      <c r="CH137" s="24">
        <f t="shared" si="31"/>
        <v>0.10990271887793224</v>
      </c>
      <c r="CI137" s="24">
        <f t="shared" si="31"/>
        <v>0.1655038327339875</v>
      </c>
      <c r="CJ137" s="24">
        <f t="shared" si="31"/>
        <v>2.2329030415234259</v>
      </c>
      <c r="CK137" s="24">
        <f t="shared" si="31"/>
        <v>-0.18248250599858529</v>
      </c>
      <c r="CL137" s="24">
        <f t="shared" si="31"/>
        <v>-0.71174183345586284</v>
      </c>
      <c r="CM137" s="24">
        <f t="shared" si="31"/>
        <v>4.9564570540292676</v>
      </c>
      <c r="CN137" s="24">
        <f t="shared" si="31"/>
        <v>-0.19910077064413945</v>
      </c>
      <c r="CO137" s="24">
        <f t="shared" si="31"/>
        <v>4.8641611791881045</v>
      </c>
      <c r="CP137" s="24">
        <f t="shared" si="31"/>
        <v>0.202068461863675</v>
      </c>
      <c r="CQ137" s="24">
        <f t="shared" si="31"/>
        <v>-0.33525376843811516</v>
      </c>
      <c r="CR137" s="24">
        <f t="shared" si="31"/>
        <v>-9.9356605483186811E-2</v>
      </c>
      <c r="CS137" s="24">
        <f t="shared" si="31"/>
        <v>1.744592120452193E-3</v>
      </c>
      <c r="CT137" s="24">
        <f t="shared" si="31"/>
        <v>0.23017400082426009</v>
      </c>
      <c r="CU137" s="24">
        <f t="shared" si="31"/>
        <v>1.1340329573757164</v>
      </c>
      <c r="CV137" s="24">
        <f t="shared" si="31"/>
        <v>-0.15713541769592876</v>
      </c>
      <c r="CW137" s="24">
        <f t="shared" ref="CW137:CW139" si="36">+(CW114/CW110)-1</f>
        <v>-2.2374009779114523E-2</v>
      </c>
    </row>
    <row r="138" spans="2:101">
      <c r="B138" s="140"/>
      <c r="C138" t="s">
        <v>3</v>
      </c>
      <c r="D138" s="24">
        <f t="shared" ref="D138:BO138" si="37">+(D115/D111)-1</f>
        <v>0.99879679620676498</v>
      </c>
      <c r="E138" s="24">
        <f t="shared" si="37"/>
        <v>0.34751345298430181</v>
      </c>
      <c r="F138" s="24">
        <f t="shared" si="37"/>
        <v>-0.11157495447617227</v>
      </c>
      <c r="G138" s="24">
        <f t="shared" si="37"/>
        <v>-6.9878875242394334E-2</v>
      </c>
      <c r="H138" s="24">
        <f t="shared" si="37"/>
        <v>-0.19584882071288223</v>
      </c>
      <c r="I138" s="24">
        <f t="shared" si="37"/>
        <v>-0.12434346888107761</v>
      </c>
      <c r="J138" s="24">
        <f t="shared" si="37"/>
        <v>0.10510891718627935</v>
      </c>
      <c r="K138" s="24">
        <f t="shared" si="37"/>
        <v>0.34229503733946332</v>
      </c>
      <c r="L138" s="24">
        <f t="shared" si="37"/>
        <v>0.70755773420289447</v>
      </c>
      <c r="M138" s="24">
        <f t="shared" si="37"/>
        <v>0.8956075067361986</v>
      </c>
      <c r="N138" s="24">
        <f t="shared" si="37"/>
        <v>0.25921691207497077</v>
      </c>
      <c r="O138" s="24">
        <f t="shared" si="37"/>
        <v>-8.1619290865498906E-3</v>
      </c>
      <c r="P138" s="24">
        <f t="shared" si="37"/>
        <v>-0.35021119745352614</v>
      </c>
      <c r="Q138" s="24">
        <f t="shared" si="37"/>
        <v>0.38942613087882694</v>
      </c>
      <c r="R138" s="24">
        <f t="shared" si="37"/>
        <v>0.84554658239483893</v>
      </c>
      <c r="S138" s="24">
        <f t="shared" si="37"/>
        <v>0.17152245351549089</v>
      </c>
      <c r="T138" s="24">
        <f t="shared" si="37"/>
        <v>4.3607861261320213E-2</v>
      </c>
      <c r="U138" s="24">
        <f t="shared" si="37"/>
        <v>0.31581911893867054</v>
      </c>
      <c r="V138" s="24">
        <f t="shared" si="37"/>
        <v>0.11533765429514631</v>
      </c>
      <c r="W138" s="24">
        <f t="shared" si="37"/>
        <v>0.14993267268272681</v>
      </c>
      <c r="X138" s="24">
        <f t="shared" si="37"/>
        <v>0.43081249143065148</v>
      </c>
      <c r="Y138" s="24">
        <f t="shared" si="37"/>
        <v>0.11380751850854987</v>
      </c>
      <c r="Z138" s="24">
        <f t="shared" si="37"/>
        <v>0.51703798822095304</v>
      </c>
      <c r="AA138" s="24">
        <f t="shared" si="37"/>
        <v>0.15856830997600624</v>
      </c>
      <c r="AB138" s="24">
        <f t="shared" si="37"/>
        <v>0.79860115403198861</v>
      </c>
      <c r="AC138" s="24">
        <f t="shared" si="37"/>
        <v>7.5823796135306942</v>
      </c>
      <c r="AD138" s="24">
        <f t="shared" si="37"/>
        <v>-0.22563715576440169</v>
      </c>
      <c r="AE138" s="24">
        <f t="shared" si="37"/>
        <v>-6.0305224094440835E-2</v>
      </c>
      <c r="AF138" s="24">
        <f t="shared" si="37"/>
        <v>-3.3006884430582528E-2</v>
      </c>
      <c r="AG138" s="24">
        <f t="shared" si="37"/>
        <v>0.17579589171393684</v>
      </c>
      <c r="AH138" s="24">
        <f t="shared" si="37"/>
        <v>0.87509257303012467</v>
      </c>
      <c r="AI138" s="24">
        <f t="shared" si="37"/>
        <v>0.15478448620976626</v>
      </c>
      <c r="AJ138" s="24">
        <f t="shared" si="37"/>
        <v>0.16986789645709832</v>
      </c>
      <c r="AK138" s="24">
        <f t="shared" si="37"/>
        <v>5.781006555920043E-2</v>
      </c>
      <c r="AL138" s="24">
        <f t="shared" si="37"/>
        <v>0.31952242965498456</v>
      </c>
      <c r="AM138" s="24" t="e">
        <f t="shared" si="37"/>
        <v>#DIV/0!</v>
      </c>
      <c r="AN138" s="24">
        <f t="shared" si="37"/>
        <v>0.61828545505345467</v>
      </c>
      <c r="AO138" s="24">
        <f t="shared" si="37"/>
        <v>0.30436468084479751</v>
      </c>
      <c r="AP138" s="24">
        <f t="shared" si="37"/>
        <v>4.9394422026757923E-2</v>
      </c>
      <c r="AQ138" s="24">
        <f t="shared" si="37"/>
        <v>-6.8610009510293057E-2</v>
      </c>
      <c r="AR138" s="24">
        <f t="shared" si="37"/>
        <v>0.11490304786860217</v>
      </c>
      <c r="AS138" s="24">
        <f t="shared" si="37"/>
        <v>0.12139421993389399</v>
      </c>
      <c r="AT138" s="24">
        <f t="shared" si="37"/>
        <v>-0.12177560836186851</v>
      </c>
      <c r="AU138" s="24">
        <f t="shared" si="37"/>
        <v>-0.11188896746363208</v>
      </c>
      <c r="AV138" s="24">
        <f t="shared" si="37"/>
        <v>0.23815545180885778</v>
      </c>
      <c r="AW138" s="24">
        <f t="shared" si="37"/>
        <v>0.808371637317292</v>
      </c>
      <c r="AX138" s="24">
        <f t="shared" si="37"/>
        <v>0.86095178942655548</v>
      </c>
      <c r="AY138" s="24">
        <f t="shared" si="37"/>
        <v>0.11144878759257559</v>
      </c>
      <c r="AZ138" s="24">
        <f t="shared" si="37"/>
        <v>-0.30616477513388429</v>
      </c>
      <c r="BA138" s="24">
        <f t="shared" si="37"/>
        <v>-0.6306666222307391</v>
      </c>
      <c r="BB138" s="24">
        <f t="shared" si="37"/>
        <v>0.57843888463204163</v>
      </c>
      <c r="BC138" s="24">
        <f t="shared" si="37"/>
        <v>0.36146386668904062</v>
      </c>
      <c r="BD138" s="24">
        <f t="shared" si="37"/>
        <v>-0.44832819585533956</v>
      </c>
      <c r="BE138" s="24">
        <f t="shared" si="37"/>
        <v>-0.28934437870950169</v>
      </c>
      <c r="BF138" s="24">
        <f t="shared" si="37"/>
        <v>1.2733039126888328</v>
      </c>
      <c r="BG138" s="24">
        <f t="shared" si="37"/>
        <v>-0.16686852678137598</v>
      </c>
      <c r="BH138" s="24">
        <f t="shared" si="37"/>
        <v>0.24503528156148979</v>
      </c>
      <c r="BI138" s="24">
        <f t="shared" si="37"/>
        <v>-0.15272875491152449</v>
      </c>
      <c r="BJ138" s="24">
        <f t="shared" si="37"/>
        <v>-0.22777651846151914</v>
      </c>
      <c r="BK138" s="24">
        <f t="shared" si="37"/>
        <v>-0.18901317951096341</v>
      </c>
      <c r="BL138" s="24">
        <f t="shared" si="37"/>
        <v>2.9650396213323438E-2</v>
      </c>
      <c r="BM138" s="24">
        <f t="shared" si="37"/>
        <v>-0.10906065725308833</v>
      </c>
      <c r="BN138" s="24">
        <f t="shared" si="37"/>
        <v>0.107964980124021</v>
      </c>
      <c r="BO138" s="24">
        <f t="shared" si="37"/>
        <v>-0.11231173771734426</v>
      </c>
      <c r="BP138" s="24">
        <f t="shared" si="33"/>
        <v>5.0395115481248753E-2</v>
      </c>
      <c r="BQ138" s="24">
        <f t="shared" si="31"/>
        <v>-0.11886972578780464</v>
      </c>
      <c r="BR138" s="24">
        <f t="shared" si="31"/>
        <v>-5.4904458545729784E-2</v>
      </c>
      <c r="BS138" s="24">
        <f t="shared" si="31"/>
        <v>-3.0547426637144492E-2</v>
      </c>
      <c r="BT138" s="24">
        <f t="shared" si="31"/>
        <v>-9.2438345485437612E-2</v>
      </c>
      <c r="BU138" s="24">
        <f t="shared" si="31"/>
        <v>-0.26328640626553135</v>
      </c>
      <c r="BV138" s="24">
        <f t="shared" si="31"/>
        <v>-0.12826724995445438</v>
      </c>
      <c r="BW138" s="24">
        <f t="shared" si="31"/>
        <v>-0.29624160109259057</v>
      </c>
      <c r="BX138" s="24">
        <f t="shared" si="31"/>
        <v>-0.1530507869718879</v>
      </c>
      <c r="BY138" s="24">
        <f t="shared" si="31"/>
        <v>-9.5895075031914079E-2</v>
      </c>
      <c r="BZ138" s="24">
        <f t="shared" si="31"/>
        <v>-0.94252283591107422</v>
      </c>
      <c r="CA138" s="24">
        <f t="shared" si="31"/>
        <v>-0.14377746313906026</v>
      </c>
      <c r="CB138" s="24">
        <f t="shared" si="31"/>
        <v>1.1875545849114619</v>
      </c>
      <c r="CC138" s="24">
        <f t="shared" si="31"/>
        <v>-0.29270331673235339</v>
      </c>
      <c r="CD138" s="24">
        <f t="shared" si="31"/>
        <v>65.72205110608752</v>
      </c>
      <c r="CE138" s="24">
        <f t="shared" si="31"/>
        <v>-0.42463855435288544</v>
      </c>
      <c r="CF138" s="24">
        <f t="shared" si="31"/>
        <v>-9.2284320065231129E-2</v>
      </c>
      <c r="CG138" s="24">
        <f t="shared" si="31"/>
        <v>-1.8248384968989284E-2</v>
      </c>
      <c r="CH138" s="24">
        <f t="shared" si="31"/>
        <v>-3.2775455134624099E-2</v>
      </c>
      <c r="CI138" s="24">
        <f t="shared" si="31"/>
        <v>-9.7921703582431685E-2</v>
      </c>
      <c r="CJ138" s="24">
        <f t="shared" si="31"/>
        <v>0.69378831966537247</v>
      </c>
      <c r="CK138" s="24">
        <f t="shared" si="31"/>
        <v>-0.44782757979985</v>
      </c>
      <c r="CL138" s="24">
        <f t="shared" si="31"/>
        <v>-0.32364075997964248</v>
      </c>
      <c r="CM138" s="24">
        <f t="shared" si="31"/>
        <v>0.93751507137013923</v>
      </c>
      <c r="CN138" s="24">
        <f t="shared" si="31"/>
        <v>-0.35684143482173147</v>
      </c>
      <c r="CO138" s="24">
        <f t="shared" si="31"/>
        <v>9.2708219416221649E-2</v>
      </c>
      <c r="CP138" s="24">
        <f t="shared" si="31"/>
        <v>-0.55504689093823512</v>
      </c>
      <c r="CQ138" s="24">
        <f t="shared" si="31"/>
        <v>-0.98670317791508577</v>
      </c>
      <c r="CR138" s="24">
        <f t="shared" si="31"/>
        <v>-0.21562293329063753</v>
      </c>
      <c r="CS138" s="24">
        <f t="shared" si="31"/>
        <v>-0.46607825980200479</v>
      </c>
      <c r="CT138" s="24">
        <f t="shared" si="31"/>
        <v>-0.15812094136130694</v>
      </c>
      <c r="CU138" s="24">
        <f t="shared" si="31"/>
        <v>-0.73849378297666124</v>
      </c>
      <c r="CV138" s="24">
        <f t="shared" si="31"/>
        <v>-0.3956073357443004</v>
      </c>
      <c r="CW138" s="24">
        <f t="shared" si="36"/>
        <v>-5.2910273822831977E-2</v>
      </c>
    </row>
    <row r="139" spans="2:101">
      <c r="B139" s="140"/>
      <c r="C139" t="s">
        <v>4</v>
      </c>
      <c r="D139" s="24">
        <f t="shared" ref="D139:BO139" si="38">+(D116/D112)-1</f>
        <v>-0.50064518786770607</v>
      </c>
      <c r="E139" s="24">
        <f t="shared" si="38"/>
        <v>-0.39362873535223786</v>
      </c>
      <c r="F139" s="24">
        <f t="shared" si="38"/>
        <v>0.67844662506358411</v>
      </c>
      <c r="G139" s="24">
        <f t="shared" si="38"/>
        <v>0.61398009490185768</v>
      </c>
      <c r="H139" s="24">
        <f t="shared" si="38"/>
        <v>4.995187299053816E-2</v>
      </c>
      <c r="I139" s="24">
        <f t="shared" si="38"/>
        <v>-9.9516950571035823E-3</v>
      </c>
      <c r="J139" s="24">
        <f t="shared" si="38"/>
        <v>-0.12907592394043788</v>
      </c>
      <c r="K139" s="24">
        <f t="shared" si="38"/>
        <v>0.29349237530047523</v>
      </c>
      <c r="L139" s="24">
        <f t="shared" si="38"/>
        <v>0.47823694701125463</v>
      </c>
      <c r="M139" s="24">
        <f t="shared" si="38"/>
        <v>-0.32839441867268249</v>
      </c>
      <c r="N139" s="24">
        <f t="shared" si="38"/>
        <v>3.7511258765571043E-2</v>
      </c>
      <c r="O139" s="24">
        <f t="shared" si="38"/>
        <v>0.19645634698738901</v>
      </c>
      <c r="P139" s="24">
        <f t="shared" si="38"/>
        <v>-0.41003945440422218</v>
      </c>
      <c r="Q139" s="24">
        <f t="shared" si="38"/>
        <v>1.3880118153241661</v>
      </c>
      <c r="R139" s="24">
        <f t="shared" si="38"/>
        <v>0.55096438907833889</v>
      </c>
      <c r="S139" s="24">
        <f t="shared" si="38"/>
        <v>-0.58124915203886429</v>
      </c>
      <c r="T139" s="24">
        <f t="shared" si="38"/>
        <v>-7.8798035547577472E-2</v>
      </c>
      <c r="U139" s="24">
        <f t="shared" si="38"/>
        <v>0.27546679918262518</v>
      </c>
      <c r="V139" s="24">
        <f t="shared" si="38"/>
        <v>-4.8376300994540933E-2</v>
      </c>
      <c r="W139" s="24">
        <f t="shared" si="38"/>
        <v>1.037490383869244E-2</v>
      </c>
      <c r="X139" s="24">
        <f t="shared" si="38"/>
        <v>0.32910829472207093</v>
      </c>
      <c r="Y139" s="24">
        <f t="shared" si="38"/>
        <v>-0.2684274508914557</v>
      </c>
      <c r="Z139" s="24">
        <f t="shared" si="38"/>
        <v>0.11858653520249463</v>
      </c>
      <c r="AA139" s="24">
        <f t="shared" si="38"/>
        <v>6.6138282649052638E-2</v>
      </c>
      <c r="AB139" s="24">
        <f t="shared" si="38"/>
        <v>0.19645125410601127</v>
      </c>
      <c r="AC139" s="24">
        <f t="shared" si="38"/>
        <v>1.3402036289830037</v>
      </c>
      <c r="AD139" s="24">
        <f t="shared" si="38"/>
        <v>-0.24428625895515055</v>
      </c>
      <c r="AE139" s="24">
        <f t="shared" si="38"/>
        <v>-0.13910564600478792</v>
      </c>
      <c r="AF139" s="24">
        <f t="shared" si="38"/>
        <v>-2.5394014168732548E-2</v>
      </c>
      <c r="AG139" s="24">
        <f t="shared" si="38"/>
        <v>0.15687223383752702</v>
      </c>
      <c r="AH139" s="24">
        <f t="shared" si="38"/>
        <v>0.50136533861969346</v>
      </c>
      <c r="AI139" s="24">
        <f t="shared" si="38"/>
        <v>0.13532729512309039</v>
      </c>
      <c r="AJ139" s="24">
        <f t="shared" si="38"/>
        <v>0.1389499534468932</v>
      </c>
      <c r="AK139" s="24">
        <f t="shared" si="38"/>
        <v>2.4095871742112696E-2</v>
      </c>
      <c r="AL139" s="24">
        <f t="shared" si="38"/>
        <v>5.7509340973437517E-2</v>
      </c>
      <c r="AM139" s="24">
        <f t="shared" si="38"/>
        <v>68.4413737045316</v>
      </c>
      <c r="AN139" s="24">
        <f t="shared" si="38"/>
        <v>0.61709748991806257</v>
      </c>
      <c r="AO139" s="24">
        <f t="shared" si="38"/>
        <v>4.9267787317256007E-2</v>
      </c>
      <c r="AP139" s="24">
        <f t="shared" si="38"/>
        <v>7.9895030811560908E-3</v>
      </c>
      <c r="AQ139" s="24">
        <f t="shared" si="38"/>
        <v>-0.1085956064284076</v>
      </c>
      <c r="AR139" s="24">
        <f t="shared" si="38"/>
        <v>7.5980034585107381E-2</v>
      </c>
      <c r="AS139" s="24">
        <f t="shared" si="38"/>
        <v>-0.17900060658890715</v>
      </c>
      <c r="AT139" s="24">
        <f t="shared" si="38"/>
        <v>0.37821893055109546</v>
      </c>
      <c r="AU139" s="24">
        <f t="shared" si="38"/>
        <v>-0.15956389527292303</v>
      </c>
      <c r="AV139" s="24">
        <f t="shared" si="38"/>
        <v>8.7670727756241629E-3</v>
      </c>
      <c r="AW139" s="24">
        <f t="shared" si="38"/>
        <v>0.31875418214340145</v>
      </c>
      <c r="AX139" s="24">
        <f t="shared" si="38"/>
        <v>-0.991609983147969</v>
      </c>
      <c r="AY139" s="24">
        <f t="shared" si="38"/>
        <v>-8.9776120105747537E-2</v>
      </c>
      <c r="AZ139" s="24">
        <f t="shared" si="38"/>
        <v>0.18540750370319659</v>
      </c>
      <c r="BA139" s="24">
        <f t="shared" si="38"/>
        <v>1.5834015211471648</v>
      </c>
      <c r="BB139" s="24">
        <f t="shared" si="38"/>
        <v>6.1339732578360264</v>
      </c>
      <c r="BC139" s="24">
        <f t="shared" si="38"/>
        <v>-0.17098193611315693</v>
      </c>
      <c r="BD139" s="24">
        <f t="shared" si="38"/>
        <v>-6.8526202444749607E-2</v>
      </c>
      <c r="BE139" s="24">
        <f t="shared" si="38"/>
        <v>7.3658646227548141E-2</v>
      </c>
      <c r="BF139" s="24">
        <f t="shared" si="38"/>
        <v>-0.49792531586815758</v>
      </c>
      <c r="BG139" s="24">
        <f t="shared" si="38"/>
        <v>-0.13075467789211992</v>
      </c>
      <c r="BH139" s="24">
        <f t="shared" si="38"/>
        <v>-0.25545479260832715</v>
      </c>
      <c r="BI139" s="24">
        <f t="shared" si="38"/>
        <v>-2.3820535015630306E-2</v>
      </c>
      <c r="BJ139" s="24">
        <f t="shared" si="38"/>
        <v>-0.18486849852492304</v>
      </c>
      <c r="BK139" s="24">
        <f t="shared" si="38"/>
        <v>9.64487124643163E-2</v>
      </c>
      <c r="BL139" s="24">
        <f t="shared" si="38"/>
        <v>9.1171314754287414E-2</v>
      </c>
      <c r="BM139" s="24">
        <f t="shared" si="38"/>
        <v>1.0484988041396193E-2</v>
      </c>
      <c r="BN139" s="24">
        <f t="shared" si="38"/>
        <v>-0.21952287783061319</v>
      </c>
      <c r="BO139" s="24">
        <f t="shared" si="38"/>
        <v>1.8264929002641317E-2</v>
      </c>
      <c r="BP139" s="24">
        <f t="shared" si="33"/>
        <v>0.11993464186165914</v>
      </c>
      <c r="BQ139" s="24">
        <f t="shared" si="31"/>
        <v>0.51594362763041057</v>
      </c>
      <c r="BR139" s="24">
        <f t="shared" si="31"/>
        <v>1.2249304896333975</v>
      </c>
      <c r="BS139" s="24">
        <f t="shared" si="31"/>
        <v>0.27106865798740021</v>
      </c>
      <c r="BT139" s="24">
        <f t="shared" si="31"/>
        <v>3.3921714850410956E-2</v>
      </c>
      <c r="BU139" s="24">
        <f t="shared" si="31"/>
        <v>-3.4062811742915811E-2</v>
      </c>
      <c r="BV139" s="24">
        <f t="shared" si="31"/>
        <v>0.1705975848586001</v>
      </c>
      <c r="BW139" s="24">
        <f t="shared" si="31"/>
        <v>-1.8239590190077482E-2</v>
      </c>
      <c r="BX139" s="24">
        <f t="shared" si="31"/>
        <v>7.7254871315788343E-3</v>
      </c>
      <c r="BY139" s="24">
        <f t="shared" si="31"/>
        <v>-0.16621553634081287</v>
      </c>
      <c r="BZ139" s="24">
        <f t="shared" si="31"/>
        <v>0.63967423824571479</v>
      </c>
      <c r="CA139" s="24">
        <f t="shared" si="31"/>
        <v>0.12473849108838087</v>
      </c>
      <c r="CB139" s="24">
        <f t="shared" si="31"/>
        <v>0.17593051694772321</v>
      </c>
      <c r="CC139" s="24">
        <f t="shared" si="31"/>
        <v>1.9122973216800507</v>
      </c>
      <c r="CD139" s="24">
        <f t="shared" si="31"/>
        <v>12.586188491064174</v>
      </c>
      <c r="CE139" s="24">
        <f t="shared" si="31"/>
        <v>-0.16774099534536935</v>
      </c>
      <c r="CF139" s="24">
        <f t="shared" si="31"/>
        <v>-9.2248688806040091E-2</v>
      </c>
      <c r="CG139" s="24">
        <f t="shared" si="31"/>
        <v>0.1743177493756114</v>
      </c>
      <c r="CH139" s="24">
        <f t="shared" si="31"/>
        <v>-0.1092767943627927</v>
      </c>
      <c r="CI139" s="24">
        <f t="shared" si="31"/>
        <v>-1.451226742379863E-2</v>
      </c>
      <c r="CJ139" s="24">
        <f t="shared" si="31"/>
        <v>0.16588920148212605</v>
      </c>
      <c r="CK139" s="24">
        <f t="shared" si="31"/>
        <v>0.39210711566481793</v>
      </c>
      <c r="CL139" s="24">
        <f t="shared" si="31"/>
        <v>6.12302290544483</v>
      </c>
      <c r="CM139" s="24">
        <f t="shared" si="31"/>
        <v>7.7867075633033185</v>
      </c>
      <c r="CN139" s="24">
        <f t="shared" si="31"/>
        <v>-0.12538007355741743</v>
      </c>
      <c r="CO139" s="24">
        <f t="shared" si="31"/>
        <v>-0.36631677258200745</v>
      </c>
      <c r="CP139" s="24">
        <f t="shared" si="31"/>
        <v>-0.53751574051563589</v>
      </c>
      <c r="CQ139" s="24">
        <f t="shared" si="31"/>
        <v>2.8401748335115089</v>
      </c>
      <c r="CR139" s="24">
        <f t="shared" si="31"/>
        <v>-4.4152801455443536E-2</v>
      </c>
      <c r="CS139" s="24">
        <f t="shared" si="31"/>
        <v>-0.20288918255342236</v>
      </c>
      <c r="CT139" s="24">
        <f t="shared" si="31"/>
        <v>-0.23139553762508025</v>
      </c>
      <c r="CU139" s="24">
        <f t="shared" si="31"/>
        <v>6.7663892416163218</v>
      </c>
      <c r="CV139" s="24">
        <f t="shared" si="31"/>
        <v>0.22604580576399469</v>
      </c>
      <c r="CW139" s="24">
        <f t="shared" si="36"/>
        <v>-4.0972242191702479E-3</v>
      </c>
    </row>
    <row r="141" spans="2:101">
      <c r="C141" t="s">
        <v>98</v>
      </c>
      <c r="D141" s="24">
        <f>AVERAGE(D120:D139)</f>
        <v>0.20813084272901899</v>
      </c>
      <c r="E141" s="24">
        <f t="shared" ref="E141:BP141" si="39">AVERAGE(E120:E139)</f>
        <v>0.23020560684340152</v>
      </c>
      <c r="F141" s="24">
        <f t="shared" si="39"/>
        <v>9.1346850050215728E-2</v>
      </c>
      <c r="G141" s="24">
        <f t="shared" si="39"/>
        <v>0.54345630422847824</v>
      </c>
      <c r="H141" s="24">
        <f t="shared" si="39"/>
        <v>0.10011616905519312</v>
      </c>
      <c r="I141" s="24">
        <f t="shared" si="39"/>
        <v>0.12096681798862974</v>
      </c>
      <c r="J141" s="24">
        <f t="shared" si="39"/>
        <v>0.10213882609333429</v>
      </c>
      <c r="K141" s="24">
        <f t="shared" si="39"/>
        <v>0.14533358055334905</v>
      </c>
      <c r="L141" s="24">
        <f t="shared" si="39"/>
        <v>0.25410115470404238</v>
      </c>
      <c r="M141" s="24">
        <f t="shared" si="39"/>
        <v>2.5969935284005556</v>
      </c>
      <c r="N141" s="24">
        <f t="shared" si="39"/>
        <v>3.1648606648112435E-2</v>
      </c>
      <c r="O141" s="24">
        <f t="shared" si="39"/>
        <v>0.11802447394903348</v>
      </c>
      <c r="P141" s="24">
        <f t="shared" si="39"/>
        <v>0.1098032443856142</v>
      </c>
      <c r="Q141" s="24">
        <f t="shared" si="39"/>
        <v>0.59816254403881941</v>
      </c>
      <c r="R141" s="24">
        <f t="shared" si="39"/>
        <v>0.25406911290227657</v>
      </c>
      <c r="S141" s="24">
        <f t="shared" si="39"/>
        <v>-3.0210661224112874E-2</v>
      </c>
      <c r="T141" s="24">
        <f t="shared" si="39"/>
        <v>9.8614832778297468E-2</v>
      </c>
      <c r="U141" s="24">
        <f t="shared" si="39"/>
        <v>0.38372548720646549</v>
      </c>
      <c r="V141" s="24">
        <f t="shared" si="39"/>
        <v>8.5271674421368543E-2</v>
      </c>
      <c r="W141" s="24">
        <f t="shared" si="39"/>
        <v>0.17776032097035399</v>
      </c>
      <c r="X141" s="24">
        <f t="shared" si="39"/>
        <v>0.14423212813507405</v>
      </c>
      <c r="Y141" s="24">
        <f t="shared" si="39"/>
        <v>0.25558661112267489</v>
      </c>
      <c r="Z141" s="24">
        <f t="shared" si="39"/>
        <v>0.33041705564589463</v>
      </c>
      <c r="AA141" s="24">
        <f t="shared" si="39"/>
        <v>1.6656378734455388</v>
      </c>
      <c r="AB141" s="24">
        <f t="shared" si="39"/>
        <v>0.24019707164680421</v>
      </c>
      <c r="AC141" s="24">
        <f t="shared" si="39"/>
        <v>0.98626753836080017</v>
      </c>
      <c r="AD141" s="24">
        <f t="shared" si="39"/>
        <v>0.14759935320117964</v>
      </c>
      <c r="AE141" s="24">
        <f t="shared" si="39"/>
        <v>0.20701318925704354</v>
      </c>
      <c r="AF141" s="24">
        <f t="shared" si="39"/>
        <v>0.17269419611781806</v>
      </c>
      <c r="AG141" s="24">
        <f t="shared" si="39"/>
        <v>5.3214122541693942E-2</v>
      </c>
      <c r="AH141" s="24">
        <f t="shared" si="39"/>
        <v>0.24531862835470414</v>
      </c>
      <c r="AI141" s="24">
        <f t="shared" si="39"/>
        <v>0.16995838465634344</v>
      </c>
      <c r="AJ141" s="24">
        <f t="shared" si="39"/>
        <v>0.14685925226089538</v>
      </c>
      <c r="AK141" s="24">
        <f t="shared" si="39"/>
        <v>0.13076718808966276</v>
      </c>
      <c r="AL141" s="24">
        <f t="shared" si="39"/>
        <v>0.11580088154564998</v>
      </c>
      <c r="AM141" s="24" t="e">
        <f t="shared" si="39"/>
        <v>#DIV/0!</v>
      </c>
      <c r="AN141" s="24">
        <f t="shared" si="39"/>
        <v>0.50410444479913996</v>
      </c>
      <c r="AO141" s="24">
        <f t="shared" si="39"/>
        <v>0.10282698496008784</v>
      </c>
      <c r="AP141" s="24">
        <f t="shared" si="39"/>
        <v>9.0798626693810988E-2</v>
      </c>
      <c r="AQ141" s="24">
        <f t="shared" si="39"/>
        <v>6.5259810685001279E-2</v>
      </c>
      <c r="AR141" s="24">
        <f t="shared" si="39"/>
        <v>0.3098965845359945</v>
      </c>
      <c r="AS141" s="24">
        <f t="shared" si="39"/>
        <v>7.8613151454703697E-2</v>
      </c>
      <c r="AT141" s="24">
        <f t="shared" si="39"/>
        <v>0.14071869400209541</v>
      </c>
      <c r="AU141" s="24">
        <f t="shared" si="39"/>
        <v>1.7760635777352374E-2</v>
      </c>
      <c r="AV141" s="24">
        <f t="shared" si="39"/>
        <v>0.83133855618703389</v>
      </c>
      <c r="AW141" s="24">
        <f t="shared" si="39"/>
        <v>0.59771073996984891</v>
      </c>
      <c r="AX141" s="24">
        <f t="shared" si="39"/>
        <v>0.81878315155764747</v>
      </c>
      <c r="AY141" s="24">
        <f t="shared" si="39"/>
        <v>0.13769545721520021</v>
      </c>
      <c r="AZ141" s="24">
        <f t="shared" si="39"/>
        <v>0.23322377911552214</v>
      </c>
      <c r="BA141" s="24" t="e">
        <f t="shared" si="39"/>
        <v>#DIV/0!</v>
      </c>
      <c r="BB141" s="24" t="e">
        <f t="shared" si="39"/>
        <v>#DIV/0!</v>
      </c>
      <c r="BC141" s="24">
        <f t="shared" si="39"/>
        <v>0.42439681502414894</v>
      </c>
      <c r="BD141" s="24">
        <f t="shared" si="39"/>
        <v>0.49633641891006475</v>
      </c>
      <c r="BE141" s="24">
        <f t="shared" si="39"/>
        <v>8.8831037222497328E-2</v>
      </c>
      <c r="BF141" s="24">
        <f t="shared" si="39"/>
        <v>0.11393467320663361</v>
      </c>
      <c r="BG141" s="24">
        <f t="shared" si="39"/>
        <v>7.6448681447132488E-2</v>
      </c>
      <c r="BH141" s="24">
        <f t="shared" si="39"/>
        <v>0.704557027106677</v>
      </c>
      <c r="BI141" s="24">
        <f t="shared" si="39"/>
        <v>2.2460821328291015E-2</v>
      </c>
      <c r="BJ141" s="24">
        <f t="shared" si="39"/>
        <v>2.2408262789895134E-2</v>
      </c>
      <c r="BK141" s="24">
        <f t="shared" si="39"/>
        <v>0.32568247905519743</v>
      </c>
      <c r="BL141" s="24">
        <f t="shared" si="39"/>
        <v>0.15401581476385809</v>
      </c>
      <c r="BM141" s="24">
        <f t="shared" si="39"/>
        <v>0.10659132278341854</v>
      </c>
      <c r="BN141" s="24">
        <f t="shared" si="39"/>
        <v>2.1968731785583763E-2</v>
      </c>
      <c r="BO141" s="24">
        <f t="shared" si="39"/>
        <v>0.21060053283372732</v>
      </c>
      <c r="BP141" s="24">
        <f t="shared" si="39"/>
        <v>0.3562196629827466</v>
      </c>
      <c r="BQ141" s="24">
        <f t="shared" ref="BQ141:CW141" si="40">AVERAGE(BQ120:BQ139)</f>
        <v>0.66760328808086422</v>
      </c>
      <c r="BR141" s="24">
        <f t="shared" si="40"/>
        <v>0.69366126119324067</v>
      </c>
      <c r="BS141" s="24">
        <f t="shared" si="40"/>
        <v>0.16561635492532809</v>
      </c>
      <c r="BT141" s="24">
        <f t="shared" si="40"/>
        <v>0.13647030763999696</v>
      </c>
      <c r="BU141" s="24">
        <f t="shared" si="40"/>
        <v>2.5015848311260351E-2</v>
      </c>
      <c r="BV141" s="24">
        <f t="shared" si="40"/>
        <v>0.11653279573669743</v>
      </c>
      <c r="BW141" s="24">
        <f t="shared" si="40"/>
        <v>0.1559239591931379</v>
      </c>
      <c r="BX141" s="24">
        <f t="shared" si="40"/>
        <v>0.22184914844719109</v>
      </c>
      <c r="BY141" s="24">
        <f t="shared" si="40"/>
        <v>0.28213810694989638</v>
      </c>
      <c r="BZ141" s="24">
        <f t="shared" si="40"/>
        <v>1.5468703700216975</v>
      </c>
      <c r="CA141" s="24">
        <f t="shared" si="40"/>
        <v>0.25042961525816143</v>
      </c>
      <c r="CB141" s="24">
        <f t="shared" si="40"/>
        <v>1.6132885999894309</v>
      </c>
      <c r="CC141" s="24">
        <f t="shared" si="40"/>
        <v>8.3947166890438663</v>
      </c>
      <c r="CD141" s="24" t="e">
        <f t="shared" si="40"/>
        <v>#DIV/0!</v>
      </c>
      <c r="CE141" s="24">
        <f t="shared" si="40"/>
        <v>0.33548139659289239</v>
      </c>
      <c r="CF141" s="24">
        <f t="shared" si="40"/>
        <v>7.8606024910016281E-2</v>
      </c>
      <c r="CG141" s="24">
        <f t="shared" si="40"/>
        <v>0.20060706783724166</v>
      </c>
      <c r="CH141" s="24">
        <f t="shared" si="40"/>
        <v>0.14358722351401049</v>
      </c>
      <c r="CI141" s="24">
        <f t="shared" si="40"/>
        <v>0.17556005148940851</v>
      </c>
      <c r="CJ141" s="24">
        <f t="shared" si="40"/>
        <v>1.0263163446656147</v>
      </c>
      <c r="CK141" s="24">
        <f t="shared" si="40"/>
        <v>9.0849936444528365E-2</v>
      </c>
      <c r="CL141" s="24">
        <f t="shared" si="40"/>
        <v>1.0781287841268203</v>
      </c>
      <c r="CM141" s="24">
        <f t="shared" si="40"/>
        <v>2.9762515210090936</v>
      </c>
      <c r="CN141" s="24">
        <f t="shared" si="40"/>
        <v>4.649672112986019E-2</v>
      </c>
      <c r="CO141" s="24">
        <f t="shared" si="40"/>
        <v>4.8596530771477191</v>
      </c>
      <c r="CP141" s="24">
        <f t="shared" si="40"/>
        <v>4.0684854308446408</v>
      </c>
      <c r="CQ141" s="24">
        <f t="shared" si="40"/>
        <v>7.8655059682697841</v>
      </c>
      <c r="CR141" s="24">
        <f t="shared" si="40"/>
        <v>0.12423370211875615</v>
      </c>
      <c r="CS141" s="24">
        <f t="shared" si="40"/>
        <v>0.14188962988091636</v>
      </c>
      <c r="CT141" s="24">
        <f t="shared" si="40"/>
        <v>5.8033977627655151E-2</v>
      </c>
      <c r="CU141" s="24">
        <f t="shared" si="40"/>
        <v>0.53289119587853329</v>
      </c>
      <c r="CV141" s="24">
        <f t="shared" si="40"/>
        <v>0.10299076010056665</v>
      </c>
      <c r="CW141" s="24">
        <f t="shared" si="40"/>
        <v>0.1252183482470671</v>
      </c>
    </row>
    <row r="143" spans="2:101">
      <c r="C143" t="s">
        <v>113</v>
      </c>
      <c r="D143" s="24">
        <f>+MEDIAN(D120:D139)</f>
        <v>-4.841951840271641E-2</v>
      </c>
      <c r="E143" s="24">
        <f t="shared" ref="E143:BP143" si="41">+MEDIAN(E120:E139)</f>
        <v>-9.594948221273647E-2</v>
      </c>
      <c r="F143" s="24">
        <f t="shared" si="41"/>
        <v>3.4110264067923168E-2</v>
      </c>
      <c r="G143" s="24">
        <f t="shared" si="41"/>
        <v>0.52350418579660918</v>
      </c>
      <c r="H143" s="24">
        <f t="shared" si="41"/>
        <v>0.13847357024973184</v>
      </c>
      <c r="I143" s="24">
        <f t="shared" si="41"/>
        <v>0.11911700750011478</v>
      </c>
      <c r="J143" s="24">
        <f t="shared" si="41"/>
        <v>0.11983852315813071</v>
      </c>
      <c r="K143" s="24">
        <f t="shared" si="41"/>
        <v>0.12436478896177183</v>
      </c>
      <c r="L143" s="24">
        <f t="shared" si="41"/>
        <v>0.27894382699588471</v>
      </c>
      <c r="M143" s="24">
        <f t="shared" si="41"/>
        <v>0.71038406832405399</v>
      </c>
      <c r="N143" s="24">
        <f t="shared" si="41"/>
        <v>3.3527435192244215E-2</v>
      </c>
      <c r="O143" s="24">
        <f t="shared" si="41"/>
        <v>0.11838163238576416</v>
      </c>
      <c r="P143" s="24">
        <f t="shared" si="41"/>
        <v>-0.13938973899406509</v>
      </c>
      <c r="Q143" s="24">
        <f t="shared" si="41"/>
        <v>0.3173969030290652</v>
      </c>
      <c r="R143" s="24">
        <f t="shared" si="41"/>
        <v>0.195536660312568</v>
      </c>
      <c r="S143" s="24">
        <f t="shared" si="41"/>
        <v>-0.16663755151088061</v>
      </c>
      <c r="T143" s="24">
        <f t="shared" si="41"/>
        <v>7.1932680756701783E-2</v>
      </c>
      <c r="U143" s="24">
        <f t="shared" si="41"/>
        <v>0.16517269441315718</v>
      </c>
      <c r="V143" s="24">
        <f t="shared" si="41"/>
        <v>0.12830844130952157</v>
      </c>
      <c r="W143" s="24">
        <f t="shared" si="41"/>
        <v>0.14769308010345394</v>
      </c>
      <c r="X143" s="24">
        <f t="shared" si="41"/>
        <v>0.18121543434980913</v>
      </c>
      <c r="Y143" s="24">
        <f t="shared" si="41"/>
        <v>0.28404909854208382</v>
      </c>
      <c r="Z143" s="24">
        <f t="shared" si="41"/>
        <v>0.27980331741862829</v>
      </c>
      <c r="AA143" s="24">
        <f t="shared" si="41"/>
        <v>7.6750931197394956E-2</v>
      </c>
      <c r="AB143" s="24">
        <f t="shared" si="41"/>
        <v>0.22797943923505382</v>
      </c>
      <c r="AC143" s="24">
        <f t="shared" si="41"/>
        <v>0.55708527727143287</v>
      </c>
      <c r="AD143" s="24">
        <f t="shared" si="41"/>
        <v>-8.0329469686466537E-2</v>
      </c>
      <c r="AE143" s="24">
        <f t="shared" si="41"/>
        <v>0.11108413159393871</v>
      </c>
      <c r="AF143" s="24">
        <f t="shared" si="41"/>
        <v>9.5720945843795091E-2</v>
      </c>
      <c r="AG143" s="24">
        <f t="shared" si="41"/>
        <v>7.3935756184799972E-2</v>
      </c>
      <c r="AH143" s="24">
        <f t="shared" si="41"/>
        <v>0.13757750884044129</v>
      </c>
      <c r="AI143" s="24">
        <f t="shared" si="41"/>
        <v>0.1762605444585128</v>
      </c>
      <c r="AJ143" s="24">
        <f t="shared" si="41"/>
        <v>0.15223274738058934</v>
      </c>
      <c r="AK143" s="24">
        <f t="shared" si="41"/>
        <v>9.0831399286804504E-2</v>
      </c>
      <c r="AL143" s="24">
        <f t="shared" si="41"/>
        <v>7.0019328805049019E-2</v>
      </c>
      <c r="AM143" s="24" t="e">
        <f t="shared" si="41"/>
        <v>#DIV/0!</v>
      </c>
      <c r="AN143" s="24">
        <f t="shared" si="41"/>
        <v>0.22998284972545602</v>
      </c>
      <c r="AO143" s="24">
        <f t="shared" si="41"/>
        <v>0.1322037327005593</v>
      </c>
      <c r="AP143" s="24">
        <f t="shared" si="41"/>
        <v>4.5378741432241521E-2</v>
      </c>
      <c r="AQ143" s="24">
        <f t="shared" si="41"/>
        <v>3.7990880876291766E-2</v>
      </c>
      <c r="AR143" s="24">
        <f t="shared" si="41"/>
        <v>-6.7761375791499656E-3</v>
      </c>
      <c r="AS143" s="24">
        <f t="shared" si="41"/>
        <v>3.4922884730640535E-2</v>
      </c>
      <c r="AT143" s="24">
        <f t="shared" si="41"/>
        <v>-2.5838025042636326E-2</v>
      </c>
      <c r="AU143" s="24">
        <f t="shared" si="41"/>
        <v>-2.1002684185902121E-2</v>
      </c>
      <c r="AV143" s="24">
        <f t="shared" si="41"/>
        <v>0.41603245079490969</v>
      </c>
      <c r="AW143" s="24">
        <f t="shared" si="41"/>
        <v>0.20607504123490306</v>
      </c>
      <c r="AX143" s="24">
        <f t="shared" si="41"/>
        <v>0.12844768053536104</v>
      </c>
      <c r="AY143" s="24">
        <f t="shared" si="41"/>
        <v>9.3696891228689183E-2</v>
      </c>
      <c r="AZ143" s="24">
        <f t="shared" si="41"/>
        <v>0.13855378012557906</v>
      </c>
      <c r="BA143" s="24" t="e">
        <f t="shared" si="41"/>
        <v>#DIV/0!</v>
      </c>
      <c r="BB143" s="24" t="e">
        <f t="shared" si="41"/>
        <v>#DIV/0!</v>
      </c>
      <c r="BC143" s="24">
        <f t="shared" si="41"/>
        <v>-0.12439202573608488</v>
      </c>
      <c r="BD143" s="24">
        <f t="shared" si="41"/>
        <v>-0.21558946046046273</v>
      </c>
      <c r="BE143" s="24">
        <f t="shared" si="41"/>
        <v>4.4967120141676808E-3</v>
      </c>
      <c r="BF143" s="24">
        <f t="shared" si="41"/>
        <v>3.9351910000523627E-2</v>
      </c>
      <c r="BG143" s="24">
        <f t="shared" si="41"/>
        <v>1.0457645842604668E-2</v>
      </c>
      <c r="BH143" s="24">
        <f t="shared" si="41"/>
        <v>0.20536666837247552</v>
      </c>
      <c r="BI143" s="24">
        <f t="shared" si="41"/>
        <v>-4.2494927635797763E-2</v>
      </c>
      <c r="BJ143" s="24">
        <f t="shared" si="41"/>
        <v>-0.11081423317877709</v>
      </c>
      <c r="BK143" s="24">
        <f t="shared" si="41"/>
        <v>2.078098904181569E-2</v>
      </c>
      <c r="BL143" s="24">
        <f t="shared" si="41"/>
        <v>3.9793273481162128E-2</v>
      </c>
      <c r="BM143" s="24">
        <f t="shared" si="41"/>
        <v>-0.10624685984286586</v>
      </c>
      <c r="BN143" s="24">
        <f t="shared" si="41"/>
        <v>6.6576645910669807E-2</v>
      </c>
      <c r="BO143" s="24">
        <f t="shared" si="41"/>
        <v>4.5794694356953825E-2</v>
      </c>
      <c r="BP143" s="24">
        <f t="shared" si="41"/>
        <v>0.20188336522675043</v>
      </c>
      <c r="BQ143" s="24">
        <f t="shared" ref="BQ143:CW143" si="42">+MEDIAN(BQ120:BQ139)</f>
        <v>-4.88703353047093E-2</v>
      </c>
      <c r="BR143" s="24">
        <f t="shared" si="42"/>
        <v>0.17742212536375268</v>
      </c>
      <c r="BS143" s="24">
        <f t="shared" si="42"/>
        <v>0.10285901496075689</v>
      </c>
      <c r="BT143" s="24">
        <f t="shared" si="42"/>
        <v>6.1053507599850509E-2</v>
      </c>
      <c r="BU143" s="24">
        <f t="shared" si="42"/>
        <v>-1.7677424232912575E-2</v>
      </c>
      <c r="BV143" s="24">
        <f t="shared" si="42"/>
        <v>0.11281750112691902</v>
      </c>
      <c r="BW143" s="24">
        <f t="shared" si="42"/>
        <v>3.6435237754176786E-2</v>
      </c>
      <c r="BX143" s="24">
        <f t="shared" si="42"/>
        <v>4.5816566074296294E-2</v>
      </c>
      <c r="BY143" s="24">
        <f t="shared" si="42"/>
        <v>8.0110946711645759E-2</v>
      </c>
      <c r="BZ143" s="24">
        <f t="shared" si="42"/>
        <v>0.52222724756730099</v>
      </c>
      <c r="CA143" s="24">
        <f t="shared" si="42"/>
        <v>0.28301580775787405</v>
      </c>
      <c r="CB143" s="24">
        <f t="shared" si="42"/>
        <v>2.0651603008774444E-2</v>
      </c>
      <c r="CC143" s="24">
        <f t="shared" si="42"/>
        <v>0.52862145031063257</v>
      </c>
      <c r="CD143" s="24" t="e">
        <f t="shared" si="42"/>
        <v>#DIV/0!</v>
      </c>
      <c r="CE143" s="24">
        <f t="shared" si="42"/>
        <v>5.1528905268998781E-2</v>
      </c>
      <c r="CF143" s="24">
        <f t="shared" si="42"/>
        <v>2.4752930627322978E-2</v>
      </c>
      <c r="CG143" s="24">
        <f t="shared" si="42"/>
        <v>2.1522007544558797E-2</v>
      </c>
      <c r="CH143" s="24">
        <f t="shared" si="42"/>
        <v>0.10643700279120927</v>
      </c>
      <c r="CI143" s="24">
        <f t="shared" si="42"/>
        <v>0.17949950284271998</v>
      </c>
      <c r="CJ143" s="24">
        <f t="shared" si="42"/>
        <v>0.24196247705401108</v>
      </c>
      <c r="CK143" s="24">
        <f t="shared" si="42"/>
        <v>3.4884255627955607E-2</v>
      </c>
      <c r="CL143" s="24">
        <f t="shared" si="42"/>
        <v>0.6645497465170741</v>
      </c>
      <c r="CM143" s="24">
        <f t="shared" si="42"/>
        <v>0.34274176645433962</v>
      </c>
      <c r="CN143" s="24">
        <f t="shared" si="42"/>
        <v>1.1620505125818581E-2</v>
      </c>
      <c r="CO143" s="24">
        <f t="shared" si="42"/>
        <v>-1.4994062663830077E-2</v>
      </c>
      <c r="CP143" s="24">
        <f t="shared" si="42"/>
        <v>-0.2696382116523437</v>
      </c>
      <c r="CQ143" s="24">
        <f t="shared" si="42"/>
        <v>-0.3415949068671838</v>
      </c>
      <c r="CR143" s="24">
        <f t="shared" si="42"/>
        <v>3.7405860792770418E-2</v>
      </c>
      <c r="CS143" s="24">
        <f t="shared" si="42"/>
        <v>-6.7535427221627531E-2</v>
      </c>
      <c r="CT143" s="24">
        <f t="shared" si="42"/>
        <v>4.298385564973739E-2</v>
      </c>
      <c r="CU143" s="24">
        <f t="shared" si="42"/>
        <v>4.7253466265264499E-2</v>
      </c>
      <c r="CV143" s="24">
        <f t="shared" si="42"/>
        <v>-1.1084941514697633E-2</v>
      </c>
      <c r="CW143" s="24">
        <f t="shared" si="42"/>
        <v>2.1462672566857299E-2</v>
      </c>
    </row>
    <row r="146" spans="2:100" ht="78">
      <c r="B146" s="7" t="s">
        <v>114</v>
      </c>
      <c r="D146" s="6" t="s">
        <v>7</v>
      </c>
      <c r="E146" s="6" t="s">
        <v>8</v>
      </c>
      <c r="F146" s="6" t="s">
        <v>9</v>
      </c>
      <c r="G146" s="6" t="s">
        <v>10</v>
      </c>
      <c r="H146" s="6" t="s">
        <v>11</v>
      </c>
      <c r="I146" s="6" t="s">
        <v>12</v>
      </c>
      <c r="J146" s="6" t="s">
        <v>13</v>
      </c>
      <c r="K146" s="6" t="s">
        <v>14</v>
      </c>
      <c r="L146" s="6" t="s">
        <v>15</v>
      </c>
      <c r="M146" s="6" t="s">
        <v>16</v>
      </c>
      <c r="N146" s="6" t="s">
        <v>17</v>
      </c>
      <c r="O146" s="6" t="s">
        <v>18</v>
      </c>
      <c r="P146" s="6" t="s">
        <v>19</v>
      </c>
      <c r="Q146" s="6" t="s">
        <v>20</v>
      </c>
      <c r="R146" s="6" t="s">
        <v>21</v>
      </c>
      <c r="S146" s="6" t="s">
        <v>22</v>
      </c>
      <c r="T146" s="6" t="s">
        <v>23</v>
      </c>
      <c r="U146" s="6" t="s">
        <v>24</v>
      </c>
      <c r="V146" s="6" t="s">
        <v>25</v>
      </c>
      <c r="W146" s="6" t="s">
        <v>26</v>
      </c>
      <c r="X146" s="6" t="s">
        <v>27</v>
      </c>
      <c r="Y146" s="6" t="s">
        <v>28</v>
      </c>
      <c r="Z146" s="6" t="s">
        <v>29</v>
      </c>
      <c r="AA146" s="6" t="s">
        <v>30</v>
      </c>
      <c r="AB146" s="6" t="s">
        <v>31</v>
      </c>
      <c r="AC146" s="6" t="s">
        <v>32</v>
      </c>
      <c r="AD146" s="6" t="s">
        <v>33</v>
      </c>
      <c r="AE146" s="6" t="s">
        <v>34</v>
      </c>
      <c r="AF146" s="6" t="s">
        <v>35</v>
      </c>
      <c r="AG146" s="6" t="s">
        <v>36</v>
      </c>
      <c r="AH146" s="6" t="s">
        <v>37</v>
      </c>
      <c r="AI146" s="6" t="s">
        <v>38</v>
      </c>
      <c r="AJ146" s="6" t="s">
        <v>39</v>
      </c>
      <c r="AK146" s="6" t="s">
        <v>40</v>
      </c>
      <c r="AL146" s="6" t="s">
        <v>41</v>
      </c>
      <c r="AM146" s="6" t="s">
        <v>106</v>
      </c>
      <c r="AN146" s="6" t="s">
        <v>107</v>
      </c>
      <c r="AO146" s="6" t="s">
        <v>42</v>
      </c>
      <c r="AP146" s="6" t="s">
        <v>43</v>
      </c>
      <c r="AQ146" s="6" t="s">
        <v>44</v>
      </c>
      <c r="AR146" s="6" t="s">
        <v>45</v>
      </c>
      <c r="AS146" s="6" t="s">
        <v>46</v>
      </c>
      <c r="AT146" s="6" t="s">
        <v>47</v>
      </c>
      <c r="AU146" s="6" t="s">
        <v>48</v>
      </c>
      <c r="AV146" s="6" t="s">
        <v>108</v>
      </c>
      <c r="AW146" s="6" t="s">
        <v>49</v>
      </c>
      <c r="AX146" s="6" t="s">
        <v>50</v>
      </c>
      <c r="AY146" s="6" t="s">
        <v>51</v>
      </c>
      <c r="AZ146" s="6" t="s">
        <v>52</v>
      </c>
      <c r="BA146" s="6" t="s">
        <v>109</v>
      </c>
      <c r="BB146" s="6" t="s">
        <v>110</v>
      </c>
      <c r="BC146" s="6" t="s">
        <v>53</v>
      </c>
      <c r="BD146" s="6" t="s">
        <v>54</v>
      </c>
      <c r="BE146" s="6" t="s">
        <v>55</v>
      </c>
      <c r="BF146" s="6" t="s">
        <v>56</v>
      </c>
      <c r="BG146" s="6" t="s">
        <v>57</v>
      </c>
      <c r="BH146" s="6" t="s">
        <v>58</v>
      </c>
      <c r="BI146" s="6" t="s">
        <v>59</v>
      </c>
      <c r="BJ146" s="6" t="s">
        <v>60</v>
      </c>
      <c r="BK146" s="6" t="s">
        <v>61</v>
      </c>
      <c r="BL146" s="6" t="s">
        <v>62</v>
      </c>
      <c r="BM146" s="6" t="s">
        <v>63</v>
      </c>
      <c r="BN146" s="6" t="s">
        <v>64</v>
      </c>
      <c r="BO146" s="6" t="s">
        <v>65</v>
      </c>
      <c r="BP146" s="6" t="s">
        <v>66</v>
      </c>
      <c r="BQ146" s="6" t="s">
        <v>67</v>
      </c>
      <c r="BR146" s="6" t="s">
        <v>68</v>
      </c>
      <c r="BS146" s="6" t="s">
        <v>69</v>
      </c>
      <c r="BT146" s="6" t="s">
        <v>70</v>
      </c>
      <c r="BU146" s="6" t="s">
        <v>71</v>
      </c>
      <c r="BV146" s="6" t="s">
        <v>72</v>
      </c>
      <c r="BW146" s="6" t="s">
        <v>73</v>
      </c>
      <c r="BX146" s="6" t="s">
        <v>74</v>
      </c>
      <c r="BY146" s="6" t="s">
        <v>75</v>
      </c>
      <c r="BZ146" s="6" t="s">
        <v>76</v>
      </c>
      <c r="CA146" s="6" t="s">
        <v>77</v>
      </c>
      <c r="CB146" s="6" t="s">
        <v>78</v>
      </c>
      <c r="CC146" s="6" t="s">
        <v>79</v>
      </c>
      <c r="CD146" s="6" t="s">
        <v>111</v>
      </c>
      <c r="CE146" s="6" t="s">
        <v>80</v>
      </c>
      <c r="CF146" s="6" t="s">
        <v>81</v>
      </c>
      <c r="CG146" s="6" t="s">
        <v>82</v>
      </c>
      <c r="CH146" s="6" t="s">
        <v>83</v>
      </c>
      <c r="CI146" s="6" t="s">
        <v>84</v>
      </c>
      <c r="CJ146" s="6" t="s">
        <v>85</v>
      </c>
      <c r="CK146" s="6" t="s">
        <v>86</v>
      </c>
      <c r="CL146" s="6" t="s">
        <v>87</v>
      </c>
      <c r="CM146" s="6" t="s">
        <v>88</v>
      </c>
      <c r="CN146" s="6" t="s">
        <v>89</v>
      </c>
      <c r="CO146" s="6" t="s">
        <v>90</v>
      </c>
      <c r="CP146" s="6" t="s">
        <v>91</v>
      </c>
      <c r="CQ146" s="6" t="s">
        <v>92</v>
      </c>
      <c r="CR146" s="6" t="s">
        <v>93</v>
      </c>
      <c r="CS146" s="6" t="s">
        <v>94</v>
      </c>
      <c r="CT146" s="6" t="s">
        <v>95</v>
      </c>
      <c r="CU146" s="6" t="s">
        <v>96</v>
      </c>
      <c r="CV146" s="6" t="s">
        <v>97</v>
      </c>
    </row>
    <row r="147" spans="2:100">
      <c r="B147" s="140">
        <v>2021</v>
      </c>
      <c r="C147" t="s">
        <v>1</v>
      </c>
      <c r="D147" s="24">
        <f>+D97/$CW97</f>
        <v>6.53899583354623E-3</v>
      </c>
      <c r="E147" s="24">
        <f t="shared" ref="E147:BP147" si="43">+E97/$CW97</f>
        <v>6.0744092944050553E-3</v>
      </c>
      <c r="F147" s="24">
        <f t="shared" si="43"/>
        <v>3.0434668844377881E-3</v>
      </c>
      <c r="G147" s="24">
        <f t="shared" si="43"/>
        <v>6.9483967870825436E-4</v>
      </c>
      <c r="H147" s="24">
        <f t="shared" si="43"/>
        <v>1.2392488358634957E-3</v>
      </c>
      <c r="I147" s="24">
        <f t="shared" si="43"/>
        <v>5.4774463811058986E-2</v>
      </c>
      <c r="J147" s="24">
        <f t="shared" si="43"/>
        <v>7.4413661590053647E-4</v>
      </c>
      <c r="K147" s="24">
        <f t="shared" si="43"/>
        <v>3.8801427815458943E-2</v>
      </c>
      <c r="L147" s="24">
        <f t="shared" si="43"/>
        <v>8.9738774245646177E-2</v>
      </c>
      <c r="M147" s="24">
        <f t="shared" si="43"/>
        <v>1.3837393505453099E-4</v>
      </c>
      <c r="N147" s="24">
        <f t="shared" si="43"/>
        <v>1.723558479435129E-3</v>
      </c>
      <c r="O147" s="24">
        <f t="shared" si="43"/>
        <v>1.1124251339420274E-3</v>
      </c>
      <c r="P147" s="24">
        <f t="shared" si="43"/>
        <v>1.7240395056175128E-4</v>
      </c>
      <c r="Q147" s="24">
        <f t="shared" si="43"/>
        <v>1.2787175991932102E-5</v>
      </c>
      <c r="R147" s="24">
        <f t="shared" si="43"/>
        <v>1.5343665221263477E-2</v>
      </c>
      <c r="S147" s="24">
        <f t="shared" si="43"/>
        <v>4.3313662322464727E-4</v>
      </c>
      <c r="T147" s="24">
        <f t="shared" si="43"/>
        <v>1.4159770003980167E-2</v>
      </c>
      <c r="U147" s="24">
        <f t="shared" si="43"/>
        <v>3.0247929517922901E-3</v>
      </c>
      <c r="V147" s="24">
        <f t="shared" si="43"/>
        <v>4.2765572633980987E-3</v>
      </c>
      <c r="W147" s="24">
        <f t="shared" si="43"/>
        <v>3.0348256236843083E-3</v>
      </c>
      <c r="X147" s="24">
        <f t="shared" si="43"/>
        <v>1.1196764830838155E-2</v>
      </c>
      <c r="Y147" s="24">
        <f t="shared" si="43"/>
        <v>1.0045735752876289E-3</v>
      </c>
      <c r="Z147" s="24">
        <f t="shared" si="43"/>
        <v>1.0973805454321465E-3</v>
      </c>
      <c r="AA147" s="24">
        <f t="shared" si="43"/>
        <v>6.551893591247598E-4</v>
      </c>
      <c r="AB147" s="24">
        <f t="shared" si="43"/>
        <v>5.3959562337187888E-4</v>
      </c>
      <c r="AC147" s="24">
        <f t="shared" si="43"/>
        <v>4.7480083534552041E-3</v>
      </c>
      <c r="AD147" s="24">
        <f t="shared" si="43"/>
        <v>0.42925089305283343</v>
      </c>
      <c r="AE147" s="24">
        <f t="shared" si="43"/>
        <v>2.5399568876577541E-3</v>
      </c>
      <c r="AF147" s="24">
        <f t="shared" si="43"/>
        <v>3.058298567224779E-3</v>
      </c>
      <c r="AG147" s="24">
        <f t="shared" si="43"/>
        <v>9.6372208746331664E-3</v>
      </c>
      <c r="AH147" s="24">
        <f t="shared" si="43"/>
        <v>1.5137842893344139E-3</v>
      </c>
      <c r="AI147" s="24">
        <f t="shared" si="43"/>
        <v>2.5195272403415515E-3</v>
      </c>
      <c r="AJ147" s="24">
        <f t="shared" si="43"/>
        <v>1.2195430308415708E-2</v>
      </c>
      <c r="AK147" s="24">
        <f t="shared" si="43"/>
        <v>4.8370822909215216E-3</v>
      </c>
      <c r="AL147" s="24">
        <f t="shared" si="43"/>
        <v>1.4747264350909045E-3</v>
      </c>
      <c r="AM147" s="24">
        <f t="shared" si="43"/>
        <v>0</v>
      </c>
      <c r="AN147" s="24">
        <f t="shared" si="43"/>
        <v>4.4019429922829694E-6</v>
      </c>
      <c r="AO147" s="24">
        <f t="shared" si="43"/>
        <v>1.280699232538079E-2</v>
      </c>
      <c r="AP147" s="24">
        <f t="shared" si="43"/>
        <v>4.9246660729140274E-2</v>
      </c>
      <c r="AQ147" s="24">
        <f t="shared" si="43"/>
        <v>2.5787432677672173E-3</v>
      </c>
      <c r="AR147" s="24">
        <f t="shared" si="43"/>
        <v>1.4973974485550036E-3</v>
      </c>
      <c r="AS147" s="24">
        <f t="shared" si="43"/>
        <v>1.2035617760295558E-3</v>
      </c>
      <c r="AT147" s="24">
        <f t="shared" si="43"/>
        <v>1.2944116095412296E-4</v>
      </c>
      <c r="AU147" s="24">
        <f t="shared" si="43"/>
        <v>1.628273312824977E-3</v>
      </c>
      <c r="AV147" s="24">
        <f t="shared" si="43"/>
        <v>1.3808105717847226E-6</v>
      </c>
      <c r="AW147" s="24">
        <f t="shared" si="43"/>
        <v>1.9104503712169278E-5</v>
      </c>
      <c r="AX147" s="24">
        <f t="shared" si="43"/>
        <v>2.0579276498714045E-5</v>
      </c>
      <c r="AY147" s="24">
        <f t="shared" si="43"/>
        <v>6.961401719088366E-3</v>
      </c>
      <c r="AZ147" s="24">
        <f t="shared" si="43"/>
        <v>7.1923192197928315E-4</v>
      </c>
      <c r="BA147" s="24">
        <f t="shared" si="43"/>
        <v>0</v>
      </c>
      <c r="BB147" s="24">
        <f t="shared" si="43"/>
        <v>7.7613611019675425E-8</v>
      </c>
      <c r="BC147" s="24">
        <f t="shared" si="43"/>
        <v>3.7591916083472922E-4</v>
      </c>
      <c r="BD147" s="24">
        <f t="shared" si="43"/>
        <v>6.5297472946439114E-5</v>
      </c>
      <c r="BE147" s="24">
        <f t="shared" si="43"/>
        <v>1.3982862194987854E-3</v>
      </c>
      <c r="BF147" s="24">
        <f t="shared" si="43"/>
        <v>2.3463532878940813E-4</v>
      </c>
      <c r="BG147" s="24">
        <f t="shared" si="43"/>
        <v>3.7301074814716126E-4</v>
      </c>
      <c r="BH147" s="24">
        <f t="shared" si="43"/>
        <v>3.5736416833920941E-5</v>
      </c>
      <c r="BI147" s="24">
        <f t="shared" si="43"/>
        <v>3.6135020195683009E-4</v>
      </c>
      <c r="BJ147" s="24">
        <f t="shared" si="43"/>
        <v>9.448538138551694E-4</v>
      </c>
      <c r="BK147" s="24">
        <f t="shared" si="43"/>
        <v>1.1045244654976773E-3</v>
      </c>
      <c r="BL147" s="24">
        <f t="shared" si="43"/>
        <v>4.7520608863198237E-3</v>
      </c>
      <c r="BM147" s="24">
        <f t="shared" si="43"/>
        <v>6.664034178388528E-3</v>
      </c>
      <c r="BN147" s="24">
        <f t="shared" si="43"/>
        <v>2.4602265830057715E-3</v>
      </c>
      <c r="BO147" s="24">
        <f t="shared" si="43"/>
        <v>6.4251561927153626E-4</v>
      </c>
      <c r="BP147" s="24">
        <f t="shared" si="43"/>
        <v>2.0279662617323687E-4</v>
      </c>
      <c r="BQ147" s="24">
        <f t="shared" ref="BQ147:CV147" si="44">+BQ97/$CW97</f>
        <v>6.2820021990568514E-6</v>
      </c>
      <c r="BR147" s="24">
        <f t="shared" si="44"/>
        <v>1.1490969584426803E-6</v>
      </c>
      <c r="BS147" s="24">
        <f t="shared" si="44"/>
        <v>1.4298554942149164E-3</v>
      </c>
      <c r="BT147" s="24">
        <f t="shared" si="44"/>
        <v>2.0121961433448477E-3</v>
      </c>
      <c r="BU147" s="24">
        <f t="shared" si="44"/>
        <v>4.0843652024171876E-3</v>
      </c>
      <c r="BV147" s="24">
        <f t="shared" si="44"/>
        <v>8.1914443284300115E-2</v>
      </c>
      <c r="BW147" s="24">
        <f t="shared" si="44"/>
        <v>1.1598251310566894E-2</v>
      </c>
      <c r="BX147" s="24">
        <f t="shared" si="44"/>
        <v>4.8972726234895354E-3</v>
      </c>
      <c r="BY147" s="24">
        <f t="shared" si="44"/>
        <v>6.854615040535003E-3</v>
      </c>
      <c r="BZ147" s="24">
        <f t="shared" si="44"/>
        <v>7.5829648693004479E-7</v>
      </c>
      <c r="CA147" s="24">
        <f t="shared" si="44"/>
        <v>1.187912098214366E-2</v>
      </c>
      <c r="CB147" s="24">
        <f t="shared" si="44"/>
        <v>1.8624186659566905E-4</v>
      </c>
      <c r="CC147" s="24">
        <f t="shared" si="44"/>
        <v>1.0318268174969183E-5</v>
      </c>
      <c r="CD147" s="24">
        <f t="shared" si="44"/>
        <v>2.6501036290859999E-6</v>
      </c>
      <c r="CE147" s="24">
        <f t="shared" si="44"/>
        <v>2.8223076531826748E-5</v>
      </c>
      <c r="CF147" s="24">
        <f t="shared" si="44"/>
        <v>1.8379085381148234E-3</v>
      </c>
      <c r="CG147" s="24">
        <f t="shared" si="44"/>
        <v>1.1388793967712447E-3</v>
      </c>
      <c r="CH147" s="24">
        <f t="shared" si="44"/>
        <v>1.104930248140846E-2</v>
      </c>
      <c r="CI147" s="24">
        <f t="shared" si="44"/>
        <v>1.4991332174813916E-2</v>
      </c>
      <c r="CJ147" s="24">
        <f t="shared" si="44"/>
        <v>1.5347122192571888E-5</v>
      </c>
      <c r="CK147" s="24">
        <f t="shared" si="44"/>
        <v>7.1020885019161002E-3</v>
      </c>
      <c r="CL147" s="24">
        <f t="shared" si="44"/>
        <v>6.0324081832879308E-4</v>
      </c>
      <c r="CM147" s="24">
        <f t="shared" si="44"/>
        <v>1.0867397121972912E-4</v>
      </c>
      <c r="CN147" s="24">
        <f t="shared" si="44"/>
        <v>2.3792916509924465E-3</v>
      </c>
      <c r="CO147" s="24">
        <f t="shared" si="44"/>
        <v>5.1988332659421749E-5</v>
      </c>
      <c r="CP147" s="24">
        <f t="shared" si="44"/>
        <v>3.6147149057450081E-7</v>
      </c>
      <c r="CQ147" s="24">
        <f t="shared" si="44"/>
        <v>1.3719409309435375E-4</v>
      </c>
      <c r="CR147" s="24">
        <f t="shared" si="44"/>
        <v>3.3921463151478392E-3</v>
      </c>
      <c r="CS147" s="24">
        <f t="shared" si="44"/>
        <v>7.8856449002594078E-4</v>
      </c>
      <c r="CT147" s="24">
        <f t="shared" si="44"/>
        <v>3.3193036599012244E-3</v>
      </c>
      <c r="CU147" s="24">
        <f t="shared" si="44"/>
        <v>1.3338381508247628E-4</v>
      </c>
      <c r="CV147" s="24">
        <f t="shared" si="44"/>
        <v>2.6226323331066717E-4</v>
      </c>
    </row>
    <row r="148" spans="2:100">
      <c r="B148" s="140"/>
      <c r="C148" t="s">
        <v>2</v>
      </c>
      <c r="D148" s="24">
        <f t="shared" ref="D148:BO148" si="45">+D98/$CW98</f>
        <v>3.2338826976041047E-3</v>
      </c>
      <c r="E148" s="24">
        <f t="shared" si="45"/>
        <v>4.9374887095472294E-3</v>
      </c>
      <c r="F148" s="24">
        <f t="shared" si="45"/>
        <v>3.6618294428543809E-3</v>
      </c>
      <c r="G148" s="24">
        <f t="shared" si="45"/>
        <v>9.6498846158381453E-4</v>
      </c>
      <c r="H148" s="24">
        <f t="shared" si="45"/>
        <v>1.266636867255035E-3</v>
      </c>
      <c r="I148" s="24">
        <f t="shared" si="45"/>
        <v>5.3010168149295281E-2</v>
      </c>
      <c r="J148" s="24">
        <f t="shared" si="45"/>
        <v>6.409055747766875E-4</v>
      </c>
      <c r="K148" s="24">
        <f t="shared" si="45"/>
        <v>4.1465973269308377E-2</v>
      </c>
      <c r="L148" s="24">
        <f t="shared" si="45"/>
        <v>5.2221643911711642E-2</v>
      </c>
      <c r="M148" s="24">
        <f t="shared" si="45"/>
        <v>2.1020878184218445E-4</v>
      </c>
      <c r="N148" s="24">
        <f t="shared" si="45"/>
        <v>2.6171352350698989E-3</v>
      </c>
      <c r="O148" s="24">
        <f t="shared" si="45"/>
        <v>9.3676643873753926E-4</v>
      </c>
      <c r="P148" s="24">
        <f t="shared" si="45"/>
        <v>1.0786594959712809E-4</v>
      </c>
      <c r="Q148" s="24">
        <f t="shared" si="45"/>
        <v>1.8737720822378427E-5</v>
      </c>
      <c r="R148" s="24">
        <f t="shared" si="45"/>
        <v>2.8119871616833662E-2</v>
      </c>
      <c r="S148" s="24">
        <f t="shared" si="45"/>
        <v>8.7732584115547219E-4</v>
      </c>
      <c r="T148" s="24">
        <f t="shared" si="45"/>
        <v>8.4570943329659396E-3</v>
      </c>
      <c r="U148" s="24">
        <f t="shared" si="45"/>
        <v>3.2575150933212135E-3</v>
      </c>
      <c r="V148" s="24">
        <f t="shared" si="45"/>
        <v>3.2097816076644852E-3</v>
      </c>
      <c r="W148" s="24">
        <f t="shared" si="45"/>
        <v>3.1416988601712758E-3</v>
      </c>
      <c r="X148" s="24">
        <f t="shared" si="45"/>
        <v>9.5333209666646993E-3</v>
      </c>
      <c r="Y148" s="24">
        <f t="shared" si="45"/>
        <v>8.6793811196627041E-4</v>
      </c>
      <c r="Z148" s="24">
        <f t="shared" si="45"/>
        <v>8.2220210968078796E-4</v>
      </c>
      <c r="AA148" s="24">
        <f t="shared" si="45"/>
        <v>4.561487572950411E-4</v>
      </c>
      <c r="AB148" s="24">
        <f t="shared" si="45"/>
        <v>4.5039302261375678E-4</v>
      </c>
      <c r="AC148" s="24">
        <f t="shared" si="45"/>
        <v>2.8153799421367482E-3</v>
      </c>
      <c r="AD148" s="24">
        <f t="shared" si="45"/>
        <v>0.46587233727708932</v>
      </c>
      <c r="AE148" s="24">
        <f t="shared" si="45"/>
        <v>2.203786266339451E-3</v>
      </c>
      <c r="AF148" s="24">
        <f t="shared" si="45"/>
        <v>3.0239332782658296E-3</v>
      </c>
      <c r="AG148" s="24">
        <f t="shared" si="45"/>
        <v>8.9504859923680933E-3</v>
      </c>
      <c r="AH148" s="24">
        <f t="shared" si="45"/>
        <v>1.7992607893988909E-3</v>
      </c>
      <c r="AI148" s="24">
        <f t="shared" si="45"/>
        <v>2.6946605126736082E-3</v>
      </c>
      <c r="AJ148" s="24">
        <f t="shared" si="45"/>
        <v>1.040057013161747E-2</v>
      </c>
      <c r="AK148" s="24">
        <f t="shared" si="45"/>
        <v>3.7184816080135332E-3</v>
      </c>
      <c r="AL148" s="24">
        <f t="shared" si="45"/>
        <v>1.4394207147111527E-3</v>
      </c>
      <c r="AM148" s="24">
        <f t="shared" si="45"/>
        <v>6.9373087105692664E-6</v>
      </c>
      <c r="AN148" s="24">
        <f t="shared" si="45"/>
        <v>9.2691737527290698E-6</v>
      </c>
      <c r="AO148" s="24">
        <f t="shared" si="45"/>
        <v>1.2635790696285489E-2</v>
      </c>
      <c r="AP148" s="24">
        <f t="shared" si="45"/>
        <v>5.1164489133085793E-2</v>
      </c>
      <c r="AQ148" s="24">
        <f t="shared" si="45"/>
        <v>1.9637619952926014E-3</v>
      </c>
      <c r="AR148" s="24">
        <f t="shared" si="45"/>
        <v>1.7907103136142731E-3</v>
      </c>
      <c r="AS148" s="24">
        <f t="shared" si="45"/>
        <v>1.2178255058956432E-3</v>
      </c>
      <c r="AT148" s="24">
        <f t="shared" si="45"/>
        <v>1.9896273192177304E-4</v>
      </c>
      <c r="AU148" s="24">
        <f t="shared" si="45"/>
        <v>1.5117234983326854E-3</v>
      </c>
      <c r="AV148" s="24">
        <f t="shared" si="45"/>
        <v>1.3385174457619545E-6</v>
      </c>
      <c r="AW148" s="24">
        <f t="shared" si="45"/>
        <v>2.5314028018202174E-5</v>
      </c>
      <c r="AX148" s="24">
        <f t="shared" si="45"/>
        <v>2.2671012893815688E-5</v>
      </c>
      <c r="AY148" s="24">
        <f t="shared" si="45"/>
        <v>5.8609977000256318E-3</v>
      </c>
      <c r="AZ148" s="24">
        <f t="shared" si="45"/>
        <v>1.004853114705144E-3</v>
      </c>
      <c r="BA148" s="24">
        <f t="shared" si="45"/>
        <v>2.9965313611846614E-7</v>
      </c>
      <c r="BB148" s="24">
        <f t="shared" si="45"/>
        <v>1.2187346311498709E-7</v>
      </c>
      <c r="BC148" s="24">
        <f t="shared" si="45"/>
        <v>2.5893766360671178E-4</v>
      </c>
      <c r="BD148" s="24">
        <f t="shared" si="45"/>
        <v>7.1241824344507495E-5</v>
      </c>
      <c r="BE148" s="24">
        <f t="shared" si="45"/>
        <v>1.5596729409569135E-3</v>
      </c>
      <c r="BF148" s="24">
        <f t="shared" si="45"/>
        <v>2.1729630175691992E-4</v>
      </c>
      <c r="BG148" s="24">
        <f t="shared" si="45"/>
        <v>3.2769626319876485E-4</v>
      </c>
      <c r="BH148" s="24">
        <f t="shared" si="45"/>
        <v>3.5931274614811887E-5</v>
      </c>
      <c r="BI148" s="24">
        <f t="shared" si="45"/>
        <v>3.2491075768375301E-4</v>
      </c>
      <c r="BJ148" s="24">
        <f t="shared" si="45"/>
        <v>9.660559002505416E-4</v>
      </c>
      <c r="BK148" s="24">
        <f t="shared" si="45"/>
        <v>1.2478224687925521E-3</v>
      </c>
      <c r="BL148" s="24">
        <f t="shared" si="45"/>
        <v>4.4238711333289479E-3</v>
      </c>
      <c r="BM148" s="24">
        <f t="shared" si="45"/>
        <v>7.5988786246586155E-3</v>
      </c>
      <c r="BN148" s="24">
        <f t="shared" si="45"/>
        <v>2.3715376927156786E-3</v>
      </c>
      <c r="BO148" s="24">
        <f t="shared" si="45"/>
        <v>7.0322155739193672E-4</v>
      </c>
      <c r="BP148" s="24">
        <f t="shared" ref="BP148:CV148" si="46">+BP98/$CW98</f>
        <v>1.9744588810112522E-4</v>
      </c>
      <c r="BQ148" s="24">
        <f t="shared" si="46"/>
        <v>2.9219757022994692E-6</v>
      </c>
      <c r="BR148" s="24">
        <f>+BR98/$CW98</f>
        <v>7.2270099276385122E-7</v>
      </c>
      <c r="BS148" s="24">
        <f t="shared" si="46"/>
        <v>1.2811541100497413E-3</v>
      </c>
      <c r="BT148" s="24">
        <f t="shared" si="46"/>
        <v>1.8714387920972979E-3</v>
      </c>
      <c r="BU148" s="24">
        <f t="shared" si="46"/>
        <v>4.2540773173159819E-3</v>
      </c>
      <c r="BV148" s="24">
        <f t="shared" si="46"/>
        <v>9.2970705854108576E-2</v>
      </c>
      <c r="BW148" s="24">
        <f t="shared" si="46"/>
        <v>1.1368086194804361E-2</v>
      </c>
      <c r="BX148" s="24">
        <f t="shared" si="46"/>
        <v>5.080481977308364E-3</v>
      </c>
      <c r="BY148" s="24">
        <f t="shared" si="46"/>
        <v>5.9314862437264337E-3</v>
      </c>
      <c r="BZ148" s="24">
        <f t="shared" si="46"/>
        <v>8.8689523203321809E-7</v>
      </c>
      <c r="CA148" s="24">
        <f t="shared" si="46"/>
        <v>1.1887525072114472E-2</v>
      </c>
      <c r="CB148" s="24">
        <f t="shared" si="46"/>
        <v>1.2502859852662768E-4</v>
      </c>
      <c r="CC148" s="24">
        <f t="shared" si="46"/>
        <v>8.7769421774343769E-6</v>
      </c>
      <c r="CD148" s="24">
        <f t="shared" si="46"/>
        <v>4.4650471676026022E-6</v>
      </c>
      <c r="CE148" s="24">
        <f t="shared" si="46"/>
        <v>3.5113852658946731E-5</v>
      </c>
      <c r="CF148" s="24">
        <f t="shared" si="46"/>
        <v>1.5867469201023996E-3</v>
      </c>
      <c r="CG148" s="24">
        <f t="shared" si="46"/>
        <v>1.0208143657197098E-3</v>
      </c>
      <c r="CH148" s="24">
        <f t="shared" si="46"/>
        <v>8.990996009774592E-3</v>
      </c>
      <c r="CI148" s="24">
        <f t="shared" si="46"/>
        <v>1.2268851229824749E-2</v>
      </c>
      <c r="CJ148" s="24">
        <f t="shared" si="46"/>
        <v>1.2697573670495914E-5</v>
      </c>
      <c r="CK148" s="24">
        <f t="shared" si="46"/>
        <v>6.2330023605073684E-3</v>
      </c>
      <c r="CL148" s="24">
        <f t="shared" si="46"/>
        <v>8.2653805957344582E-4</v>
      </c>
      <c r="CM148" s="24">
        <f t="shared" si="46"/>
        <v>3.1871071427696525E-4</v>
      </c>
      <c r="CN148" s="24">
        <f t="shared" si="46"/>
        <v>1.9846708194709937E-3</v>
      </c>
      <c r="CO148" s="24">
        <f t="shared" si="46"/>
        <v>4.8705683669433893E-5</v>
      </c>
      <c r="CP148" s="24">
        <f t="shared" si="46"/>
        <v>1.923015227879614E-6</v>
      </c>
      <c r="CQ148" s="24">
        <f t="shared" si="46"/>
        <v>1.8032549728234684E-4</v>
      </c>
      <c r="CR148" s="24">
        <f t="shared" si="46"/>
        <v>2.8238027457448073E-3</v>
      </c>
      <c r="CS148" s="24">
        <f t="shared" si="46"/>
        <v>7.1373220576498417E-4</v>
      </c>
      <c r="CT148" s="24">
        <f t="shared" si="46"/>
        <v>2.7792179398796646E-3</v>
      </c>
      <c r="CU148" s="24">
        <f t="shared" si="46"/>
        <v>3.7955858625023523E-5</v>
      </c>
      <c r="CV148" s="24">
        <f t="shared" si="46"/>
        <v>2.2301283596844608E-4</v>
      </c>
    </row>
    <row r="149" spans="2:100">
      <c r="B149" s="140"/>
      <c r="C149" t="s">
        <v>3</v>
      </c>
      <c r="D149" s="24">
        <f t="shared" ref="D149:BO149" si="47">+D99/$CW99</f>
        <v>2.0024741176463317E-3</v>
      </c>
      <c r="E149" s="24">
        <f t="shared" si="47"/>
        <v>7.2721318592673711E-3</v>
      </c>
      <c r="F149" s="24">
        <f t="shared" si="47"/>
        <v>2.947601379023512E-3</v>
      </c>
      <c r="G149" s="24">
        <f t="shared" si="47"/>
        <v>7.936322056891987E-4</v>
      </c>
      <c r="H149" s="24">
        <f t="shared" si="47"/>
        <v>1.1539629176979234E-3</v>
      </c>
      <c r="I149" s="24">
        <f t="shared" si="47"/>
        <v>2.9795968316313287E-2</v>
      </c>
      <c r="J149" s="24">
        <f t="shared" si="47"/>
        <v>5.3456515976484196E-4</v>
      </c>
      <c r="K149" s="24">
        <f t="shared" si="47"/>
        <v>3.2173998589792793E-2</v>
      </c>
      <c r="L149" s="24">
        <f t="shared" si="47"/>
        <v>8.4064068360195573E-2</v>
      </c>
      <c r="M149" s="24">
        <f t="shared" si="47"/>
        <v>1.7365561030534217E-4</v>
      </c>
      <c r="N149" s="24">
        <f t="shared" si="47"/>
        <v>1.4633463288754847E-3</v>
      </c>
      <c r="O149" s="24">
        <f t="shared" si="47"/>
        <v>8.9515074919674148E-4</v>
      </c>
      <c r="P149" s="24">
        <f t="shared" si="47"/>
        <v>1.6018444076897808E-4</v>
      </c>
      <c r="Q149" s="24">
        <f t="shared" si="47"/>
        <v>2.8205659553260465E-5</v>
      </c>
      <c r="R149" s="24">
        <f t="shared" si="47"/>
        <v>1.8899718664225094E-2</v>
      </c>
      <c r="S149" s="24">
        <f t="shared" si="47"/>
        <v>8.6928864474263652E-4</v>
      </c>
      <c r="T149" s="24">
        <f t="shared" si="47"/>
        <v>1.2829061378461874E-2</v>
      </c>
      <c r="U149" s="24">
        <f t="shared" si="47"/>
        <v>3.2376136416204814E-3</v>
      </c>
      <c r="V149" s="24">
        <f t="shared" si="47"/>
        <v>4.2535644284882948E-3</v>
      </c>
      <c r="W149" s="24">
        <f t="shared" si="47"/>
        <v>3.2581609119867144E-3</v>
      </c>
      <c r="X149" s="24">
        <f t="shared" si="47"/>
        <v>1.1544870427239808E-2</v>
      </c>
      <c r="Y149" s="24">
        <f t="shared" si="47"/>
        <v>1.1717899571418926E-3</v>
      </c>
      <c r="Z149" s="24">
        <f t="shared" si="47"/>
        <v>1.3052639143331806E-3</v>
      </c>
      <c r="AA149" s="24">
        <f t="shared" si="47"/>
        <v>9.4082664428399261E-5</v>
      </c>
      <c r="AB149" s="24">
        <f t="shared" si="47"/>
        <v>4.7616719506146031E-4</v>
      </c>
      <c r="AC149" s="24">
        <f t="shared" si="47"/>
        <v>3.7235420005863069E-3</v>
      </c>
      <c r="AD149" s="24">
        <f t="shared" si="47"/>
        <v>0.4469433492357629</v>
      </c>
      <c r="AE149" s="24">
        <f t="shared" si="47"/>
        <v>3.3318710734789913E-3</v>
      </c>
      <c r="AF149" s="24">
        <f t="shared" si="47"/>
        <v>3.3649652451542248E-3</v>
      </c>
      <c r="AG149" s="24">
        <f t="shared" si="47"/>
        <v>1.0654025737345519E-2</v>
      </c>
      <c r="AH149" s="24">
        <f t="shared" si="47"/>
        <v>1.3092815533650092E-3</v>
      </c>
      <c r="AI149" s="24">
        <f t="shared" si="47"/>
        <v>2.8902933727762408E-3</v>
      </c>
      <c r="AJ149" s="24">
        <f t="shared" si="47"/>
        <v>1.2643481140117829E-2</v>
      </c>
      <c r="AK149" s="24">
        <f t="shared" si="47"/>
        <v>4.5868090183304715E-3</v>
      </c>
      <c r="AL149" s="24">
        <f t="shared" si="47"/>
        <v>1.2598829142878266E-3</v>
      </c>
      <c r="AM149" s="24">
        <f t="shared" si="47"/>
        <v>5.6545497971846709E-6</v>
      </c>
      <c r="AN149" s="24">
        <f t="shared" si="47"/>
        <v>7.9277878897115883E-6</v>
      </c>
      <c r="AO149" s="24">
        <f t="shared" si="47"/>
        <v>1.456014547747065E-2</v>
      </c>
      <c r="AP149" s="24">
        <f t="shared" si="47"/>
        <v>4.783680733752415E-2</v>
      </c>
      <c r="AQ149" s="24">
        <f t="shared" si="47"/>
        <v>2.8468394343595001E-3</v>
      </c>
      <c r="AR149" s="24">
        <f t="shared" si="47"/>
        <v>1.9812237454283222E-3</v>
      </c>
      <c r="AS149" s="24">
        <f t="shared" si="47"/>
        <v>1.1029698271796001E-3</v>
      </c>
      <c r="AT149" s="24">
        <f t="shared" si="47"/>
        <v>1.7601472485270157E-4</v>
      </c>
      <c r="AU149" s="24">
        <f t="shared" si="47"/>
        <v>1.1758582935674441E-3</v>
      </c>
      <c r="AV149" s="24">
        <f t="shared" si="47"/>
        <v>5.5001532739797076E-6</v>
      </c>
      <c r="AW149" s="24">
        <f t="shared" si="47"/>
        <v>1.5262355347039629E-5</v>
      </c>
      <c r="AX149" s="24">
        <f t="shared" si="47"/>
        <v>5.6897861397898568E-5</v>
      </c>
      <c r="AY149" s="24">
        <f t="shared" si="47"/>
        <v>6.4332778017102245E-3</v>
      </c>
      <c r="AZ149" s="24">
        <f t="shared" si="47"/>
        <v>1.0083633856191169E-3</v>
      </c>
      <c r="BA149" s="24">
        <f t="shared" si="47"/>
        <v>4.9420941482460999E-7</v>
      </c>
      <c r="BB149" s="24">
        <f t="shared" si="47"/>
        <v>0</v>
      </c>
      <c r="BC149" s="24">
        <f t="shared" si="47"/>
        <v>4.3027933321231532E-4</v>
      </c>
      <c r="BD149" s="24">
        <f t="shared" si="47"/>
        <v>1.155074835617898E-4</v>
      </c>
      <c r="BE149" s="24">
        <f t="shared" si="47"/>
        <v>1.7116161839481707E-3</v>
      </c>
      <c r="BF149" s="24">
        <f t="shared" si="47"/>
        <v>3.4610610579162535E-4</v>
      </c>
      <c r="BG149" s="24">
        <f t="shared" si="47"/>
        <v>3.9563893961970341E-4</v>
      </c>
      <c r="BH149" s="24">
        <f t="shared" si="47"/>
        <v>6.7474496066745527E-5</v>
      </c>
      <c r="BI149" s="24">
        <f t="shared" si="47"/>
        <v>3.2583955119475132E-4</v>
      </c>
      <c r="BJ149" s="24">
        <f t="shared" si="47"/>
        <v>1.018929540484252E-3</v>
      </c>
      <c r="BK149" s="24">
        <f t="shared" si="47"/>
        <v>1.8019274795925268E-3</v>
      </c>
      <c r="BL149" s="24">
        <f t="shared" si="47"/>
        <v>4.6318825877506211E-3</v>
      </c>
      <c r="BM149" s="24">
        <f t="shared" si="47"/>
        <v>8.2054545585442482E-3</v>
      </c>
      <c r="BN149" s="24">
        <f t="shared" si="47"/>
        <v>1.8629574785357314E-3</v>
      </c>
      <c r="BO149" s="24">
        <f t="shared" si="47"/>
        <v>7.8827081473459802E-4</v>
      </c>
      <c r="BP149" s="24">
        <f t="shared" ref="BP149:CV149" si="48">+BP99/$CW99</f>
        <v>2.7515297274193168E-4</v>
      </c>
      <c r="BQ149" s="24">
        <f t="shared" si="48"/>
        <v>2.6634248729161954E-5</v>
      </c>
      <c r="BR149" s="24">
        <f t="shared" si="48"/>
        <v>1.7891599333284014E-6</v>
      </c>
      <c r="BS149" s="24">
        <f t="shared" si="48"/>
        <v>1.1936608925953549E-3</v>
      </c>
      <c r="BT149" s="24">
        <f t="shared" si="48"/>
        <v>2.2723604334952169E-3</v>
      </c>
      <c r="BU149" s="24">
        <f t="shared" si="48"/>
        <v>4.4474214606862461E-3</v>
      </c>
      <c r="BV149" s="24">
        <f t="shared" si="48"/>
        <v>7.7253480583438949E-2</v>
      </c>
      <c r="BW149" s="24">
        <f t="shared" si="48"/>
        <v>2.0338946812084233E-2</v>
      </c>
      <c r="BX149" s="24">
        <f t="shared" si="48"/>
        <v>6.5743425204153969E-3</v>
      </c>
      <c r="BY149" s="24">
        <f t="shared" si="48"/>
        <v>8.2453995157367628E-3</v>
      </c>
      <c r="BZ149" s="24">
        <f t="shared" si="48"/>
        <v>1.3130220359295167E-5</v>
      </c>
      <c r="CA149" s="24">
        <f t="shared" si="48"/>
        <v>1.108508637333099E-2</v>
      </c>
      <c r="CB149" s="24">
        <f t="shared" si="48"/>
        <v>1.2724137356626077E-4</v>
      </c>
      <c r="CC149" s="24">
        <f t="shared" si="48"/>
        <v>2.1827420206091578E-5</v>
      </c>
      <c r="CD149" s="24">
        <f t="shared" si="48"/>
        <v>9.3362809841806437E-6</v>
      </c>
      <c r="CE149" s="24">
        <f t="shared" si="48"/>
        <v>5.5475360034374831E-5</v>
      </c>
      <c r="CF149" s="24">
        <f t="shared" si="48"/>
        <v>1.7784139229786585E-3</v>
      </c>
      <c r="CG149" s="24">
        <f t="shared" si="48"/>
        <v>1.2150780810486646E-3</v>
      </c>
      <c r="CH149" s="24">
        <f t="shared" si="48"/>
        <v>1.2066716817849217E-2</v>
      </c>
      <c r="CI149" s="24">
        <f t="shared" si="48"/>
        <v>1.5237663833389625E-2</v>
      </c>
      <c r="CJ149" s="24">
        <f t="shared" si="48"/>
        <v>2.0075521277936621E-5</v>
      </c>
      <c r="CK149" s="24">
        <f t="shared" si="48"/>
        <v>1.0714628193937299E-2</v>
      </c>
      <c r="CL149" s="24">
        <f t="shared" si="48"/>
        <v>4.1046257889254872E-3</v>
      </c>
      <c r="CM149" s="24">
        <f t="shared" si="48"/>
        <v>6.3349766896990812E-4</v>
      </c>
      <c r="CN149" s="24">
        <f t="shared" si="48"/>
        <v>2.1079816968159648E-3</v>
      </c>
      <c r="CO149" s="24">
        <f t="shared" si="48"/>
        <v>3.3097722567262268E-5</v>
      </c>
      <c r="CP149" s="24">
        <f t="shared" si="48"/>
        <v>6.2530741409253207E-7</v>
      </c>
      <c r="CQ149" s="24">
        <f t="shared" si="48"/>
        <v>3.621005924672258E-4</v>
      </c>
      <c r="CR149" s="24">
        <f t="shared" si="48"/>
        <v>4.0056242690682817E-3</v>
      </c>
      <c r="CS149" s="24">
        <f t="shared" si="48"/>
        <v>9.3878527289984696E-4</v>
      </c>
      <c r="CT149" s="24">
        <f t="shared" si="48"/>
        <v>3.3215897833202153E-3</v>
      </c>
      <c r="CU149" s="24">
        <f t="shared" si="48"/>
        <v>8.348585788949137E-5</v>
      </c>
      <c r="CV149" s="24">
        <f t="shared" si="48"/>
        <v>4.1357372994784943E-4</v>
      </c>
    </row>
    <row r="150" spans="2:100">
      <c r="B150" s="140"/>
      <c r="C150" t="s">
        <v>4</v>
      </c>
      <c r="D150" s="24">
        <f t="shared" ref="D150:BO150" si="49">+D100/$CW100</f>
        <v>4.0760484839448118E-3</v>
      </c>
      <c r="E150" s="24">
        <f t="shared" si="49"/>
        <v>5.8576027637345573E-3</v>
      </c>
      <c r="F150" s="24">
        <f t="shared" si="49"/>
        <v>2.9801449587388454E-3</v>
      </c>
      <c r="G150" s="24">
        <f t="shared" si="49"/>
        <v>4.4805584792076522E-4</v>
      </c>
      <c r="H150" s="24">
        <f t="shared" si="49"/>
        <v>1.018773286398661E-3</v>
      </c>
      <c r="I150" s="24">
        <f t="shared" si="49"/>
        <v>3.6583342078504721E-2</v>
      </c>
      <c r="J150" s="24">
        <f t="shared" si="49"/>
        <v>4.8533096189895233E-4</v>
      </c>
      <c r="K150" s="24">
        <f t="shared" si="49"/>
        <v>2.6776555397461318E-2</v>
      </c>
      <c r="L150" s="24">
        <f t="shared" si="49"/>
        <v>8.1701249291962777E-2</v>
      </c>
      <c r="M150" s="24">
        <f t="shared" si="49"/>
        <v>7.953697506716959E-5</v>
      </c>
      <c r="N150" s="24">
        <f t="shared" si="49"/>
        <v>1.5359026654660935E-3</v>
      </c>
      <c r="O150" s="24">
        <f t="shared" si="49"/>
        <v>8.4942713730141518E-4</v>
      </c>
      <c r="P150" s="24">
        <f t="shared" si="49"/>
        <v>4.873858615511491E-5</v>
      </c>
      <c r="Q150" s="24">
        <f t="shared" si="49"/>
        <v>1.0488131373551122E-5</v>
      </c>
      <c r="R150" s="24">
        <f t="shared" si="49"/>
        <v>1.3807330717129345E-2</v>
      </c>
      <c r="S150" s="24">
        <f t="shared" si="49"/>
        <v>7.7588543156377791E-4</v>
      </c>
      <c r="T150" s="24">
        <f t="shared" si="49"/>
        <v>1.2660850188150158E-2</v>
      </c>
      <c r="U150" s="24">
        <f t="shared" si="49"/>
        <v>2.6790792407144089E-3</v>
      </c>
      <c r="V150" s="24">
        <f t="shared" si="49"/>
        <v>3.4829658690753969E-3</v>
      </c>
      <c r="W150" s="24">
        <f t="shared" si="49"/>
        <v>2.3582640298710103E-3</v>
      </c>
      <c r="X150" s="24">
        <f t="shared" si="49"/>
        <v>9.7672531419315603E-3</v>
      </c>
      <c r="Y150" s="24">
        <f t="shared" si="49"/>
        <v>1.1808053539121479E-3</v>
      </c>
      <c r="Z150" s="24">
        <f t="shared" si="49"/>
        <v>1.1382677426609814E-3</v>
      </c>
      <c r="AA150" s="24">
        <f t="shared" si="49"/>
        <v>3.0219497019293637E-6</v>
      </c>
      <c r="AB150" s="24">
        <f t="shared" si="49"/>
        <v>5.4043206104845891E-4</v>
      </c>
      <c r="AC150" s="24">
        <f t="shared" si="49"/>
        <v>4.3449325476537029E-3</v>
      </c>
      <c r="AD150" s="24">
        <f t="shared" si="49"/>
        <v>0.5000435257482001</v>
      </c>
      <c r="AE150" s="24">
        <f t="shared" si="49"/>
        <v>2.6610386007869438E-3</v>
      </c>
      <c r="AF150" s="24">
        <f t="shared" si="49"/>
        <v>3.319239119674881E-3</v>
      </c>
      <c r="AG150" s="24">
        <f t="shared" si="49"/>
        <v>8.6947563039429868E-3</v>
      </c>
      <c r="AH150" s="24">
        <f t="shared" si="49"/>
        <v>1.1354427437600318E-3</v>
      </c>
      <c r="AI150" s="24">
        <f t="shared" si="49"/>
        <v>2.4679159958997461E-3</v>
      </c>
      <c r="AJ150" s="24">
        <f t="shared" si="49"/>
        <v>1.1395073654573647E-2</v>
      </c>
      <c r="AK150" s="24">
        <f t="shared" si="49"/>
        <v>3.6753023540304756E-3</v>
      </c>
      <c r="AL150" s="24">
        <f t="shared" si="49"/>
        <v>1.1731142746474695E-3</v>
      </c>
      <c r="AM150" s="24">
        <f t="shared" si="49"/>
        <v>1.3098718728729086E-7</v>
      </c>
      <c r="AN150" s="24">
        <f t="shared" si="49"/>
        <v>3.4543241449563532E-6</v>
      </c>
      <c r="AO150" s="24">
        <f t="shared" si="49"/>
        <v>1.1533270808603658E-2</v>
      </c>
      <c r="AP150" s="24">
        <f t="shared" si="49"/>
        <v>4.4635468379723521E-2</v>
      </c>
      <c r="AQ150" s="24">
        <f t="shared" si="49"/>
        <v>2.5107298949360274E-3</v>
      </c>
      <c r="AR150" s="24">
        <f t="shared" si="49"/>
        <v>1.7217860591631458E-3</v>
      </c>
      <c r="AS150" s="24">
        <f t="shared" si="49"/>
        <v>1.3312732513534151E-3</v>
      </c>
      <c r="AT150" s="24">
        <f t="shared" si="49"/>
        <v>1.9645606227655668E-4</v>
      </c>
      <c r="AU150" s="24">
        <f t="shared" si="49"/>
        <v>9.6202309610680882E-4</v>
      </c>
      <c r="AV150" s="24">
        <f t="shared" si="49"/>
        <v>1.9327560421341827E-6</v>
      </c>
      <c r="AW150" s="24">
        <f t="shared" si="49"/>
        <v>2.9256957561961322E-5</v>
      </c>
      <c r="AX150" s="24">
        <f t="shared" si="49"/>
        <v>8.2688062277487792E-5</v>
      </c>
      <c r="AY150" s="24">
        <f t="shared" si="49"/>
        <v>5.636633944660966E-3</v>
      </c>
      <c r="AZ150" s="24">
        <f t="shared" si="49"/>
        <v>9.6196216310769859E-4</v>
      </c>
      <c r="BA150" s="24">
        <f t="shared" si="49"/>
        <v>0</v>
      </c>
      <c r="BB150" s="24">
        <f t="shared" si="49"/>
        <v>2.6722979874585592E-7</v>
      </c>
      <c r="BC150" s="24">
        <f t="shared" si="49"/>
        <v>5.7680568857354313E-4</v>
      </c>
      <c r="BD150" s="24">
        <f t="shared" si="49"/>
        <v>8.1810172830920302E-5</v>
      </c>
      <c r="BE150" s="24">
        <f t="shared" si="49"/>
        <v>1.4334129793459839E-3</v>
      </c>
      <c r="BF150" s="24">
        <f t="shared" si="49"/>
        <v>2.3322191613214132E-4</v>
      </c>
      <c r="BG150" s="24">
        <f t="shared" si="49"/>
        <v>2.9207325364889036E-4</v>
      </c>
      <c r="BH150" s="24">
        <f t="shared" si="49"/>
        <v>1.72785010182622E-5</v>
      </c>
      <c r="BI150" s="24">
        <f t="shared" si="49"/>
        <v>2.937981088229673E-4</v>
      </c>
      <c r="BJ150" s="24">
        <f t="shared" si="49"/>
        <v>8.6804120728866557E-4</v>
      </c>
      <c r="BK150" s="24">
        <f t="shared" si="49"/>
        <v>1.8713933934969057E-3</v>
      </c>
      <c r="BL150" s="24">
        <f t="shared" si="49"/>
        <v>4.5600970287419775E-3</v>
      </c>
      <c r="BM150" s="24">
        <f t="shared" si="49"/>
        <v>7.4754690293760417E-3</v>
      </c>
      <c r="BN150" s="24">
        <f t="shared" si="49"/>
        <v>1.4357669213538981E-3</v>
      </c>
      <c r="BO150" s="24">
        <f t="shared" si="49"/>
        <v>8.5731484335325233E-4</v>
      </c>
      <c r="BP150" s="24">
        <f t="shared" ref="BP150:CV150" si="50">+BP100/$CW100</f>
        <v>2.8018733865257136E-4</v>
      </c>
      <c r="BQ150" s="24">
        <f t="shared" si="50"/>
        <v>1.6057789748554434E-5</v>
      </c>
      <c r="BR150" s="24">
        <f t="shared" si="50"/>
        <v>1.3914017505477774E-6</v>
      </c>
      <c r="BS150" s="24">
        <f t="shared" si="50"/>
        <v>1.1560689691762151E-3</v>
      </c>
      <c r="BT150" s="24">
        <f t="shared" si="50"/>
        <v>1.9297406943138582E-3</v>
      </c>
      <c r="BU150" s="24">
        <f t="shared" si="50"/>
        <v>3.4617947116150163E-3</v>
      </c>
      <c r="BV150" s="24">
        <f t="shared" si="50"/>
        <v>7.4125703989811303E-2</v>
      </c>
      <c r="BW150" s="24">
        <f t="shared" si="50"/>
        <v>1.3703169304501375E-2</v>
      </c>
      <c r="BX150" s="24">
        <f t="shared" si="50"/>
        <v>5.2049945529877564E-3</v>
      </c>
      <c r="BY150" s="24">
        <f t="shared" si="50"/>
        <v>6.6637533854666817E-3</v>
      </c>
      <c r="BZ150" s="24">
        <f t="shared" si="50"/>
        <v>1.412689058562584E-6</v>
      </c>
      <c r="CA150" s="24">
        <f t="shared" si="50"/>
        <v>1.1684924622230438E-2</v>
      </c>
      <c r="CB150" s="24">
        <f t="shared" si="50"/>
        <v>2.220021415501882E-5</v>
      </c>
      <c r="CC150" s="24">
        <f t="shared" si="50"/>
        <v>4.5577096101061132E-6</v>
      </c>
      <c r="CD150" s="24">
        <f t="shared" si="50"/>
        <v>4.4924892281163714E-6</v>
      </c>
      <c r="CE150" s="24">
        <f t="shared" si="50"/>
        <v>3.2894215910016354E-5</v>
      </c>
      <c r="CF150" s="24">
        <f t="shared" si="50"/>
        <v>1.5807130944648006E-3</v>
      </c>
      <c r="CG150" s="24">
        <f t="shared" si="50"/>
        <v>1.0101253215178167E-3</v>
      </c>
      <c r="CH150" s="24">
        <f t="shared" si="50"/>
        <v>8.4630158270019625E-3</v>
      </c>
      <c r="CI150" s="24">
        <f t="shared" si="50"/>
        <v>1.3894357509276305E-2</v>
      </c>
      <c r="CJ150" s="24">
        <f t="shared" si="50"/>
        <v>1.3559795996081359E-5</v>
      </c>
      <c r="CK150" s="24">
        <f t="shared" si="50"/>
        <v>6.9038491788055668E-3</v>
      </c>
      <c r="CL150" s="24">
        <f t="shared" si="50"/>
        <v>6.076407958518278E-4</v>
      </c>
      <c r="CM150" s="24">
        <f t="shared" si="50"/>
        <v>1.9144228601282708E-4</v>
      </c>
      <c r="CN150" s="24">
        <f t="shared" si="50"/>
        <v>1.9076497632203322E-3</v>
      </c>
      <c r="CO150" s="24">
        <f t="shared" si="50"/>
        <v>2.3734611605079617E-5</v>
      </c>
      <c r="CP150" s="24">
        <f t="shared" si="50"/>
        <v>1.5944411312372293E-5</v>
      </c>
      <c r="CQ150" s="24">
        <f t="shared" si="50"/>
        <v>8.0801777017575039E-5</v>
      </c>
      <c r="CR150" s="24">
        <f t="shared" si="50"/>
        <v>3.4382322177516573E-3</v>
      </c>
      <c r="CS150" s="24">
        <f t="shared" si="50"/>
        <v>7.8131766407685092E-4</v>
      </c>
      <c r="CT150" s="24">
        <f t="shared" si="50"/>
        <v>3.2158360161927517E-3</v>
      </c>
      <c r="CU150" s="24">
        <f t="shared" si="50"/>
        <v>6.2668338731775597E-5</v>
      </c>
      <c r="CV150" s="24">
        <f t="shared" si="50"/>
        <v>1.5625665716208762E-4</v>
      </c>
    </row>
    <row r="151" spans="2:100">
      <c r="B151" s="140">
        <v>2022</v>
      </c>
      <c r="C151" t="s">
        <v>1</v>
      </c>
      <c r="D151" s="24">
        <f t="shared" ref="D151:BO151" si="51">+D101/$CW101</f>
        <v>9.3332012636257074E-3</v>
      </c>
      <c r="E151" s="24">
        <f t="shared" si="51"/>
        <v>3.5547436701098474E-3</v>
      </c>
      <c r="F151" s="24">
        <f t="shared" si="51"/>
        <v>2.3588256011013121E-3</v>
      </c>
      <c r="G151" s="24">
        <f t="shared" si="51"/>
        <v>2.5307085105039074E-4</v>
      </c>
      <c r="H151" s="24">
        <f t="shared" si="51"/>
        <v>1.0657578546198873E-3</v>
      </c>
      <c r="I151" s="24">
        <f t="shared" si="51"/>
        <v>4.8865161752823454E-2</v>
      </c>
      <c r="J151" s="24">
        <f t="shared" si="51"/>
        <v>5.8169163767644741E-4</v>
      </c>
      <c r="K151" s="24">
        <f t="shared" si="51"/>
        <v>2.5677275161033464E-2</v>
      </c>
      <c r="L151" s="24">
        <f t="shared" si="51"/>
        <v>8.8180217230615671E-2</v>
      </c>
      <c r="M151" s="24">
        <f t="shared" si="51"/>
        <v>1.4739600217867046E-4</v>
      </c>
      <c r="N151" s="24">
        <f t="shared" si="51"/>
        <v>1.4595612000301243E-3</v>
      </c>
      <c r="O151" s="24">
        <f t="shared" si="51"/>
        <v>9.1696925243340427E-4</v>
      </c>
      <c r="P151" s="24">
        <f t="shared" si="51"/>
        <v>1.5985648232248018E-4</v>
      </c>
      <c r="Q151" s="24">
        <f t="shared" si="51"/>
        <v>2.6096176481588517E-5</v>
      </c>
      <c r="R151" s="24">
        <f t="shared" si="51"/>
        <v>1.8871790121934417E-2</v>
      </c>
      <c r="S151" s="24">
        <f t="shared" si="51"/>
        <v>6.2586327014845097E-4</v>
      </c>
      <c r="T151" s="24">
        <f t="shared" si="51"/>
        <v>1.1176621743424413E-2</v>
      </c>
      <c r="U151" s="24">
        <f t="shared" si="51"/>
        <v>2.4124054348545428E-3</v>
      </c>
      <c r="V151" s="24">
        <f t="shared" si="51"/>
        <v>3.0194532554531296E-3</v>
      </c>
      <c r="W151" s="24">
        <f t="shared" si="51"/>
        <v>2.2543273357894531E-3</v>
      </c>
      <c r="X151" s="24">
        <f t="shared" si="51"/>
        <v>9.1530924639588781E-3</v>
      </c>
      <c r="Y151" s="24">
        <f t="shared" si="51"/>
        <v>8.3116014256720062E-4</v>
      </c>
      <c r="Z151" s="24">
        <f t="shared" si="51"/>
        <v>1.0077286474356483E-3</v>
      </c>
      <c r="AA151" s="24">
        <f t="shared" si="51"/>
        <v>3.1588542059366966E-5</v>
      </c>
      <c r="AB151" s="24">
        <f t="shared" si="51"/>
        <v>4.8169275902077048E-4</v>
      </c>
      <c r="AC151" s="24">
        <f t="shared" si="51"/>
        <v>3.6869774131754632E-3</v>
      </c>
      <c r="AD151" s="24">
        <f t="shared" si="51"/>
        <v>0.50738921564447814</v>
      </c>
      <c r="AE151" s="24">
        <f t="shared" si="51"/>
        <v>3.0025876579380054E-3</v>
      </c>
      <c r="AF151" s="24">
        <f t="shared" si="51"/>
        <v>2.9755448577239722E-3</v>
      </c>
      <c r="AG151" s="24">
        <f t="shared" si="51"/>
        <v>7.169635143647623E-3</v>
      </c>
      <c r="AH151" s="24">
        <f t="shared" si="51"/>
        <v>1.1939731610686496E-3</v>
      </c>
      <c r="AI151" s="24">
        <f t="shared" si="51"/>
        <v>2.2029240467616902E-3</v>
      </c>
      <c r="AJ151" s="24">
        <f t="shared" si="51"/>
        <v>9.4380401046784499E-3</v>
      </c>
      <c r="AK151" s="24">
        <f t="shared" si="51"/>
        <v>3.84278018803363E-3</v>
      </c>
      <c r="AL151" s="24">
        <f t="shared" si="51"/>
        <v>1.0246169859107848E-3</v>
      </c>
      <c r="AM151" s="24">
        <f t="shared" si="51"/>
        <v>1.7840724063855833E-7</v>
      </c>
      <c r="AN151" s="24">
        <f t="shared" si="51"/>
        <v>7.2159728924325013E-6</v>
      </c>
      <c r="AO151" s="24">
        <f t="shared" si="51"/>
        <v>9.2653235461435095E-3</v>
      </c>
      <c r="AP151" s="24">
        <f t="shared" si="51"/>
        <v>4.2425968948220538E-2</v>
      </c>
      <c r="AQ151" s="24">
        <f t="shared" si="51"/>
        <v>2.0363701187396761E-3</v>
      </c>
      <c r="AR151" s="24">
        <f t="shared" si="51"/>
        <v>1.1074122165201854E-3</v>
      </c>
      <c r="AS151" s="24">
        <f t="shared" si="51"/>
        <v>1.0819638939327831E-3</v>
      </c>
      <c r="AT151" s="24">
        <f t="shared" si="51"/>
        <v>1.4148086411035571E-4</v>
      </c>
      <c r="AU151" s="24">
        <f t="shared" si="51"/>
        <v>8.1725220360218261E-4</v>
      </c>
      <c r="AV151" s="24">
        <f t="shared" si="51"/>
        <v>1.010303580350817E-5</v>
      </c>
      <c r="AW151" s="24">
        <f t="shared" si="51"/>
        <v>2.8032673831272239E-5</v>
      </c>
      <c r="AX151" s="24">
        <f t="shared" si="51"/>
        <v>5.2399743044490931E-5</v>
      </c>
      <c r="AY151" s="24">
        <f t="shared" si="51"/>
        <v>5.9859981116590112E-3</v>
      </c>
      <c r="AZ151" s="24">
        <f t="shared" si="51"/>
        <v>7.5567473274561182E-4</v>
      </c>
      <c r="BA151" s="24">
        <f t="shared" si="51"/>
        <v>1.1558893487938635E-8</v>
      </c>
      <c r="BB151" s="24">
        <f t="shared" si="51"/>
        <v>1.2506746207910011E-6</v>
      </c>
      <c r="BC151" s="24">
        <f t="shared" si="51"/>
        <v>3.7599224213477915E-4</v>
      </c>
      <c r="BD151" s="24">
        <f t="shared" si="51"/>
        <v>2.9066205432212852E-5</v>
      </c>
      <c r="BE151" s="24">
        <f t="shared" si="51"/>
        <v>1.3772980678569116E-3</v>
      </c>
      <c r="BF151" s="24">
        <f t="shared" si="51"/>
        <v>2.1054331774905539E-4</v>
      </c>
      <c r="BG151" s="24">
        <f t="shared" si="51"/>
        <v>2.5765681721962231E-4</v>
      </c>
      <c r="BH151" s="24">
        <f t="shared" si="51"/>
        <v>1.2750383603236407E-5</v>
      </c>
      <c r="BI151" s="24">
        <f t="shared" si="51"/>
        <v>2.4366145596257808E-4</v>
      </c>
      <c r="BJ151" s="24">
        <f t="shared" si="51"/>
        <v>1.041746893141939E-3</v>
      </c>
      <c r="BK151" s="24">
        <f t="shared" si="51"/>
        <v>1.3288779052530654E-3</v>
      </c>
      <c r="BL151" s="24">
        <f t="shared" si="51"/>
        <v>4.2944462331451798E-3</v>
      </c>
      <c r="BM151" s="24">
        <f t="shared" si="51"/>
        <v>5.8924137559238548E-3</v>
      </c>
      <c r="BN151" s="24">
        <f t="shared" si="51"/>
        <v>1.7124620591208717E-3</v>
      </c>
      <c r="BO151" s="24">
        <f t="shared" si="51"/>
        <v>6.5750352115433034E-4</v>
      </c>
      <c r="BP151" s="24">
        <f t="shared" ref="BP151:CV151" si="52">+BP101/$CW101</f>
        <v>2.6167746554494215E-4</v>
      </c>
      <c r="BQ151" s="24">
        <f t="shared" si="52"/>
        <v>2.8404096220890384E-5</v>
      </c>
      <c r="BR151" s="24">
        <f t="shared" si="52"/>
        <v>1.1296811116348399E-6</v>
      </c>
      <c r="BS151" s="24">
        <f t="shared" si="52"/>
        <v>9.4513000130627862E-4</v>
      </c>
      <c r="BT151" s="24">
        <f t="shared" si="52"/>
        <v>1.6614812134464016E-3</v>
      </c>
      <c r="BU151" s="24">
        <f t="shared" si="52"/>
        <v>2.8369047271348986E-3</v>
      </c>
      <c r="BV151" s="24">
        <f t="shared" si="52"/>
        <v>5.559481638528848E-2</v>
      </c>
      <c r="BW151" s="24">
        <f t="shared" si="52"/>
        <v>1.5772680571645593E-2</v>
      </c>
      <c r="BX151" s="24">
        <f t="shared" si="52"/>
        <v>5.4505832174528181E-3</v>
      </c>
      <c r="BY151" s="24">
        <f t="shared" si="52"/>
        <v>6.6191785882474046E-3</v>
      </c>
      <c r="BZ151" s="24">
        <f t="shared" si="52"/>
        <v>4.5344300002275026E-6</v>
      </c>
      <c r="CA151" s="24">
        <f t="shared" si="52"/>
        <v>1.3604279507636164E-2</v>
      </c>
      <c r="CB151" s="24">
        <f t="shared" si="52"/>
        <v>1.0609112148802875E-4</v>
      </c>
      <c r="CC151" s="24">
        <f t="shared" si="52"/>
        <v>7.4339797998246005E-6</v>
      </c>
      <c r="CD151" s="24">
        <f t="shared" si="52"/>
        <v>3.7627751578242132E-6</v>
      </c>
      <c r="CE151" s="24">
        <f t="shared" si="52"/>
        <v>3.9714673248401147E-5</v>
      </c>
      <c r="CF151" s="24">
        <f t="shared" si="52"/>
        <v>1.3161458986096076E-3</v>
      </c>
      <c r="CG151" s="24">
        <f t="shared" si="52"/>
        <v>9.3192984266788769E-4</v>
      </c>
      <c r="CH151" s="24">
        <f t="shared" si="52"/>
        <v>8.5116723288496884E-3</v>
      </c>
      <c r="CI151" s="24">
        <f t="shared" si="52"/>
        <v>1.1532245339698408E-2</v>
      </c>
      <c r="CJ151" s="24">
        <f t="shared" si="52"/>
        <v>3.8866502205561503E-5</v>
      </c>
      <c r="CK151" s="24">
        <f t="shared" si="52"/>
        <v>6.6865037280769892E-3</v>
      </c>
      <c r="CL151" s="24">
        <f t="shared" si="52"/>
        <v>2.8588820488681444E-3</v>
      </c>
      <c r="CM151" s="24">
        <f t="shared" si="52"/>
        <v>3.5737975299490629E-4</v>
      </c>
      <c r="CN151" s="24">
        <f t="shared" si="52"/>
        <v>2.1291798714696002E-3</v>
      </c>
      <c r="CO151" s="24">
        <f t="shared" si="52"/>
        <v>2.4417676605390574E-5</v>
      </c>
      <c r="CP151" s="24">
        <f t="shared" si="52"/>
        <v>2.3222235279562668E-7</v>
      </c>
      <c r="CQ151" s="24">
        <f t="shared" si="52"/>
        <v>1.0860606542686214E-5</v>
      </c>
      <c r="CR151" s="24">
        <f t="shared" si="52"/>
        <v>3.1261964619298029E-3</v>
      </c>
      <c r="CS151" s="24">
        <f t="shared" si="52"/>
        <v>7.4418848555464229E-4</v>
      </c>
      <c r="CT151" s="24">
        <f t="shared" si="52"/>
        <v>2.9796955559143602E-3</v>
      </c>
      <c r="CU151" s="24">
        <f t="shared" si="52"/>
        <v>1.1663286752996942E-4</v>
      </c>
      <c r="CV151" s="24">
        <f t="shared" si="52"/>
        <v>1.7426975953665878E-4</v>
      </c>
    </row>
    <row r="152" spans="2:100">
      <c r="B152" s="140"/>
      <c r="C152" t="s">
        <v>2</v>
      </c>
      <c r="D152" s="24">
        <f t="shared" ref="D152:BO152" si="53">+D102/$CW102</f>
        <v>5.3645792777532912E-3</v>
      </c>
      <c r="E152" s="24">
        <f t="shared" si="53"/>
        <v>2.2415615684617234E-3</v>
      </c>
      <c r="F152" s="24">
        <f t="shared" si="53"/>
        <v>2.2183945501463537E-3</v>
      </c>
      <c r="G152" s="24">
        <f t="shared" si="53"/>
        <v>3.1913594956595111E-4</v>
      </c>
      <c r="H152" s="24">
        <f t="shared" si="53"/>
        <v>8.919431274441277E-4</v>
      </c>
      <c r="I152" s="24">
        <f t="shared" si="53"/>
        <v>3.9498726044301005E-2</v>
      </c>
      <c r="J152" s="24">
        <f t="shared" si="53"/>
        <v>4.2548156690383021E-4</v>
      </c>
      <c r="K152" s="24">
        <f t="shared" si="53"/>
        <v>2.7784055468119045E-2</v>
      </c>
      <c r="L152" s="24">
        <f t="shared" si="53"/>
        <v>6.2261975135170011E-2</v>
      </c>
      <c r="M152" s="24">
        <f t="shared" si="53"/>
        <v>4.0831998688575979E-5</v>
      </c>
      <c r="N152" s="24">
        <f t="shared" si="53"/>
        <v>1.5965085478337904E-3</v>
      </c>
      <c r="O152" s="24">
        <f t="shared" si="53"/>
        <v>7.1139951145017869E-4</v>
      </c>
      <c r="P152" s="24">
        <f t="shared" si="53"/>
        <v>1.1263248853539889E-4</v>
      </c>
      <c r="Q152" s="24">
        <f t="shared" si="53"/>
        <v>2.4509439107899847E-5</v>
      </c>
      <c r="R152" s="24">
        <f t="shared" si="53"/>
        <v>2.9049059369635595E-2</v>
      </c>
      <c r="S152" s="24">
        <f t="shared" si="53"/>
        <v>3.4524902684235337E-4</v>
      </c>
      <c r="T152" s="24">
        <f t="shared" si="53"/>
        <v>9.6123082250555558E-3</v>
      </c>
      <c r="U152" s="24">
        <f t="shared" si="53"/>
        <v>1.9816274698456256E-3</v>
      </c>
      <c r="V152" s="24">
        <f t="shared" si="53"/>
        <v>3.0115462671071792E-3</v>
      </c>
      <c r="W152" s="24">
        <f t="shared" si="53"/>
        <v>2.3660407056636441E-3</v>
      </c>
      <c r="X152" s="24">
        <f t="shared" si="53"/>
        <v>8.3816825561226112E-3</v>
      </c>
      <c r="Y152" s="24">
        <f t="shared" si="53"/>
        <v>8.9184926654354451E-4</v>
      </c>
      <c r="Z152" s="24">
        <f t="shared" si="53"/>
        <v>1.1249978313815246E-3</v>
      </c>
      <c r="AA152" s="24">
        <f t="shared" si="53"/>
        <v>2.0235899688170794E-4</v>
      </c>
      <c r="AB152" s="24">
        <f t="shared" si="53"/>
        <v>3.9456777186871306E-4</v>
      </c>
      <c r="AC152" s="24">
        <f t="shared" si="53"/>
        <v>2.0441564870089463E-3</v>
      </c>
      <c r="AD152" s="24">
        <f t="shared" si="53"/>
        <v>0.56918727380006906</v>
      </c>
      <c r="AE152" s="24">
        <f t="shared" si="53"/>
        <v>2.9531319592839278E-3</v>
      </c>
      <c r="AF152" s="24">
        <f t="shared" si="53"/>
        <v>3.2333505926390449E-3</v>
      </c>
      <c r="AG152" s="24">
        <f t="shared" si="53"/>
        <v>6.4309823147962004E-3</v>
      </c>
      <c r="AH152" s="24">
        <f t="shared" si="53"/>
        <v>2.0977179275763424E-3</v>
      </c>
      <c r="AI152" s="24">
        <f t="shared" si="53"/>
        <v>1.9778316239424535E-3</v>
      </c>
      <c r="AJ152" s="24">
        <f t="shared" si="53"/>
        <v>8.1767429308663465E-3</v>
      </c>
      <c r="AK152" s="24">
        <f t="shared" si="53"/>
        <v>3.7639079170039202E-3</v>
      </c>
      <c r="AL152" s="24">
        <f t="shared" si="53"/>
        <v>9.0555232489313725E-4</v>
      </c>
      <c r="AM152" s="24">
        <f t="shared" si="53"/>
        <v>2.4188145557313074E-7</v>
      </c>
      <c r="AN152" s="24">
        <f t="shared" si="53"/>
        <v>4.9080934459338364E-6</v>
      </c>
      <c r="AO152" s="24">
        <f t="shared" si="53"/>
        <v>9.153373772657394E-3</v>
      </c>
      <c r="AP152" s="24">
        <f t="shared" si="53"/>
        <v>3.0265283266197939E-2</v>
      </c>
      <c r="AQ152" s="24">
        <f t="shared" si="53"/>
        <v>1.7793782883674862E-3</v>
      </c>
      <c r="AR152" s="24">
        <f t="shared" si="53"/>
        <v>8.7063921378784375E-4</v>
      </c>
      <c r="AS152" s="24">
        <f t="shared" si="53"/>
        <v>9.6617774937308239E-4</v>
      </c>
      <c r="AT152" s="24">
        <f t="shared" si="53"/>
        <v>1.3580766463230936E-4</v>
      </c>
      <c r="AU152" s="24">
        <f t="shared" si="53"/>
        <v>8.4630455657384472E-4</v>
      </c>
      <c r="AV152" s="24">
        <f t="shared" si="53"/>
        <v>1.285277911097751E-6</v>
      </c>
      <c r="AW152" s="24">
        <f t="shared" si="53"/>
        <v>1.8017931340018263E-5</v>
      </c>
      <c r="AX152" s="24">
        <f t="shared" si="53"/>
        <v>3.7859823047348379E-5</v>
      </c>
      <c r="AY152" s="24">
        <f t="shared" si="53"/>
        <v>6.2515175546880106E-3</v>
      </c>
      <c r="AZ152" s="24">
        <f t="shared" si="53"/>
        <v>6.0326718119090884E-4</v>
      </c>
      <c r="BA152" s="24">
        <f t="shared" si="53"/>
        <v>0</v>
      </c>
      <c r="BB152" s="24">
        <f t="shared" si="53"/>
        <v>7.8555025412571188E-7</v>
      </c>
      <c r="BC152" s="24">
        <f t="shared" si="53"/>
        <v>3.66831057919724E-4</v>
      </c>
      <c r="BD152" s="24">
        <f t="shared" si="53"/>
        <v>1.2516636643900684E-5</v>
      </c>
      <c r="BE152" s="24">
        <f t="shared" si="53"/>
        <v>1.2183290113527256E-3</v>
      </c>
      <c r="BF152" s="24">
        <f t="shared" si="53"/>
        <v>2.0482079359316499E-4</v>
      </c>
      <c r="BG152" s="24">
        <f t="shared" si="53"/>
        <v>2.3089432518651751E-4</v>
      </c>
      <c r="BH152" s="24">
        <f t="shared" si="53"/>
        <v>2.4817557165911416E-5</v>
      </c>
      <c r="BI152" s="24">
        <f t="shared" si="53"/>
        <v>2.5065300150446592E-4</v>
      </c>
      <c r="BJ152" s="24">
        <f t="shared" si="53"/>
        <v>8.6699914354957329E-4</v>
      </c>
      <c r="BK152" s="24">
        <f t="shared" si="53"/>
        <v>1.0114867543194704E-3</v>
      </c>
      <c r="BL152" s="24">
        <f t="shared" si="53"/>
        <v>3.5309492556919375E-3</v>
      </c>
      <c r="BM152" s="24">
        <f t="shared" si="53"/>
        <v>5.0812002168888308E-3</v>
      </c>
      <c r="BN152" s="24">
        <f t="shared" si="53"/>
        <v>1.3720161951937574E-3</v>
      </c>
      <c r="BO152" s="24">
        <f t="shared" si="53"/>
        <v>6.8222806439738445E-4</v>
      </c>
      <c r="BP152" s="24">
        <f t="shared" ref="BP152:CV152" si="54">+BP102/$CW102</f>
        <v>2.1758649960530743E-4</v>
      </c>
      <c r="BQ152" s="24">
        <f t="shared" si="54"/>
        <v>1.2474553297347266E-5</v>
      </c>
      <c r="BR152" s="24">
        <f t="shared" si="54"/>
        <v>7.9552742004498146E-7</v>
      </c>
      <c r="BS152" s="24">
        <f t="shared" si="54"/>
        <v>9.1478261495978985E-4</v>
      </c>
      <c r="BT152" s="24">
        <f t="shared" si="54"/>
        <v>1.4966742607190717E-3</v>
      </c>
      <c r="BU152" s="24">
        <f t="shared" si="54"/>
        <v>2.8287704796596232E-3</v>
      </c>
      <c r="BV152" s="24">
        <f t="shared" si="54"/>
        <v>4.6826715985586763E-2</v>
      </c>
      <c r="BW152" s="24">
        <f t="shared" si="54"/>
        <v>2.2723988040326468E-2</v>
      </c>
      <c r="BX152" s="24">
        <f t="shared" si="54"/>
        <v>4.662605324582984E-3</v>
      </c>
      <c r="BY152" s="24">
        <f t="shared" si="54"/>
        <v>6.1828494448950781E-3</v>
      </c>
      <c r="BZ152" s="24">
        <f t="shared" si="54"/>
        <v>4.2375491543297176E-6</v>
      </c>
      <c r="CA152" s="24">
        <f t="shared" si="54"/>
        <v>1.1258914996726677E-2</v>
      </c>
      <c r="CB152" s="24">
        <f t="shared" si="54"/>
        <v>5.6283951475331869E-5</v>
      </c>
      <c r="CC152" s="24">
        <f t="shared" si="54"/>
        <v>1.5202934632711915E-7</v>
      </c>
      <c r="CD152" s="24">
        <f t="shared" si="54"/>
        <v>2.374052066452694E-6</v>
      </c>
      <c r="CE152" s="24">
        <f t="shared" si="54"/>
        <v>2.6923218027627239E-5</v>
      </c>
      <c r="CF152" s="24">
        <f t="shared" si="54"/>
        <v>1.1390893314968641E-3</v>
      </c>
      <c r="CG152" s="24">
        <f t="shared" si="54"/>
        <v>8.2905186905850314E-4</v>
      </c>
      <c r="CH152" s="24">
        <f t="shared" si="54"/>
        <v>7.747746781312537E-3</v>
      </c>
      <c r="CI152" s="24">
        <f t="shared" si="54"/>
        <v>1.0556748142079275E-2</v>
      </c>
      <c r="CJ152" s="24">
        <f t="shared" si="54"/>
        <v>2.8039399460963301E-5</v>
      </c>
      <c r="CK152" s="24">
        <f t="shared" si="54"/>
        <v>6.0059647581275823E-3</v>
      </c>
      <c r="CL152" s="24">
        <f t="shared" si="54"/>
        <v>5.4597466019494739E-4</v>
      </c>
      <c r="CM152" s="24">
        <f t="shared" si="54"/>
        <v>1.1975765805012314E-4</v>
      </c>
      <c r="CN152" s="24">
        <f t="shared" si="54"/>
        <v>1.7387163944361909E-3</v>
      </c>
      <c r="CO152" s="24">
        <f t="shared" si="54"/>
        <v>1.2420977484795596E-5</v>
      </c>
      <c r="CP152" s="24">
        <f t="shared" si="54"/>
        <v>1.2108700833918344E-7</v>
      </c>
      <c r="CQ152" s="24">
        <f t="shared" si="54"/>
        <v>1.8983655638883551E-4</v>
      </c>
      <c r="CR152" s="24">
        <f t="shared" si="54"/>
        <v>2.9263654074080641E-3</v>
      </c>
      <c r="CS152" s="24">
        <f t="shared" si="54"/>
        <v>7.0776681477604424E-4</v>
      </c>
      <c r="CT152" s="24">
        <f t="shared" si="54"/>
        <v>2.6150711351106597E-3</v>
      </c>
      <c r="CU152" s="24">
        <f t="shared" si="54"/>
        <v>7.4018780332279935E-5</v>
      </c>
      <c r="CV152" s="24">
        <f t="shared" si="54"/>
        <v>1.3492186258588608E-4</v>
      </c>
    </row>
    <row r="153" spans="2:100">
      <c r="B153" s="140"/>
      <c r="C153" t="s">
        <v>3</v>
      </c>
      <c r="D153" s="24">
        <f t="shared" ref="D153:BO153" si="55">+D103/$CW103</f>
        <v>2.8763750509179344E-3</v>
      </c>
      <c r="E153" s="24">
        <f t="shared" si="55"/>
        <v>4.1919779936180337E-3</v>
      </c>
      <c r="F153" s="24">
        <f t="shared" si="55"/>
        <v>2.7058903790557537E-3</v>
      </c>
      <c r="G153" s="24">
        <f t="shared" si="55"/>
        <v>4.6210370402567771E-4</v>
      </c>
      <c r="H153" s="24">
        <f t="shared" si="55"/>
        <v>9.9480778240932863E-4</v>
      </c>
      <c r="I153" s="24">
        <f t="shared" si="55"/>
        <v>2.7480473500005324E-2</v>
      </c>
      <c r="J153" s="24">
        <f t="shared" si="55"/>
        <v>3.6550662313417228E-4</v>
      </c>
      <c r="K153" s="24">
        <f t="shared" si="55"/>
        <v>2.3593297188046102E-2</v>
      </c>
      <c r="L153" s="24">
        <f t="shared" si="55"/>
        <v>7.0105161062933907E-2</v>
      </c>
      <c r="M153" s="24">
        <f t="shared" si="55"/>
        <v>1.2237628039760414E-5</v>
      </c>
      <c r="N153" s="24">
        <f t="shared" si="55"/>
        <v>1.4732931259354703E-3</v>
      </c>
      <c r="O153" s="24">
        <f t="shared" si="55"/>
        <v>7.8202961268361473E-4</v>
      </c>
      <c r="P153" s="24">
        <f t="shared" si="55"/>
        <v>1.1476317968497284E-5</v>
      </c>
      <c r="Q153" s="24">
        <f t="shared" si="55"/>
        <v>2.1474752401636259E-5</v>
      </c>
      <c r="R153" s="24">
        <f t="shared" si="55"/>
        <v>1.6670671224069747E-2</v>
      </c>
      <c r="S153" s="24">
        <f t="shared" si="55"/>
        <v>7.6284860818746469E-4</v>
      </c>
      <c r="T153" s="24">
        <f t="shared" si="55"/>
        <v>1.032647436028993E-2</v>
      </c>
      <c r="U153" s="24">
        <f t="shared" si="55"/>
        <v>2.4021431404281052E-3</v>
      </c>
      <c r="V153" s="24">
        <f t="shared" si="55"/>
        <v>3.5396863771510524E-3</v>
      </c>
      <c r="W153" s="24">
        <f t="shared" si="55"/>
        <v>2.4443811384282487E-3</v>
      </c>
      <c r="X153" s="24">
        <f t="shared" si="55"/>
        <v>9.8351576849380201E-3</v>
      </c>
      <c r="Y153" s="24">
        <f t="shared" si="55"/>
        <v>1.1133773002622244E-3</v>
      </c>
      <c r="Z153" s="24">
        <f t="shared" si="55"/>
        <v>1.4625830514183675E-3</v>
      </c>
      <c r="AA153" s="24">
        <f t="shared" si="55"/>
        <v>7.2594240386516902E-5</v>
      </c>
      <c r="AB153" s="24">
        <f t="shared" si="55"/>
        <v>4.4896460553491094E-4</v>
      </c>
      <c r="AC153" s="24">
        <f t="shared" si="55"/>
        <v>5.0885397008913185E-3</v>
      </c>
      <c r="AD153" s="24">
        <f t="shared" si="55"/>
        <v>0.56131820940982746</v>
      </c>
      <c r="AE153" s="24">
        <f t="shared" si="55"/>
        <v>3.4264337102715334E-3</v>
      </c>
      <c r="AF153" s="24">
        <f t="shared" si="55"/>
        <v>3.6647576669666102E-3</v>
      </c>
      <c r="AG153" s="24">
        <f t="shared" si="55"/>
        <v>7.2572420954626991E-3</v>
      </c>
      <c r="AH153" s="24">
        <f t="shared" si="55"/>
        <v>1.9272188061656319E-3</v>
      </c>
      <c r="AI153" s="24">
        <f t="shared" si="55"/>
        <v>2.1927072197009318E-3</v>
      </c>
      <c r="AJ153" s="24">
        <f t="shared" si="55"/>
        <v>9.7615438189832641E-3</v>
      </c>
      <c r="AK153" s="24">
        <f t="shared" si="55"/>
        <v>4.3506056125738922E-3</v>
      </c>
      <c r="AL153" s="24">
        <f t="shared" si="55"/>
        <v>1.3077990322383746E-3</v>
      </c>
      <c r="AM153" s="24">
        <f t="shared" si="55"/>
        <v>1.1625543434231899E-6</v>
      </c>
      <c r="AN153" s="24">
        <f t="shared" si="55"/>
        <v>1.1762247795528009E-5</v>
      </c>
      <c r="AO153" s="24">
        <f t="shared" si="55"/>
        <v>1.1153175428358589E-2</v>
      </c>
      <c r="AP153" s="24">
        <f t="shared" si="55"/>
        <v>3.8238047571775603E-2</v>
      </c>
      <c r="AQ153" s="24">
        <f t="shared" si="55"/>
        <v>2.4646947873245961E-3</v>
      </c>
      <c r="AR153" s="24">
        <f t="shared" si="55"/>
        <v>7.56779479737469E-4</v>
      </c>
      <c r="AS153" s="24">
        <f t="shared" si="55"/>
        <v>8.6859857862745589E-4</v>
      </c>
      <c r="AT153" s="24">
        <f t="shared" si="55"/>
        <v>9.7386395852079203E-5</v>
      </c>
      <c r="AU153" s="24">
        <f t="shared" si="55"/>
        <v>8.7234387947802635E-4</v>
      </c>
      <c r="AV153" s="24">
        <f t="shared" si="55"/>
        <v>3.7089456849162892E-6</v>
      </c>
      <c r="AW153" s="24">
        <f t="shared" si="55"/>
        <v>1.3802845002131463E-5</v>
      </c>
      <c r="AX153" s="24">
        <f t="shared" si="55"/>
        <v>3.9146320285336895E-5</v>
      </c>
      <c r="AY153" s="24">
        <f t="shared" si="55"/>
        <v>6.2280987054634676E-3</v>
      </c>
      <c r="AZ153" s="24">
        <f t="shared" si="55"/>
        <v>7.5455130069769776E-4</v>
      </c>
      <c r="BA153" s="24">
        <f t="shared" si="55"/>
        <v>0</v>
      </c>
      <c r="BB153" s="24">
        <f t="shared" si="55"/>
        <v>1.4368469632889658E-7</v>
      </c>
      <c r="BC153" s="24">
        <f t="shared" si="55"/>
        <v>3.916359116063826E-4</v>
      </c>
      <c r="BD153" s="24">
        <f t="shared" si="55"/>
        <v>1.8957198788895496E-5</v>
      </c>
      <c r="BE153" s="24">
        <f t="shared" si="55"/>
        <v>1.2890424927185274E-3</v>
      </c>
      <c r="BF153" s="24">
        <f t="shared" si="55"/>
        <v>1.8940287241375487E-4</v>
      </c>
      <c r="BG153" s="24">
        <f t="shared" si="55"/>
        <v>2.4233595779958502E-4</v>
      </c>
      <c r="BH153" s="24">
        <f t="shared" si="55"/>
        <v>2.985414563422795E-5</v>
      </c>
      <c r="BI153" s="24">
        <f t="shared" si="55"/>
        <v>2.2455581046295869E-4</v>
      </c>
      <c r="BJ153" s="24">
        <f t="shared" si="55"/>
        <v>7.899721013953781E-4</v>
      </c>
      <c r="BK153" s="24">
        <f t="shared" si="55"/>
        <v>1.1985400877595055E-3</v>
      </c>
      <c r="BL153" s="24">
        <f t="shared" si="55"/>
        <v>3.3649689520006973E-3</v>
      </c>
      <c r="BM153" s="24">
        <f t="shared" si="55"/>
        <v>4.9306349587209955E-3</v>
      </c>
      <c r="BN153" s="24">
        <f t="shared" si="55"/>
        <v>1.4587304482237607E-3</v>
      </c>
      <c r="BO153" s="24">
        <f t="shared" si="55"/>
        <v>7.4405986443739692E-4</v>
      </c>
      <c r="BP153" s="24">
        <f t="shared" ref="BP153:CV153" si="56">+BP103/$CW103</f>
        <v>2.6776707484606145E-4</v>
      </c>
      <c r="BQ153" s="24">
        <f t="shared" si="56"/>
        <v>1.3932319707033306E-5</v>
      </c>
      <c r="BR153" s="24">
        <f t="shared" si="56"/>
        <v>3.6773959232691014E-6</v>
      </c>
      <c r="BS153" s="24">
        <f t="shared" si="56"/>
        <v>8.4581516890147894E-4</v>
      </c>
      <c r="BT153" s="24">
        <f t="shared" si="56"/>
        <v>1.7032004317685436E-3</v>
      </c>
      <c r="BU153" s="24">
        <f t="shared" si="56"/>
        <v>3.2496626635257916E-3</v>
      </c>
      <c r="BV153" s="24">
        <f t="shared" si="56"/>
        <v>5.5182223500530925E-2</v>
      </c>
      <c r="BW153" s="24">
        <f t="shared" si="56"/>
        <v>1.7428271049330962E-2</v>
      </c>
      <c r="BX153" s="24">
        <f t="shared" si="56"/>
        <v>4.5713406699830856E-3</v>
      </c>
      <c r="BY153" s="24">
        <f t="shared" si="56"/>
        <v>4.8312296393804542E-3</v>
      </c>
      <c r="BZ153" s="24">
        <f t="shared" si="56"/>
        <v>4.5793093175451429E-6</v>
      </c>
      <c r="CA153" s="24">
        <f t="shared" si="56"/>
        <v>1.1777932533417643E-2</v>
      </c>
      <c r="CB153" s="24">
        <f t="shared" si="56"/>
        <v>3.4698025364718503E-5</v>
      </c>
      <c r="CC153" s="24">
        <f t="shared" si="56"/>
        <v>2.5971938843388163E-6</v>
      </c>
      <c r="CD153" s="24">
        <f t="shared" si="56"/>
        <v>1.9848818393768201E-6</v>
      </c>
      <c r="CE153" s="24">
        <f t="shared" si="56"/>
        <v>3.4748116413359773E-5</v>
      </c>
      <c r="CF153" s="24">
        <f t="shared" si="56"/>
        <v>1.1821307497167232E-3</v>
      </c>
      <c r="CG153" s="24">
        <f t="shared" si="56"/>
        <v>9.8762370673417853E-4</v>
      </c>
      <c r="CH153" s="24">
        <f t="shared" si="56"/>
        <v>8.5858483122110106E-3</v>
      </c>
      <c r="CI153" s="24">
        <f t="shared" si="56"/>
        <v>1.1194386820455449E-2</v>
      </c>
      <c r="CJ153" s="24">
        <f t="shared" si="56"/>
        <v>5.8114494518847454E-5</v>
      </c>
      <c r="CK153" s="24">
        <f t="shared" si="56"/>
        <v>7.5669305759329441E-3</v>
      </c>
      <c r="CL153" s="24">
        <f t="shared" si="56"/>
        <v>9.3908049019502239E-4</v>
      </c>
      <c r="CM153" s="24">
        <f t="shared" si="56"/>
        <v>4.652297297365604E-4</v>
      </c>
      <c r="CN153" s="24">
        <f t="shared" si="56"/>
        <v>1.5812497561967637E-3</v>
      </c>
      <c r="CO153" s="24">
        <f t="shared" si="56"/>
        <v>6.8515114810139328E-6</v>
      </c>
      <c r="CP153" s="24">
        <f t="shared" si="56"/>
        <v>5.6622704686699217E-6</v>
      </c>
      <c r="CQ153" s="24">
        <f t="shared" si="56"/>
        <v>2.4643427316373205E-5</v>
      </c>
      <c r="CR153" s="24">
        <f t="shared" si="56"/>
        <v>2.722315518502908E-3</v>
      </c>
      <c r="CS153" s="24">
        <f t="shared" si="56"/>
        <v>6.1523326842546173E-4</v>
      </c>
      <c r="CT153" s="24">
        <f t="shared" si="56"/>
        <v>2.9485238534947898E-3</v>
      </c>
      <c r="CU153" s="24">
        <f t="shared" si="56"/>
        <v>9.1054728692998695E-5</v>
      </c>
      <c r="CV153" s="24">
        <f t="shared" si="56"/>
        <v>2.4532375934980855E-4</v>
      </c>
    </row>
    <row r="154" spans="2:100">
      <c r="B154" s="140"/>
      <c r="C154" t="s">
        <v>4</v>
      </c>
      <c r="D154" s="24">
        <f t="shared" ref="D154:BO154" si="57">+D104/$CW104</f>
        <v>5.5280742702068153E-3</v>
      </c>
      <c r="E154" s="24">
        <f t="shared" si="57"/>
        <v>3.72009093874254E-3</v>
      </c>
      <c r="F154" s="24">
        <f t="shared" si="57"/>
        <v>3.4581445109656385E-3</v>
      </c>
      <c r="G154" s="24">
        <f t="shared" si="57"/>
        <v>5.7426389846456044E-4</v>
      </c>
      <c r="H154" s="24">
        <f t="shared" si="57"/>
        <v>1.2047245749732393E-3</v>
      </c>
      <c r="I154" s="24">
        <f t="shared" si="57"/>
        <v>3.1777640821076321E-2</v>
      </c>
      <c r="J154" s="24">
        <f t="shared" si="57"/>
        <v>5.6769260939721169E-4</v>
      </c>
      <c r="K154" s="24">
        <f t="shared" si="57"/>
        <v>2.6647290183217213E-2</v>
      </c>
      <c r="L154" s="24">
        <f t="shared" si="57"/>
        <v>7.1962185027813347E-2</v>
      </c>
      <c r="M154" s="24">
        <f t="shared" si="57"/>
        <v>4.8672407769349303E-5</v>
      </c>
      <c r="N154" s="24">
        <f t="shared" si="57"/>
        <v>1.2493027636565472E-3</v>
      </c>
      <c r="O154" s="24">
        <f t="shared" si="57"/>
        <v>8.1904316189253528E-4</v>
      </c>
      <c r="P154" s="24">
        <f t="shared" si="57"/>
        <v>6.6372123844914854E-5</v>
      </c>
      <c r="Q154" s="24">
        <f t="shared" si="57"/>
        <v>2.6502478949376481E-5</v>
      </c>
      <c r="R154" s="24">
        <f t="shared" si="57"/>
        <v>1.1232321728831074E-2</v>
      </c>
      <c r="S154" s="24">
        <f t="shared" si="57"/>
        <v>6.04162190645873E-4</v>
      </c>
      <c r="T154" s="24">
        <f t="shared" si="57"/>
        <v>1.4583135762633323E-2</v>
      </c>
      <c r="U154" s="24">
        <f t="shared" si="57"/>
        <v>2.4648965842337094E-3</v>
      </c>
      <c r="V154" s="24">
        <f t="shared" si="57"/>
        <v>3.7406376413258433E-3</v>
      </c>
      <c r="W154" s="24">
        <f t="shared" si="57"/>
        <v>2.5031432667268574E-3</v>
      </c>
      <c r="X154" s="24">
        <f t="shared" si="57"/>
        <v>1.2475893675089712E-2</v>
      </c>
      <c r="Y154" s="24">
        <f t="shared" si="57"/>
        <v>1.4001340152742451E-3</v>
      </c>
      <c r="Z154" s="24">
        <f t="shared" si="57"/>
        <v>1.445540030213996E-3</v>
      </c>
      <c r="AA154" s="24">
        <f t="shared" si="57"/>
        <v>8.7470713331926948E-5</v>
      </c>
      <c r="AB154" s="24">
        <f t="shared" si="57"/>
        <v>6.2000702131841069E-4</v>
      </c>
      <c r="AC154" s="24">
        <f t="shared" si="57"/>
        <v>4.3901005502038183E-3</v>
      </c>
      <c r="AD154" s="24">
        <f t="shared" si="57"/>
        <v>0.53545202688399185</v>
      </c>
      <c r="AE154" s="24">
        <f t="shared" si="57"/>
        <v>3.4365358426192011E-3</v>
      </c>
      <c r="AF154" s="24">
        <f t="shared" si="57"/>
        <v>3.3508284358745371E-3</v>
      </c>
      <c r="AG154" s="24">
        <f t="shared" si="57"/>
        <v>7.8077798506365585E-3</v>
      </c>
      <c r="AH154" s="24">
        <f t="shared" si="57"/>
        <v>1.2379107758931343E-3</v>
      </c>
      <c r="AI154" s="24">
        <f t="shared" si="57"/>
        <v>2.7664996569346794E-3</v>
      </c>
      <c r="AJ154" s="24">
        <f t="shared" si="57"/>
        <v>1.0039275187168368E-2</v>
      </c>
      <c r="AK154" s="24">
        <f t="shared" si="57"/>
        <v>4.6658239292411176E-3</v>
      </c>
      <c r="AL154" s="24">
        <f t="shared" si="57"/>
        <v>1.5865926540954123E-3</v>
      </c>
      <c r="AM154" s="24">
        <f t="shared" si="57"/>
        <v>1.5819723934308129E-5</v>
      </c>
      <c r="AN154" s="24">
        <f t="shared" si="57"/>
        <v>1.8633125978066099E-5</v>
      </c>
      <c r="AO154" s="24">
        <f t="shared" si="57"/>
        <v>1.041804235568642E-2</v>
      </c>
      <c r="AP154" s="24">
        <f t="shared" si="57"/>
        <v>3.0375531696186436E-2</v>
      </c>
      <c r="AQ154" s="24">
        <f t="shared" si="57"/>
        <v>2.4606183496820844E-3</v>
      </c>
      <c r="AR154" s="24">
        <f t="shared" si="57"/>
        <v>7.3049300116800452E-4</v>
      </c>
      <c r="AS154" s="24">
        <f t="shared" si="57"/>
        <v>9.457160380282549E-4</v>
      </c>
      <c r="AT154" s="24">
        <f t="shared" si="57"/>
        <v>1.4035211704191444E-4</v>
      </c>
      <c r="AU154" s="24">
        <f t="shared" si="57"/>
        <v>8.6664004922637787E-4</v>
      </c>
      <c r="AV154" s="24">
        <f t="shared" si="57"/>
        <v>2.9905227892594712E-6</v>
      </c>
      <c r="AW154" s="24">
        <f t="shared" si="57"/>
        <v>2.4081274013263297E-5</v>
      </c>
      <c r="AX154" s="24">
        <f t="shared" si="57"/>
        <v>1.0844621071280789E-5</v>
      </c>
      <c r="AY154" s="24">
        <f t="shared" si="57"/>
        <v>6.9396169380310929E-3</v>
      </c>
      <c r="AZ154" s="24">
        <f t="shared" si="57"/>
        <v>7.8061737244385326E-4</v>
      </c>
      <c r="BA154" s="24">
        <f t="shared" si="57"/>
        <v>4.4717674288833708E-9</v>
      </c>
      <c r="BB154" s="24">
        <f t="shared" si="57"/>
        <v>7.5206184618960536E-8</v>
      </c>
      <c r="BC154" s="24">
        <f t="shared" si="57"/>
        <v>4.2510204259164626E-4</v>
      </c>
      <c r="BD154" s="24">
        <f t="shared" si="57"/>
        <v>1.9665201702412096E-5</v>
      </c>
      <c r="BE154" s="24">
        <f t="shared" si="57"/>
        <v>1.3370693932169024E-3</v>
      </c>
      <c r="BF154" s="24">
        <f t="shared" si="57"/>
        <v>2.9175329690901247E-4</v>
      </c>
      <c r="BG154" s="24">
        <f t="shared" si="57"/>
        <v>2.6904267625508935E-4</v>
      </c>
      <c r="BH154" s="24">
        <f t="shared" si="57"/>
        <v>1.5831161970096641E-5</v>
      </c>
      <c r="BI154" s="24">
        <f t="shared" si="57"/>
        <v>2.1575021426773668E-4</v>
      </c>
      <c r="BJ154" s="24">
        <f t="shared" si="57"/>
        <v>6.8903165226969778E-4</v>
      </c>
      <c r="BK154" s="24">
        <f t="shared" si="57"/>
        <v>1.2204751273730736E-3</v>
      </c>
      <c r="BL154" s="24">
        <f t="shared" si="57"/>
        <v>4.3009074775136776E-3</v>
      </c>
      <c r="BM154" s="24">
        <f t="shared" si="57"/>
        <v>5.8759422211511142E-3</v>
      </c>
      <c r="BN154" s="24">
        <f t="shared" si="57"/>
        <v>1.5258247690542726E-3</v>
      </c>
      <c r="BO154" s="24">
        <f t="shared" si="57"/>
        <v>9.4512710327669311E-4</v>
      </c>
      <c r="BP154" s="24">
        <f t="shared" ref="BP154:CV154" si="58">+BP104/$CW104</f>
        <v>3.1070035959295049E-4</v>
      </c>
      <c r="BQ154" s="24">
        <f t="shared" si="58"/>
        <v>1.0660220288405067E-5</v>
      </c>
      <c r="BR154" s="24">
        <f t="shared" si="58"/>
        <v>1.5493220816666493E-6</v>
      </c>
      <c r="BS154" s="24">
        <f t="shared" si="58"/>
        <v>1.0158961431260885E-3</v>
      </c>
      <c r="BT154" s="24">
        <f t="shared" si="58"/>
        <v>1.7694622531234528E-3</v>
      </c>
      <c r="BU154" s="24">
        <f t="shared" si="58"/>
        <v>3.0747713347963768E-3</v>
      </c>
      <c r="BV154" s="24">
        <f t="shared" si="58"/>
        <v>6.5032017440414522E-2</v>
      </c>
      <c r="BW154" s="24">
        <f t="shared" si="58"/>
        <v>1.3562261759799573E-2</v>
      </c>
      <c r="BX154" s="24">
        <f t="shared" si="58"/>
        <v>5.4909800896254636E-3</v>
      </c>
      <c r="BY154" s="24">
        <f t="shared" si="58"/>
        <v>5.6915561749849557E-3</v>
      </c>
      <c r="BZ154" s="24">
        <f t="shared" si="58"/>
        <v>3.3526450250613036E-6</v>
      </c>
      <c r="CA154" s="24">
        <f t="shared" si="58"/>
        <v>1.4949144018737351E-2</v>
      </c>
      <c r="CB154" s="24">
        <f t="shared" si="58"/>
        <v>5.431305868470878E-6</v>
      </c>
      <c r="CC154" s="24">
        <f t="shared" si="58"/>
        <v>2.9656445508926757E-4</v>
      </c>
      <c r="CD154" s="24">
        <f t="shared" si="58"/>
        <v>1.879845318226849E-6</v>
      </c>
      <c r="CE154" s="24">
        <f t="shared" si="58"/>
        <v>2.3781159540514075E-5</v>
      </c>
      <c r="CF154" s="24">
        <f t="shared" si="58"/>
        <v>1.3304908136780559E-3</v>
      </c>
      <c r="CG154" s="24">
        <f t="shared" si="58"/>
        <v>9.5704711584752009E-4</v>
      </c>
      <c r="CH154" s="24">
        <f t="shared" si="58"/>
        <v>9.8116686740721253E-3</v>
      </c>
      <c r="CI154" s="24">
        <f t="shared" si="58"/>
        <v>1.2960728094916642E-2</v>
      </c>
      <c r="CJ154" s="24">
        <f t="shared" si="58"/>
        <v>9.8231583416326766E-6</v>
      </c>
      <c r="CK154" s="24">
        <f t="shared" si="58"/>
        <v>8.053859047167277E-3</v>
      </c>
      <c r="CL154" s="24">
        <f t="shared" si="58"/>
        <v>1.1327636071292177E-3</v>
      </c>
      <c r="CM154" s="24">
        <f t="shared" si="58"/>
        <v>5.0270203809945047E-5</v>
      </c>
      <c r="CN154" s="24">
        <f t="shared" si="58"/>
        <v>1.8632757929247863E-3</v>
      </c>
      <c r="CO154" s="24">
        <f t="shared" si="58"/>
        <v>1.9657715963736141E-5</v>
      </c>
      <c r="CP154" s="24">
        <f t="shared" si="58"/>
        <v>1.5559542344698835E-5</v>
      </c>
      <c r="CQ154" s="24">
        <f t="shared" si="58"/>
        <v>3.5470323676416865E-4</v>
      </c>
      <c r="CR154" s="24">
        <f t="shared" si="58"/>
        <v>3.461549300525394E-3</v>
      </c>
      <c r="CS154" s="24">
        <f t="shared" si="58"/>
        <v>7.3546194864316594E-4</v>
      </c>
      <c r="CT154" s="24">
        <f t="shared" si="58"/>
        <v>3.3034156057427707E-3</v>
      </c>
      <c r="CU154" s="24">
        <f t="shared" si="58"/>
        <v>1.2218123617238285E-4</v>
      </c>
      <c r="CV154" s="24">
        <f t="shared" si="58"/>
        <v>1.7522101050704254E-4</v>
      </c>
    </row>
    <row r="155" spans="2:100">
      <c r="B155" s="140">
        <v>2023</v>
      </c>
      <c r="C155" t="s">
        <v>1</v>
      </c>
      <c r="D155" s="24">
        <f t="shared" ref="D155:BO155" si="59">+D105/$CW105</f>
        <v>4.3059280659508174E-3</v>
      </c>
      <c r="E155" s="24">
        <f t="shared" si="59"/>
        <v>3.0774941156173101E-3</v>
      </c>
      <c r="F155" s="24">
        <f t="shared" si="59"/>
        <v>2.6476807683083955E-3</v>
      </c>
      <c r="G155" s="24">
        <f t="shared" si="59"/>
        <v>5.0850774872182516E-4</v>
      </c>
      <c r="H155" s="24">
        <f t="shared" si="59"/>
        <v>1.247551126436367E-3</v>
      </c>
      <c r="I155" s="24">
        <f t="shared" si="59"/>
        <v>4.8253726082466024E-2</v>
      </c>
      <c r="J155" s="24">
        <f t="shared" si="59"/>
        <v>7.9904401866721605E-4</v>
      </c>
      <c r="K155" s="24">
        <f t="shared" si="59"/>
        <v>2.2002246641429874E-2</v>
      </c>
      <c r="L155" s="24">
        <f t="shared" si="59"/>
        <v>6.4662452171018375E-2</v>
      </c>
      <c r="M155" s="24">
        <f t="shared" si="59"/>
        <v>2.1369436031160307E-5</v>
      </c>
      <c r="N155" s="24">
        <f t="shared" si="59"/>
        <v>1.505117504789802E-3</v>
      </c>
      <c r="O155" s="24">
        <f t="shared" si="59"/>
        <v>1.0074307730063227E-3</v>
      </c>
      <c r="P155" s="24">
        <f t="shared" si="59"/>
        <v>6.4380362410889835E-5</v>
      </c>
      <c r="Q155" s="24">
        <f t="shared" si="59"/>
        <v>2.6000818245745555E-5</v>
      </c>
      <c r="R155" s="24">
        <f t="shared" si="59"/>
        <v>1.9761355744707144E-2</v>
      </c>
      <c r="S155" s="24">
        <f t="shared" si="59"/>
        <v>7.8748673097815399E-4</v>
      </c>
      <c r="T155" s="24">
        <f t="shared" si="59"/>
        <v>1.2811264609974757E-2</v>
      </c>
      <c r="U155" s="24">
        <f t="shared" si="59"/>
        <v>2.1567718941052231E-3</v>
      </c>
      <c r="V155" s="24">
        <f t="shared" si="59"/>
        <v>3.6689274472462541E-3</v>
      </c>
      <c r="W155" s="24">
        <f t="shared" si="59"/>
        <v>2.8375718870317832E-3</v>
      </c>
      <c r="X155" s="24">
        <f t="shared" si="59"/>
        <v>1.1220469853274429E-2</v>
      </c>
      <c r="Y155" s="24">
        <f t="shared" si="59"/>
        <v>1.2091988358647009E-3</v>
      </c>
      <c r="Z155" s="24">
        <f t="shared" si="59"/>
        <v>1.4872799040367964E-3</v>
      </c>
      <c r="AA155" s="24">
        <f t="shared" si="59"/>
        <v>9.5150856204494899E-5</v>
      </c>
      <c r="AB155" s="24">
        <f t="shared" si="59"/>
        <v>4.9082344219581288E-4</v>
      </c>
      <c r="AC155" s="24">
        <f t="shared" si="59"/>
        <v>4.3670854440939506E-3</v>
      </c>
      <c r="AD155" s="24">
        <f t="shared" si="59"/>
        <v>0.52152840435082692</v>
      </c>
      <c r="AE155" s="24">
        <f t="shared" si="59"/>
        <v>3.2109764845033753E-3</v>
      </c>
      <c r="AF155" s="24">
        <f t="shared" si="59"/>
        <v>3.2029279128504657E-3</v>
      </c>
      <c r="AG155" s="24">
        <f t="shared" si="59"/>
        <v>7.8692314449853515E-3</v>
      </c>
      <c r="AH155" s="24">
        <f t="shared" si="59"/>
        <v>2.5693772182889501E-3</v>
      </c>
      <c r="AI155" s="24">
        <f t="shared" si="59"/>
        <v>2.2764324047835982E-3</v>
      </c>
      <c r="AJ155" s="24">
        <f t="shared" si="59"/>
        <v>1.0990021177524576E-2</v>
      </c>
      <c r="AK155" s="24">
        <f t="shared" si="59"/>
        <v>4.5164078457756119E-3</v>
      </c>
      <c r="AL155" s="24">
        <f t="shared" si="59"/>
        <v>1.6413429378894116E-3</v>
      </c>
      <c r="AM155" s="24">
        <f t="shared" si="59"/>
        <v>2.8790909702294956E-5</v>
      </c>
      <c r="AN155" s="24">
        <f t="shared" si="59"/>
        <v>8.5340910116129866E-6</v>
      </c>
      <c r="AO155" s="24">
        <f t="shared" si="59"/>
        <v>8.4626559758050716E-3</v>
      </c>
      <c r="AP155" s="24">
        <f t="shared" si="59"/>
        <v>2.9827883926220378E-2</v>
      </c>
      <c r="AQ155" s="24">
        <f t="shared" si="59"/>
        <v>2.1444701176167378E-3</v>
      </c>
      <c r="AR155" s="24">
        <f t="shared" si="59"/>
        <v>6.8919038748511518E-4</v>
      </c>
      <c r="AS155" s="24">
        <f t="shared" si="59"/>
        <v>8.7971019698496373E-4</v>
      </c>
      <c r="AT155" s="24">
        <f t="shared" si="59"/>
        <v>1.2952693384111729E-4</v>
      </c>
      <c r="AU155" s="24">
        <f t="shared" si="59"/>
        <v>1.0089864123995309E-3</v>
      </c>
      <c r="AV155" s="24">
        <f t="shared" si="59"/>
        <v>2.0774392539921278E-6</v>
      </c>
      <c r="AW155" s="24">
        <f t="shared" si="59"/>
        <v>2.9111156310413655E-5</v>
      </c>
      <c r="AX155" s="24">
        <f t="shared" si="59"/>
        <v>1.2751332135167211E-5</v>
      </c>
      <c r="AY155" s="24">
        <f t="shared" si="59"/>
        <v>7.2042516854757205E-3</v>
      </c>
      <c r="AZ155" s="24">
        <f t="shared" si="59"/>
        <v>8.4889907205220304E-4</v>
      </c>
      <c r="BA155" s="24">
        <f t="shared" si="59"/>
        <v>4.289932381495608E-8</v>
      </c>
      <c r="BB155" s="24">
        <f t="shared" si="59"/>
        <v>3.536687633495134E-7</v>
      </c>
      <c r="BC155" s="24">
        <f t="shared" si="59"/>
        <v>3.3023583486730171E-4</v>
      </c>
      <c r="BD155" s="24">
        <f t="shared" si="59"/>
        <v>1.1189179248899007E-5</v>
      </c>
      <c r="BE155" s="24">
        <f t="shared" si="59"/>
        <v>1.2801041705531851E-3</v>
      </c>
      <c r="BF155" s="24">
        <f t="shared" si="59"/>
        <v>2.1737436328524262E-4</v>
      </c>
      <c r="BG155" s="24">
        <f t="shared" si="59"/>
        <v>2.541946900983937E-4</v>
      </c>
      <c r="BH155" s="24">
        <f t="shared" si="59"/>
        <v>3.2711782469415547E-5</v>
      </c>
      <c r="BI155" s="24">
        <f t="shared" si="59"/>
        <v>1.8217357820920037E-4</v>
      </c>
      <c r="BJ155" s="24">
        <f t="shared" si="59"/>
        <v>8.602174815441684E-4</v>
      </c>
      <c r="BK155" s="24">
        <f t="shared" si="59"/>
        <v>1.0442617613326181E-3</v>
      </c>
      <c r="BL155" s="24">
        <f t="shared" si="59"/>
        <v>3.9558106888111042E-3</v>
      </c>
      <c r="BM155" s="24">
        <f t="shared" si="59"/>
        <v>4.8897175477398734E-3</v>
      </c>
      <c r="BN155" s="24">
        <f t="shared" si="59"/>
        <v>1.5205834213906197E-3</v>
      </c>
      <c r="BO155" s="24">
        <f t="shared" si="59"/>
        <v>6.042972609210241E-4</v>
      </c>
      <c r="BP155" s="24">
        <f t="shared" ref="BP155:CV155" si="60">+BP105/$CW105</f>
        <v>2.407042160010889E-4</v>
      </c>
      <c r="BQ155" s="24">
        <f t="shared" si="60"/>
        <v>1.4406963817900121E-5</v>
      </c>
      <c r="BR155" s="24">
        <f t="shared" si="60"/>
        <v>6.5360382206865443E-7</v>
      </c>
      <c r="BS155" s="24">
        <f t="shared" si="60"/>
        <v>9.9903996034921244E-4</v>
      </c>
      <c r="BT155" s="24">
        <f t="shared" si="60"/>
        <v>1.8405308478320333E-3</v>
      </c>
      <c r="BU155" s="24">
        <f t="shared" si="60"/>
        <v>3.1445348335032396E-3</v>
      </c>
      <c r="BV155" s="24">
        <f t="shared" si="60"/>
        <v>6.7958913997783588E-2</v>
      </c>
      <c r="BW155" s="24">
        <f t="shared" si="60"/>
        <v>1.8119501274492612E-2</v>
      </c>
      <c r="BX155" s="24">
        <f t="shared" si="60"/>
        <v>4.823372766958706E-3</v>
      </c>
      <c r="BY155" s="24">
        <f t="shared" si="60"/>
        <v>7.0577431538018671E-3</v>
      </c>
      <c r="BZ155" s="24">
        <f t="shared" si="60"/>
        <v>2.3595665304255669E-6</v>
      </c>
      <c r="CA155" s="24">
        <f t="shared" si="60"/>
        <v>2.0823044821052853E-2</v>
      </c>
      <c r="CB155" s="24">
        <f t="shared" si="60"/>
        <v>1.4430518686433871E-4</v>
      </c>
      <c r="CC155" s="24">
        <f t="shared" si="60"/>
        <v>1.4503940008774542E-4</v>
      </c>
      <c r="CD155" s="24">
        <f t="shared" si="60"/>
        <v>2.2581985358487369E-6</v>
      </c>
      <c r="CE155" s="24">
        <f t="shared" si="60"/>
        <v>4.2430401360801005E-5</v>
      </c>
      <c r="CF155" s="24">
        <f t="shared" si="60"/>
        <v>1.1006283009047041E-3</v>
      </c>
      <c r="CG155" s="24">
        <f t="shared" si="60"/>
        <v>9.2605864412342745E-4</v>
      </c>
      <c r="CH155" s="24">
        <f t="shared" si="60"/>
        <v>8.4894619585989487E-3</v>
      </c>
      <c r="CI155" s="24">
        <f t="shared" si="60"/>
        <v>1.3197261829370172E-2</v>
      </c>
      <c r="CJ155" s="24">
        <f t="shared" si="60"/>
        <v>1.0144768255327661E-5</v>
      </c>
      <c r="CK155" s="24">
        <f t="shared" si="60"/>
        <v>5.9850557642176653E-3</v>
      </c>
      <c r="CL155" s="24">
        <f t="shared" si="60"/>
        <v>9.7660627856824091E-5</v>
      </c>
      <c r="CM155" s="24">
        <f t="shared" si="60"/>
        <v>7.2560820840758994E-5</v>
      </c>
      <c r="CN155" s="24">
        <f t="shared" si="60"/>
        <v>1.5955735146352588E-3</v>
      </c>
      <c r="CO155" s="24">
        <f t="shared" si="60"/>
        <v>9.0383371653868937E-6</v>
      </c>
      <c r="CP155" s="24">
        <f t="shared" si="60"/>
        <v>1.2536845968556295E-6</v>
      </c>
      <c r="CQ155" s="24">
        <f t="shared" si="60"/>
        <v>2.2717262030286215E-4</v>
      </c>
      <c r="CR155" s="24">
        <f t="shared" si="60"/>
        <v>3.851877648344946E-3</v>
      </c>
      <c r="CS155" s="24">
        <f t="shared" si="60"/>
        <v>5.6990974828893186E-4</v>
      </c>
      <c r="CT155" s="24">
        <f t="shared" si="60"/>
        <v>2.8578387087303857E-3</v>
      </c>
      <c r="CU155" s="24">
        <f t="shared" si="60"/>
        <v>1.2017965239719404E-4</v>
      </c>
      <c r="CV155" s="24">
        <f t="shared" si="60"/>
        <v>2.419381534815937E-4</v>
      </c>
    </row>
    <row r="156" spans="2:100">
      <c r="B156" s="140"/>
      <c r="C156" t="s">
        <v>2</v>
      </c>
      <c r="D156" s="24">
        <f t="shared" ref="D156:BO156" si="61">+D106/$CW106</f>
        <v>5.6667521760809829E-3</v>
      </c>
      <c r="E156" s="24">
        <f t="shared" si="61"/>
        <v>2.7601067583447663E-3</v>
      </c>
      <c r="F156" s="24">
        <f t="shared" si="61"/>
        <v>4.3078655539524439E-3</v>
      </c>
      <c r="G156" s="24">
        <f t="shared" si="61"/>
        <v>5.8276428838668513E-4</v>
      </c>
      <c r="H156" s="24">
        <f t="shared" si="61"/>
        <v>1.0622361503299193E-3</v>
      </c>
      <c r="I156" s="24">
        <f t="shared" si="61"/>
        <v>4.4636572316628757E-2</v>
      </c>
      <c r="J156" s="24">
        <f t="shared" si="61"/>
        <v>6.6457994869796382E-4</v>
      </c>
      <c r="K156" s="24">
        <f t="shared" si="61"/>
        <v>3.1213028333915684E-2</v>
      </c>
      <c r="L156" s="24">
        <f t="shared" si="61"/>
        <v>5.6272562771092959E-2</v>
      </c>
      <c r="M156" s="24">
        <f t="shared" si="61"/>
        <v>1.4536810709539326E-4</v>
      </c>
      <c r="N156" s="24">
        <f t="shared" si="61"/>
        <v>2.028866470858922E-3</v>
      </c>
      <c r="O156" s="24">
        <f t="shared" si="61"/>
        <v>9.7559025369627094E-4</v>
      </c>
      <c r="P156" s="24">
        <f t="shared" si="61"/>
        <v>1.1364271457424776E-4</v>
      </c>
      <c r="Q156" s="24">
        <f t="shared" si="61"/>
        <v>3.6290229226394186E-5</v>
      </c>
      <c r="R156" s="24">
        <f t="shared" si="61"/>
        <v>2.144219819260829E-2</v>
      </c>
      <c r="S156" s="24">
        <f t="shared" si="61"/>
        <v>5.4462372768324064E-4</v>
      </c>
      <c r="T156" s="24">
        <f t="shared" si="61"/>
        <v>1.3169384382812288E-2</v>
      </c>
      <c r="U156" s="24">
        <f t="shared" si="61"/>
        <v>2.5094474893092426E-3</v>
      </c>
      <c r="V156" s="24">
        <f t="shared" si="61"/>
        <v>4.8862933762369833E-3</v>
      </c>
      <c r="W156" s="24">
        <f t="shared" si="61"/>
        <v>3.4873272295175479E-3</v>
      </c>
      <c r="X156" s="24">
        <f t="shared" si="61"/>
        <v>1.1035982174692781E-2</v>
      </c>
      <c r="Y156" s="24">
        <f t="shared" si="61"/>
        <v>1.2773055795165342E-3</v>
      </c>
      <c r="Z156" s="24">
        <f t="shared" si="61"/>
        <v>1.6269825831953444E-3</v>
      </c>
      <c r="AA156" s="24">
        <f t="shared" si="61"/>
        <v>2.6143889044133071E-4</v>
      </c>
      <c r="AB156" s="24">
        <f t="shared" si="61"/>
        <v>6.6450806630397041E-4</v>
      </c>
      <c r="AC156" s="24">
        <f t="shared" si="61"/>
        <v>1.0241807911917004E-2</v>
      </c>
      <c r="AD156" s="24">
        <f t="shared" si="61"/>
        <v>0.4819832912303989</v>
      </c>
      <c r="AE156" s="24">
        <f t="shared" si="61"/>
        <v>3.0828752689515604E-3</v>
      </c>
      <c r="AF156" s="24">
        <f t="shared" si="61"/>
        <v>4.2307459405757615E-3</v>
      </c>
      <c r="AG156" s="24">
        <f t="shared" si="61"/>
        <v>9.0578476474339944E-3</v>
      </c>
      <c r="AH156" s="24">
        <f t="shared" si="61"/>
        <v>2.4163281408317579E-3</v>
      </c>
      <c r="AI156" s="24">
        <f t="shared" si="61"/>
        <v>2.6756051607483397E-3</v>
      </c>
      <c r="AJ156" s="24">
        <f t="shared" si="61"/>
        <v>1.2143974728171854E-2</v>
      </c>
      <c r="AK156" s="24">
        <f t="shared" si="61"/>
        <v>5.1518513847372185E-3</v>
      </c>
      <c r="AL156" s="24">
        <f t="shared" si="61"/>
        <v>1.3338589275677529E-3</v>
      </c>
      <c r="AM156" s="24">
        <f t="shared" si="61"/>
        <v>0</v>
      </c>
      <c r="AN156" s="24">
        <f t="shared" si="61"/>
        <v>7.6245082726477286E-6</v>
      </c>
      <c r="AO156" s="24">
        <f t="shared" si="61"/>
        <v>1.2882604403722424E-2</v>
      </c>
      <c r="AP156" s="24">
        <f t="shared" si="61"/>
        <v>3.0558592280972754E-2</v>
      </c>
      <c r="AQ156" s="24">
        <f t="shared" si="61"/>
        <v>2.4760932933125994E-3</v>
      </c>
      <c r="AR156" s="24">
        <f t="shared" si="61"/>
        <v>7.7632397838978465E-4</v>
      </c>
      <c r="AS156" s="24">
        <f t="shared" si="61"/>
        <v>1.2020071186690184E-3</v>
      </c>
      <c r="AT156" s="24">
        <f t="shared" si="61"/>
        <v>1.3548183430981528E-4</v>
      </c>
      <c r="AU156" s="24">
        <f t="shared" si="61"/>
        <v>1.1659763242168103E-3</v>
      </c>
      <c r="AV156" s="24">
        <f t="shared" si="61"/>
        <v>2.4542962970172159E-6</v>
      </c>
      <c r="AW156" s="24">
        <f t="shared" si="61"/>
        <v>2.3533764080608405E-5</v>
      </c>
      <c r="AX156" s="24">
        <f t="shared" si="61"/>
        <v>4.8256514203963622E-5</v>
      </c>
      <c r="AY156" s="24">
        <f t="shared" si="61"/>
        <v>8.7099941628064163E-3</v>
      </c>
      <c r="AZ156" s="24">
        <f t="shared" si="61"/>
        <v>9.6349997226206538E-4</v>
      </c>
      <c r="BA156" s="24">
        <f t="shared" si="61"/>
        <v>4.9497917772368933E-8</v>
      </c>
      <c r="BB156" s="24">
        <f t="shared" si="61"/>
        <v>1.2220994049469091E-7</v>
      </c>
      <c r="BC156" s="24">
        <f t="shared" si="61"/>
        <v>3.9382485216693693E-4</v>
      </c>
      <c r="BD156" s="24">
        <f t="shared" si="61"/>
        <v>2.103872461067327E-5</v>
      </c>
      <c r="BE156" s="24">
        <f t="shared" si="61"/>
        <v>1.4183164251355903E-3</v>
      </c>
      <c r="BF156" s="24">
        <f t="shared" si="61"/>
        <v>2.6104239969593711E-4</v>
      </c>
      <c r="BG156" s="24">
        <f t="shared" si="61"/>
        <v>3.1399068135336614E-4</v>
      </c>
      <c r="BH156" s="24">
        <f t="shared" si="61"/>
        <v>2.2275648836551947E-5</v>
      </c>
      <c r="BI156" s="24">
        <f t="shared" si="61"/>
        <v>2.3878599791958796E-4</v>
      </c>
      <c r="BJ156" s="24">
        <f t="shared" si="61"/>
        <v>8.2908000643755768E-4</v>
      </c>
      <c r="BK156" s="24">
        <f t="shared" si="61"/>
        <v>1.2013422891203583E-3</v>
      </c>
      <c r="BL156" s="24">
        <f t="shared" si="61"/>
        <v>4.3711376416979714E-3</v>
      </c>
      <c r="BM156" s="24">
        <f t="shared" si="61"/>
        <v>5.319937890761974E-3</v>
      </c>
      <c r="BN156" s="24">
        <f t="shared" si="61"/>
        <v>1.8773582383067116E-3</v>
      </c>
      <c r="BO156" s="24">
        <f t="shared" si="61"/>
        <v>9.3308895555974125E-4</v>
      </c>
      <c r="BP156" s="24">
        <f t="shared" ref="BP156:CV156" si="62">+BP106/$CW106</f>
        <v>3.1239804136968277E-4</v>
      </c>
      <c r="BQ156" s="24">
        <f t="shared" si="62"/>
        <v>1.018203665101933E-5</v>
      </c>
      <c r="BR156" s="24">
        <f t="shared" si="62"/>
        <v>1.1754721494129664E-6</v>
      </c>
      <c r="BS156" s="24">
        <f t="shared" si="62"/>
        <v>1.3459580192185475E-3</v>
      </c>
      <c r="BT156" s="24">
        <f t="shared" si="62"/>
        <v>2.0327532896107343E-3</v>
      </c>
      <c r="BU156" s="24">
        <f t="shared" si="62"/>
        <v>4.1449400369117703E-3</v>
      </c>
      <c r="BV156" s="24">
        <f t="shared" si="62"/>
        <v>7.1873658362806514E-2</v>
      </c>
      <c r="BW156" s="24">
        <f t="shared" si="62"/>
        <v>1.5867104977792763E-2</v>
      </c>
      <c r="BX156" s="24">
        <f t="shared" si="62"/>
        <v>4.7451076625023387E-3</v>
      </c>
      <c r="BY156" s="24">
        <f t="shared" si="62"/>
        <v>5.6794828909215063E-3</v>
      </c>
      <c r="BZ156" s="24">
        <f t="shared" si="62"/>
        <v>3.3387751501193427E-6</v>
      </c>
      <c r="CA156" s="24">
        <f t="shared" si="62"/>
        <v>1.861944123197112E-2</v>
      </c>
      <c r="CB156" s="24">
        <f t="shared" si="62"/>
        <v>2.0545313569926256E-4</v>
      </c>
      <c r="CC156" s="24">
        <f t="shared" si="62"/>
        <v>1.0742610338526929E-5</v>
      </c>
      <c r="CD156" s="24">
        <f t="shared" si="62"/>
        <v>3.7319098556013394E-7</v>
      </c>
      <c r="CE156" s="24">
        <f t="shared" si="62"/>
        <v>2.2523160450955264E-5</v>
      </c>
      <c r="CF156" s="24">
        <f t="shared" si="62"/>
        <v>1.4388714574349031E-3</v>
      </c>
      <c r="CG156" s="24">
        <f t="shared" si="62"/>
        <v>1.0065690888577249E-3</v>
      </c>
      <c r="CH156" s="24">
        <f t="shared" si="62"/>
        <v>1.081438029947313E-2</v>
      </c>
      <c r="CI156" s="24">
        <f t="shared" si="62"/>
        <v>1.605510939469933E-2</v>
      </c>
      <c r="CJ156" s="24">
        <f t="shared" si="62"/>
        <v>2.5543232542071289E-6</v>
      </c>
      <c r="CK156" s="24">
        <f t="shared" si="62"/>
        <v>1.5058860579685474E-2</v>
      </c>
      <c r="CL156" s="24">
        <f t="shared" si="62"/>
        <v>7.203188852223047E-4</v>
      </c>
      <c r="CM156" s="24">
        <f t="shared" si="62"/>
        <v>6.6348183025019805E-5</v>
      </c>
      <c r="CN156" s="24">
        <f t="shared" si="62"/>
        <v>2.1887370142986175E-3</v>
      </c>
      <c r="CO156" s="24">
        <f t="shared" si="62"/>
        <v>5.234029758402405E-6</v>
      </c>
      <c r="CP156" s="24">
        <f t="shared" si="62"/>
        <v>1.0652839126054687E-5</v>
      </c>
      <c r="CQ156" s="24">
        <f t="shared" si="62"/>
        <v>1.1935592793409577E-4</v>
      </c>
      <c r="CR156" s="24">
        <f t="shared" si="62"/>
        <v>3.843651331146111E-3</v>
      </c>
      <c r="CS156" s="24">
        <f t="shared" si="62"/>
        <v>7.7813145795226145E-4</v>
      </c>
      <c r="CT156" s="24">
        <f t="shared" si="62"/>
        <v>2.9430244408936504E-3</v>
      </c>
      <c r="CU156" s="24">
        <f t="shared" si="62"/>
        <v>2.9897892557232112E-5</v>
      </c>
      <c r="CV156" s="24">
        <f t="shared" si="62"/>
        <v>1.9993194264148294E-4</v>
      </c>
    </row>
    <row r="157" spans="2:100">
      <c r="B157" s="140"/>
      <c r="C157" t="s">
        <v>3</v>
      </c>
      <c r="D157" s="24">
        <f t="shared" ref="D157:BO157" si="63">+D107/$CW107</f>
        <v>2.8287547366377939E-3</v>
      </c>
      <c r="E157" s="24">
        <f t="shared" si="63"/>
        <v>1.3922387630077677E-3</v>
      </c>
      <c r="F157" s="24">
        <f t="shared" si="63"/>
        <v>3.3944810901426546E-3</v>
      </c>
      <c r="G157" s="24">
        <f t="shared" si="63"/>
        <v>4.4224960150740142E-4</v>
      </c>
      <c r="H157" s="24">
        <f t="shared" si="63"/>
        <v>1.1730998264581158E-3</v>
      </c>
      <c r="I157" s="24">
        <f t="shared" si="63"/>
        <v>3.9731310115178151E-2</v>
      </c>
      <c r="J157" s="24">
        <f t="shared" si="63"/>
        <v>6.3585065100322505E-4</v>
      </c>
      <c r="K157" s="24">
        <f t="shared" si="63"/>
        <v>2.4119887325161654E-2</v>
      </c>
      <c r="L157" s="24">
        <f t="shared" si="63"/>
        <v>5.609693570199898E-2</v>
      </c>
      <c r="M157" s="24">
        <f t="shared" si="63"/>
        <v>6.4709093376079662E-5</v>
      </c>
      <c r="N157" s="24">
        <f t="shared" si="63"/>
        <v>2.1479972577100707E-3</v>
      </c>
      <c r="O157" s="24">
        <f t="shared" si="63"/>
        <v>8.8956657586481064E-4</v>
      </c>
      <c r="P157" s="24">
        <f t="shared" si="63"/>
        <v>2.5123025105391636E-5</v>
      </c>
      <c r="Q157" s="24">
        <f t="shared" si="63"/>
        <v>4.4327079275738681E-5</v>
      </c>
      <c r="R157" s="24">
        <f t="shared" si="63"/>
        <v>1.4105908686532562E-2</v>
      </c>
      <c r="S157" s="24">
        <f t="shared" si="63"/>
        <v>6.7320335643689621E-4</v>
      </c>
      <c r="T157" s="24">
        <f t="shared" si="63"/>
        <v>1.744011139828856E-2</v>
      </c>
      <c r="U157" s="24">
        <f t="shared" si="63"/>
        <v>3.1209244337043404E-3</v>
      </c>
      <c r="V157" s="24">
        <f t="shared" si="63"/>
        <v>5.1078395239526437E-3</v>
      </c>
      <c r="W157" s="24">
        <f t="shared" si="63"/>
        <v>3.8972933033631306E-3</v>
      </c>
      <c r="X157" s="24">
        <f t="shared" si="63"/>
        <v>1.1118063719678526E-2</v>
      </c>
      <c r="Y157" s="24">
        <f t="shared" si="63"/>
        <v>1.3851942507080875E-3</v>
      </c>
      <c r="Z157" s="24">
        <f t="shared" si="63"/>
        <v>1.497668229865138E-3</v>
      </c>
      <c r="AA157" s="24">
        <f t="shared" si="63"/>
        <v>3.1867292000266148E-5</v>
      </c>
      <c r="AB157" s="24">
        <f t="shared" si="63"/>
        <v>6.9010988869715845E-4</v>
      </c>
      <c r="AC157" s="24">
        <f t="shared" si="63"/>
        <v>1.1052523039854165E-2</v>
      </c>
      <c r="AD157" s="24">
        <f t="shared" si="63"/>
        <v>0.50554025327406182</v>
      </c>
      <c r="AE157" s="24">
        <f t="shared" si="63"/>
        <v>2.8264387398791125E-3</v>
      </c>
      <c r="AF157" s="24">
        <f t="shared" si="63"/>
        <v>4.1115843435405499E-3</v>
      </c>
      <c r="AG157" s="24">
        <f t="shared" si="63"/>
        <v>9.1559521630377155E-3</v>
      </c>
      <c r="AH157" s="24">
        <f t="shared" si="63"/>
        <v>8.5572229670919373E-4</v>
      </c>
      <c r="AI157" s="24">
        <f t="shared" si="63"/>
        <v>2.7714732376754913E-3</v>
      </c>
      <c r="AJ157" s="24">
        <f t="shared" si="63"/>
        <v>1.2665741580329785E-2</v>
      </c>
      <c r="AK157" s="24">
        <f t="shared" si="63"/>
        <v>5.2020152890495577E-3</v>
      </c>
      <c r="AL157" s="24">
        <f t="shared" si="63"/>
        <v>1.6958161843305352E-3</v>
      </c>
      <c r="AM157" s="24">
        <f t="shared" si="63"/>
        <v>1.484729395507101E-5</v>
      </c>
      <c r="AN157" s="24">
        <f t="shared" si="63"/>
        <v>5.0197242731106461E-6</v>
      </c>
      <c r="AO157" s="24">
        <f t="shared" si="63"/>
        <v>1.284877005261004E-2</v>
      </c>
      <c r="AP157" s="24">
        <f t="shared" si="63"/>
        <v>3.1065945141818336E-2</v>
      </c>
      <c r="AQ157" s="24">
        <f t="shared" si="63"/>
        <v>2.0797008170209707E-3</v>
      </c>
      <c r="AR157" s="24">
        <f t="shared" si="63"/>
        <v>6.8773657878021211E-4</v>
      </c>
      <c r="AS157" s="24">
        <f t="shared" si="63"/>
        <v>1.0700665934779445E-3</v>
      </c>
      <c r="AT157" s="24">
        <f t="shared" si="63"/>
        <v>1.1693682499071785E-4</v>
      </c>
      <c r="AU157" s="24">
        <f t="shared" si="63"/>
        <v>1.051063967686639E-3</v>
      </c>
      <c r="AV157" s="24">
        <f t="shared" si="63"/>
        <v>6.5812688070227615E-6</v>
      </c>
      <c r="AW157" s="24">
        <f t="shared" si="63"/>
        <v>2.4088488149257944E-5</v>
      </c>
      <c r="AX157" s="24">
        <f t="shared" si="63"/>
        <v>1.4069420166676103E-5</v>
      </c>
      <c r="AY157" s="24">
        <f t="shared" si="63"/>
        <v>7.2933065941001027E-3</v>
      </c>
      <c r="AZ157" s="24">
        <f t="shared" si="63"/>
        <v>1.0924502493111811E-3</v>
      </c>
      <c r="BA157" s="24">
        <f t="shared" si="63"/>
        <v>5.1676639545011218E-7</v>
      </c>
      <c r="BB157" s="24">
        <f t="shared" si="63"/>
        <v>4.1715287852721656E-7</v>
      </c>
      <c r="BC157" s="24">
        <f t="shared" si="63"/>
        <v>3.55330728435429E-4</v>
      </c>
      <c r="BD157" s="24">
        <f t="shared" si="63"/>
        <v>4.8715431197074185E-5</v>
      </c>
      <c r="BE157" s="24">
        <f t="shared" si="63"/>
        <v>1.4324864727374743E-3</v>
      </c>
      <c r="BF157" s="24">
        <f t="shared" si="63"/>
        <v>2.5002874577026083E-4</v>
      </c>
      <c r="BG157" s="24">
        <f t="shared" si="63"/>
        <v>2.8533357307784958E-4</v>
      </c>
      <c r="BH157" s="24">
        <f t="shared" si="63"/>
        <v>1.9696407053061108E-5</v>
      </c>
      <c r="BI157" s="24">
        <f t="shared" si="63"/>
        <v>2.0200468355803899E-4</v>
      </c>
      <c r="BJ157" s="24">
        <f t="shared" si="63"/>
        <v>7.1639980918358867E-4</v>
      </c>
      <c r="BK157" s="24">
        <f t="shared" si="63"/>
        <v>1.3639943167424171E-3</v>
      </c>
      <c r="BL157" s="24">
        <f t="shared" si="63"/>
        <v>4.1625113309823533E-3</v>
      </c>
      <c r="BM157" s="24">
        <f t="shared" si="63"/>
        <v>5.121952861892533E-3</v>
      </c>
      <c r="BN157" s="24">
        <f t="shared" si="63"/>
        <v>1.627887634600545E-3</v>
      </c>
      <c r="BO157" s="24">
        <f t="shared" si="63"/>
        <v>8.7451632732984898E-4</v>
      </c>
      <c r="BP157" s="24">
        <f t="shared" ref="BP157:CV157" si="64">+BP107/$CW107</f>
        <v>3.5318069665344297E-4</v>
      </c>
      <c r="BQ157" s="24">
        <f t="shared" si="64"/>
        <v>1.6708662844781839E-5</v>
      </c>
      <c r="BR157" s="24">
        <f t="shared" si="64"/>
        <v>2.5366858901741318E-6</v>
      </c>
      <c r="BS157" s="24">
        <f t="shared" si="64"/>
        <v>1.3467453771680736E-3</v>
      </c>
      <c r="BT157" s="24">
        <f t="shared" si="64"/>
        <v>2.1719504791829656E-3</v>
      </c>
      <c r="BU157" s="24">
        <f t="shared" si="64"/>
        <v>3.8720940675730522E-3</v>
      </c>
      <c r="BV157" s="24">
        <f t="shared" si="64"/>
        <v>7.722115951496733E-2</v>
      </c>
      <c r="BW157" s="24">
        <f t="shared" si="64"/>
        <v>1.3189368501879621E-2</v>
      </c>
      <c r="BX157" s="24">
        <f t="shared" si="64"/>
        <v>4.9697113431571632E-3</v>
      </c>
      <c r="BY157" s="24">
        <f t="shared" si="64"/>
        <v>5.7349924727745664E-3</v>
      </c>
      <c r="BZ157" s="24">
        <f t="shared" si="64"/>
        <v>6.489032199008802E-6</v>
      </c>
      <c r="CA157" s="24">
        <f t="shared" si="64"/>
        <v>1.4635984213061464E-2</v>
      </c>
      <c r="CB157" s="24">
        <f t="shared" si="64"/>
        <v>2.0485423492151665E-4</v>
      </c>
      <c r="CC157" s="24">
        <f t="shared" si="64"/>
        <v>1.7171954387519473E-5</v>
      </c>
      <c r="CD157" s="24">
        <f t="shared" si="64"/>
        <v>8.072771797890582E-7</v>
      </c>
      <c r="CE157" s="24">
        <f t="shared" si="64"/>
        <v>3.8223918538698014E-5</v>
      </c>
      <c r="CF157" s="24">
        <f t="shared" si="64"/>
        <v>1.4312949887459511E-3</v>
      </c>
      <c r="CG157" s="24">
        <f t="shared" si="64"/>
        <v>1.205543041017711E-3</v>
      </c>
      <c r="CH157" s="24">
        <f t="shared" si="64"/>
        <v>1.1741718843373125E-2</v>
      </c>
      <c r="CI157" s="24">
        <f t="shared" si="64"/>
        <v>1.6482105192495926E-2</v>
      </c>
      <c r="CJ157" s="24">
        <f t="shared" si="64"/>
        <v>2.7514703997878213E-5</v>
      </c>
      <c r="CK157" s="24">
        <f t="shared" si="64"/>
        <v>1.2999436296704718E-2</v>
      </c>
      <c r="CL157" s="24">
        <f t="shared" si="64"/>
        <v>4.8249897833056618E-4</v>
      </c>
      <c r="CM157" s="24">
        <f t="shared" si="64"/>
        <v>4.0932462137087861E-4</v>
      </c>
      <c r="CN157" s="24">
        <f t="shared" si="64"/>
        <v>1.7339670186973853E-3</v>
      </c>
      <c r="CO157" s="24">
        <f t="shared" si="64"/>
        <v>1.8448739487359246E-5</v>
      </c>
      <c r="CP157" s="24">
        <f t="shared" si="64"/>
        <v>8.065018632422149E-7</v>
      </c>
      <c r="CQ157" s="24">
        <f t="shared" si="64"/>
        <v>9.6196504700636696E-5</v>
      </c>
      <c r="CR157" s="24">
        <f t="shared" si="64"/>
        <v>3.5400217189893684E-3</v>
      </c>
      <c r="CS157" s="24">
        <f t="shared" si="64"/>
        <v>7.1134355300465717E-4</v>
      </c>
      <c r="CT157" s="24">
        <f t="shared" si="64"/>
        <v>3.1970045858678861E-3</v>
      </c>
      <c r="CU157" s="24">
        <f t="shared" si="64"/>
        <v>5.7015448926371062E-5</v>
      </c>
      <c r="CV157" s="24">
        <f t="shared" si="64"/>
        <v>3.1917049894239345E-4</v>
      </c>
    </row>
    <row r="158" spans="2:100">
      <c r="B158" s="140"/>
      <c r="C158" t="s">
        <v>4</v>
      </c>
      <c r="D158" s="24">
        <f t="shared" ref="D158:BO158" si="65">+D108/$CW108</f>
        <v>6.5816493350657514E-3</v>
      </c>
      <c r="E158" s="24">
        <f t="shared" si="65"/>
        <v>2.1801800811065268E-3</v>
      </c>
      <c r="F158" s="24">
        <f t="shared" si="65"/>
        <v>2.8117019830302989E-3</v>
      </c>
      <c r="G158" s="24">
        <f t="shared" si="65"/>
        <v>4.7098796464016654E-4</v>
      </c>
      <c r="H158" s="24">
        <f t="shared" si="65"/>
        <v>1.2272964490337094E-3</v>
      </c>
      <c r="I158" s="24">
        <f t="shared" si="65"/>
        <v>3.7514010257475111E-2</v>
      </c>
      <c r="J158" s="24">
        <f t="shared" si="65"/>
        <v>7.4612905220229945E-4</v>
      </c>
      <c r="K158" s="24">
        <f t="shared" si="65"/>
        <v>3.1110916873697558E-2</v>
      </c>
      <c r="L158" s="24">
        <f t="shared" si="65"/>
        <v>5.8333604966249966E-2</v>
      </c>
      <c r="M158" s="24">
        <f t="shared" si="65"/>
        <v>5.0711602552578697E-5</v>
      </c>
      <c r="N158" s="24">
        <f t="shared" si="65"/>
        <v>1.4643207690160861E-3</v>
      </c>
      <c r="O158" s="24">
        <f t="shared" si="65"/>
        <v>1.048656252277929E-3</v>
      </c>
      <c r="P158" s="24">
        <f t="shared" si="65"/>
        <v>4.1793196550791198E-5</v>
      </c>
      <c r="Q158" s="24">
        <f t="shared" si="65"/>
        <v>3.9163147122265926E-5</v>
      </c>
      <c r="R158" s="24">
        <f t="shared" si="65"/>
        <v>1.3228578854817036E-2</v>
      </c>
      <c r="S158" s="24">
        <f t="shared" si="65"/>
        <v>5.1003831734501939E-4</v>
      </c>
      <c r="T158" s="24">
        <f t="shared" si="65"/>
        <v>1.636026825577264E-2</v>
      </c>
      <c r="U158" s="24">
        <f t="shared" si="65"/>
        <v>2.559847915901004E-3</v>
      </c>
      <c r="V158" s="24">
        <f t="shared" si="65"/>
        <v>3.717966854297163E-3</v>
      </c>
      <c r="W158" s="24">
        <f t="shared" si="65"/>
        <v>3.6028570464813501E-3</v>
      </c>
      <c r="X158" s="24">
        <f t="shared" si="65"/>
        <v>1.0782830530338697E-2</v>
      </c>
      <c r="Y158" s="24">
        <f t="shared" si="65"/>
        <v>1.700798260975049E-3</v>
      </c>
      <c r="Z158" s="24">
        <f t="shared" si="65"/>
        <v>1.7314954303009368E-3</v>
      </c>
      <c r="AA158" s="24">
        <f t="shared" si="65"/>
        <v>1.3409776924766924E-4</v>
      </c>
      <c r="AB158" s="24">
        <f t="shared" si="65"/>
        <v>6.7650716602803238E-4</v>
      </c>
      <c r="AC158" s="24">
        <f t="shared" si="65"/>
        <v>4.0707380878582762E-3</v>
      </c>
      <c r="AD158" s="24">
        <f t="shared" si="65"/>
        <v>0.51941996856537453</v>
      </c>
      <c r="AE158" s="24">
        <f t="shared" si="65"/>
        <v>2.9105582712230685E-3</v>
      </c>
      <c r="AF158" s="24">
        <f t="shared" si="65"/>
        <v>3.8679099901809616E-3</v>
      </c>
      <c r="AG158" s="24">
        <f t="shared" si="65"/>
        <v>8.8483133045321911E-3</v>
      </c>
      <c r="AH158" s="24">
        <f t="shared" si="65"/>
        <v>1.0224511293206459E-3</v>
      </c>
      <c r="AI158" s="24">
        <f t="shared" si="65"/>
        <v>2.5385270104522572E-3</v>
      </c>
      <c r="AJ158" s="24">
        <f t="shared" si="65"/>
        <v>1.2691638273656426E-2</v>
      </c>
      <c r="AK158" s="24">
        <f t="shared" si="65"/>
        <v>4.3309548291513497E-3</v>
      </c>
      <c r="AL158" s="24">
        <f t="shared" si="65"/>
        <v>1.3859433856963457E-3</v>
      </c>
      <c r="AM158" s="24">
        <f t="shared" si="65"/>
        <v>6.6150293397160776E-7</v>
      </c>
      <c r="AN158" s="24">
        <f t="shared" si="65"/>
        <v>5.9688626636419759E-6</v>
      </c>
      <c r="AO158" s="24">
        <f t="shared" si="65"/>
        <v>1.0432428910410806E-2</v>
      </c>
      <c r="AP158" s="24">
        <f t="shared" si="65"/>
        <v>3.3172196607410907E-2</v>
      </c>
      <c r="AQ158" s="24">
        <f t="shared" si="65"/>
        <v>2.0183774698257213E-3</v>
      </c>
      <c r="AR158" s="24">
        <f t="shared" si="65"/>
        <v>6.9659875027670436E-4</v>
      </c>
      <c r="AS158" s="24">
        <f t="shared" si="65"/>
        <v>1.2040564307689064E-3</v>
      </c>
      <c r="AT158" s="24">
        <f t="shared" si="65"/>
        <v>1.4270386957568825E-4</v>
      </c>
      <c r="AU158" s="24">
        <f t="shared" si="65"/>
        <v>8.1218472459294476E-4</v>
      </c>
      <c r="AV158" s="24">
        <f t="shared" si="65"/>
        <v>7.5110288310322455E-6</v>
      </c>
      <c r="AW158" s="24">
        <f t="shared" si="65"/>
        <v>2.9222572731821478E-5</v>
      </c>
      <c r="AX158" s="24">
        <f t="shared" si="65"/>
        <v>1.7651543567913985E-5</v>
      </c>
      <c r="AY158" s="24">
        <f t="shared" si="65"/>
        <v>6.7940056406226778E-3</v>
      </c>
      <c r="AZ158" s="24">
        <f t="shared" si="65"/>
        <v>7.8084331676080382E-4</v>
      </c>
      <c r="BA158" s="24">
        <f t="shared" si="65"/>
        <v>2.4481582209946668E-8</v>
      </c>
      <c r="BB158" s="24">
        <f t="shared" si="65"/>
        <v>3.1913867930661011E-6</v>
      </c>
      <c r="BC158" s="24">
        <f t="shared" si="65"/>
        <v>3.0886811275886015E-4</v>
      </c>
      <c r="BD158" s="24">
        <f t="shared" si="65"/>
        <v>2.7637011410472115E-5</v>
      </c>
      <c r="BE158" s="24">
        <f t="shared" si="65"/>
        <v>1.4542214735009439E-3</v>
      </c>
      <c r="BF158" s="24">
        <f t="shared" si="65"/>
        <v>1.9045502802623917E-4</v>
      </c>
      <c r="BG158" s="24">
        <f t="shared" si="65"/>
        <v>2.9083959284205722E-4</v>
      </c>
      <c r="BH158" s="24">
        <f t="shared" si="65"/>
        <v>5.1275634040092347E-5</v>
      </c>
      <c r="BI158" s="24">
        <f t="shared" si="65"/>
        <v>1.9562326877921378E-4</v>
      </c>
      <c r="BJ158" s="24">
        <f t="shared" si="65"/>
        <v>6.2419148953538224E-4</v>
      </c>
      <c r="BK158" s="24">
        <f t="shared" si="65"/>
        <v>1.1382744506341733E-3</v>
      </c>
      <c r="BL158" s="24">
        <f t="shared" si="65"/>
        <v>3.7843711213460924E-3</v>
      </c>
      <c r="BM158" s="24">
        <f t="shared" si="65"/>
        <v>5.4717509265218966E-3</v>
      </c>
      <c r="BN158" s="24">
        <f t="shared" si="65"/>
        <v>1.7979502619816423E-3</v>
      </c>
      <c r="BO158" s="24">
        <f t="shared" si="65"/>
        <v>1.0091587392495451E-3</v>
      </c>
      <c r="BP158" s="24">
        <f t="shared" ref="BP158:CV158" si="66">+BP108/$CW108</f>
        <v>3.9536731549229286E-4</v>
      </c>
      <c r="BQ158" s="24">
        <f t="shared" si="66"/>
        <v>2.8274766670406536E-5</v>
      </c>
      <c r="BR158" s="24">
        <f t="shared" si="66"/>
        <v>2.0467385875533625E-6</v>
      </c>
      <c r="BS158" s="24">
        <f t="shared" si="66"/>
        <v>1.1724818019258935E-3</v>
      </c>
      <c r="BT158" s="24">
        <f t="shared" si="66"/>
        <v>1.9871772990652167E-3</v>
      </c>
      <c r="BU158" s="24">
        <f t="shared" si="66"/>
        <v>3.6193990959670686E-3</v>
      </c>
      <c r="BV158" s="24">
        <f t="shared" si="66"/>
        <v>7.4081405487238461E-2</v>
      </c>
      <c r="BW158" s="24">
        <f t="shared" si="66"/>
        <v>1.0178535513336735E-2</v>
      </c>
      <c r="BX158" s="24">
        <f t="shared" si="66"/>
        <v>4.752804251110636E-3</v>
      </c>
      <c r="BY158" s="24">
        <f t="shared" si="66"/>
        <v>4.7445203716417732E-3</v>
      </c>
      <c r="BZ158" s="24">
        <f t="shared" si="66"/>
        <v>1.0016903185165294E-5</v>
      </c>
      <c r="CA158" s="24">
        <f t="shared" si="66"/>
        <v>1.3727736922537377E-2</v>
      </c>
      <c r="CB158" s="24">
        <f t="shared" si="66"/>
        <v>1.5293056498430632E-4</v>
      </c>
      <c r="CC158" s="24">
        <f t="shared" si="66"/>
        <v>8.9960947541447634E-6</v>
      </c>
      <c r="CD158" s="24">
        <f t="shared" si="66"/>
        <v>2.1007070213431276E-6</v>
      </c>
      <c r="CE158" s="24">
        <f t="shared" si="66"/>
        <v>4.7760041162354304E-5</v>
      </c>
      <c r="CF158" s="24">
        <f t="shared" si="66"/>
        <v>1.4898135336580587E-3</v>
      </c>
      <c r="CG158" s="24">
        <f t="shared" si="66"/>
        <v>1.0297456755619223E-3</v>
      </c>
      <c r="CH158" s="24">
        <f t="shared" si="66"/>
        <v>1.3300292210461339E-2</v>
      </c>
      <c r="CI158" s="24">
        <f t="shared" si="66"/>
        <v>1.7535298705846667E-2</v>
      </c>
      <c r="CJ158" s="24">
        <f t="shared" si="66"/>
        <v>5.5536558734729165E-6</v>
      </c>
      <c r="CK158" s="24">
        <f t="shared" si="66"/>
        <v>8.4645858078310696E-3</v>
      </c>
      <c r="CL158" s="24">
        <f t="shared" si="66"/>
        <v>1.9686881599337916E-3</v>
      </c>
      <c r="CM158" s="24">
        <f t="shared" si="66"/>
        <v>2.6460296341794624E-5</v>
      </c>
      <c r="CN158" s="24">
        <f t="shared" si="66"/>
        <v>1.6636487320007957E-3</v>
      </c>
      <c r="CO158" s="24">
        <f t="shared" si="66"/>
        <v>4.3762272178287291E-6</v>
      </c>
      <c r="CP158" s="24">
        <f t="shared" si="66"/>
        <v>9.8087515083095311E-6</v>
      </c>
      <c r="CQ158" s="24">
        <f t="shared" si="66"/>
        <v>1.5931211070064149E-4</v>
      </c>
      <c r="CR158" s="24">
        <f t="shared" si="66"/>
        <v>3.318343448212521E-3</v>
      </c>
      <c r="CS158" s="24">
        <f t="shared" si="66"/>
        <v>7.6783596833920062E-4</v>
      </c>
      <c r="CT158" s="24">
        <f t="shared" si="66"/>
        <v>2.8909619030423393E-3</v>
      </c>
      <c r="CU158" s="24">
        <f t="shared" si="66"/>
        <v>8.2121140354379657E-5</v>
      </c>
      <c r="CV158" s="24">
        <f t="shared" si="66"/>
        <v>1.9594440948810988E-4</v>
      </c>
    </row>
    <row r="159" spans="2:100">
      <c r="B159" s="140">
        <v>2024</v>
      </c>
      <c r="C159" t="s">
        <v>1</v>
      </c>
      <c r="D159" s="24">
        <f t="shared" ref="D159:BO159" si="67">+D109/$CW109</f>
        <v>7.0179797563826793E-3</v>
      </c>
      <c r="E159" s="24">
        <f t="shared" si="67"/>
        <v>1.848113999695784E-3</v>
      </c>
      <c r="F159" s="24">
        <f t="shared" si="67"/>
        <v>3.6068689042798073E-3</v>
      </c>
      <c r="G159" s="24">
        <f t="shared" si="67"/>
        <v>9.8341848771833665E-4</v>
      </c>
      <c r="H159" s="24">
        <f t="shared" si="67"/>
        <v>1.1889026917976514E-3</v>
      </c>
      <c r="I159" s="24">
        <f t="shared" si="67"/>
        <v>5.7251453202248517E-2</v>
      </c>
      <c r="J159" s="24">
        <f t="shared" si="67"/>
        <v>1.05593103232298E-3</v>
      </c>
      <c r="K159" s="24">
        <f t="shared" si="67"/>
        <v>3.9124753108307112E-2</v>
      </c>
      <c r="L159" s="24">
        <f t="shared" si="67"/>
        <v>6.4466963387444842E-2</v>
      </c>
      <c r="M159" s="24">
        <f t="shared" si="67"/>
        <v>5.9226496523516149E-5</v>
      </c>
      <c r="N159" s="24">
        <f t="shared" si="67"/>
        <v>1.8429056818724831E-3</v>
      </c>
      <c r="O159" s="24">
        <f t="shared" si="67"/>
        <v>1.4514788498584117E-3</v>
      </c>
      <c r="P159" s="24">
        <f t="shared" si="67"/>
        <v>9.4337415122980873E-5</v>
      </c>
      <c r="Q159" s="24">
        <f t="shared" si="67"/>
        <v>4.3128999439153458E-5</v>
      </c>
      <c r="R159" s="24">
        <f t="shared" si="67"/>
        <v>1.6232146007804947E-2</v>
      </c>
      <c r="S159" s="24">
        <f t="shared" si="67"/>
        <v>4.3547951771208784E-4</v>
      </c>
      <c r="T159" s="24">
        <f t="shared" si="67"/>
        <v>1.5294264050331952E-2</v>
      </c>
      <c r="U159" s="24">
        <f t="shared" si="67"/>
        <v>4.5837800819335181E-3</v>
      </c>
      <c r="V159" s="24">
        <f t="shared" si="67"/>
        <v>3.4923341012999295E-3</v>
      </c>
      <c r="W159" s="24">
        <f t="shared" si="67"/>
        <v>4.0189330171475062E-3</v>
      </c>
      <c r="X159" s="24">
        <f t="shared" si="67"/>
        <v>9.942839403210264E-3</v>
      </c>
      <c r="Y159" s="24">
        <f t="shared" si="67"/>
        <v>1.3976635993672723E-3</v>
      </c>
      <c r="Z159" s="24">
        <f t="shared" si="67"/>
        <v>1.4440093820586616E-3</v>
      </c>
      <c r="AA159" s="24">
        <f t="shared" si="67"/>
        <v>1.0934968982280204E-4</v>
      </c>
      <c r="AB159" s="24">
        <f t="shared" si="67"/>
        <v>9.3999235101920704E-4</v>
      </c>
      <c r="AC159" s="24">
        <f t="shared" si="67"/>
        <v>4.3875245724782049E-3</v>
      </c>
      <c r="AD159" s="24">
        <f t="shared" si="67"/>
        <v>0.47843314087193006</v>
      </c>
      <c r="AE159" s="24">
        <f t="shared" si="67"/>
        <v>3.1102443016190438E-3</v>
      </c>
      <c r="AF159" s="24">
        <f t="shared" si="67"/>
        <v>3.7117016769171686E-3</v>
      </c>
      <c r="AG159" s="24">
        <f t="shared" si="67"/>
        <v>8.0284260806513328E-3</v>
      </c>
      <c r="AH159" s="24">
        <f t="shared" si="67"/>
        <v>1.6382912337136882E-3</v>
      </c>
      <c r="AI159" s="24">
        <f t="shared" si="67"/>
        <v>3.0620940749096896E-3</v>
      </c>
      <c r="AJ159" s="24">
        <f t="shared" si="67"/>
        <v>1.3700471424154152E-2</v>
      </c>
      <c r="AK159" s="24">
        <f t="shared" si="67"/>
        <v>5.02578106757459E-3</v>
      </c>
      <c r="AL159" s="24">
        <f t="shared" si="67"/>
        <v>1.3707860687656749E-3</v>
      </c>
      <c r="AM159" s="24">
        <f t="shared" si="67"/>
        <v>3.5369656955842245E-5</v>
      </c>
      <c r="AN159" s="24">
        <f t="shared" si="67"/>
        <v>6.1775097964634965E-6</v>
      </c>
      <c r="AO159" s="24">
        <f t="shared" si="67"/>
        <v>9.3380513064652646E-3</v>
      </c>
      <c r="AP159" s="24">
        <f t="shared" si="67"/>
        <v>3.3130806219347365E-2</v>
      </c>
      <c r="AQ159" s="24">
        <f t="shared" si="67"/>
        <v>2.1107669148522482E-3</v>
      </c>
      <c r="AR159" s="24">
        <f t="shared" si="67"/>
        <v>6.0211641472386786E-4</v>
      </c>
      <c r="AS159" s="24">
        <f t="shared" si="67"/>
        <v>9.4455336317719697E-4</v>
      </c>
      <c r="AT159" s="24">
        <f t="shared" si="67"/>
        <v>1.0394830836228945E-4</v>
      </c>
      <c r="AU159" s="24">
        <f t="shared" si="67"/>
        <v>1.1429798271802953E-3</v>
      </c>
      <c r="AV159" s="24">
        <f t="shared" si="67"/>
        <v>2.6222609231919263E-6</v>
      </c>
      <c r="AW159" s="24">
        <f t="shared" si="67"/>
        <v>2.5959481999543278E-5</v>
      </c>
      <c r="AX159" s="24">
        <f t="shared" si="67"/>
        <v>1.069443937235965E-5</v>
      </c>
      <c r="AY159" s="24">
        <f t="shared" si="67"/>
        <v>7.6299541273539342E-3</v>
      </c>
      <c r="AZ159" s="24">
        <f t="shared" si="67"/>
        <v>1.0351923524147015E-3</v>
      </c>
      <c r="BA159" s="24">
        <f t="shared" si="67"/>
        <v>0</v>
      </c>
      <c r="BB159" s="24">
        <f t="shared" si="67"/>
        <v>3.1234123270807118E-7</v>
      </c>
      <c r="BC159" s="24">
        <f t="shared" si="67"/>
        <v>2.7441258668505761E-4</v>
      </c>
      <c r="BD159" s="24">
        <f t="shared" si="67"/>
        <v>2.7446131214746853E-5</v>
      </c>
      <c r="BE159" s="24">
        <f t="shared" si="67"/>
        <v>1.3752168386609496E-3</v>
      </c>
      <c r="BF159" s="24">
        <f t="shared" si="67"/>
        <v>1.8676949606701081E-4</v>
      </c>
      <c r="BG159" s="24">
        <f t="shared" si="67"/>
        <v>2.8261645353999101E-4</v>
      </c>
      <c r="BH159" s="24">
        <f t="shared" si="67"/>
        <v>6.1865005757749791E-5</v>
      </c>
      <c r="BI159" s="24">
        <f t="shared" si="67"/>
        <v>1.9040511473851206E-4</v>
      </c>
      <c r="BJ159" s="24">
        <f t="shared" si="67"/>
        <v>6.3052559313136667E-4</v>
      </c>
      <c r="BK159" s="24">
        <f t="shared" si="67"/>
        <v>1.2938760828183577E-3</v>
      </c>
      <c r="BL159" s="24">
        <f t="shared" si="67"/>
        <v>4.0913978726627555E-3</v>
      </c>
      <c r="BM159" s="24">
        <f t="shared" si="67"/>
        <v>4.3060825105093702E-3</v>
      </c>
      <c r="BN159" s="24">
        <f t="shared" si="67"/>
        <v>1.773098446982535E-3</v>
      </c>
      <c r="BO159" s="24">
        <f t="shared" si="67"/>
        <v>7.5391700804102433E-4</v>
      </c>
      <c r="BP159" s="24">
        <f t="shared" ref="BP159:CV159" si="68">+BP109/$CW109</f>
        <v>2.9928456822649209E-4</v>
      </c>
      <c r="BQ159" s="24">
        <f t="shared" si="68"/>
        <v>4.5267764471119117E-5</v>
      </c>
      <c r="BR159" s="24">
        <f t="shared" si="68"/>
        <v>8.7400584642126659E-7</v>
      </c>
      <c r="BS159" s="24">
        <f t="shared" si="68"/>
        <v>1.268519207919435E-3</v>
      </c>
      <c r="BT159" s="24">
        <f t="shared" si="68"/>
        <v>2.0024765398586131E-3</v>
      </c>
      <c r="BU159" s="24">
        <f t="shared" si="68"/>
        <v>3.2772446018116529E-3</v>
      </c>
      <c r="BV159" s="24">
        <f t="shared" si="68"/>
        <v>6.8155644190175321E-2</v>
      </c>
      <c r="BW159" s="24">
        <f t="shared" si="68"/>
        <v>1.0003615232258414E-2</v>
      </c>
      <c r="BX159" s="24">
        <f t="shared" si="68"/>
        <v>6.3250599895019336E-3</v>
      </c>
      <c r="BY159" s="24">
        <f t="shared" si="68"/>
        <v>7.4360932803327557E-3</v>
      </c>
      <c r="BZ159" s="24">
        <f t="shared" si="68"/>
        <v>3.6485852821593369E-6</v>
      </c>
      <c r="CA159" s="24">
        <f t="shared" si="68"/>
        <v>1.6169205024711794E-2</v>
      </c>
      <c r="CB159" s="24">
        <f t="shared" si="68"/>
        <v>1.40142130561235E-4</v>
      </c>
      <c r="CC159" s="24">
        <f t="shared" si="68"/>
        <v>3.5501378107809176E-6</v>
      </c>
      <c r="CD159" s="24">
        <f t="shared" si="68"/>
        <v>7.8698679927519552E-7</v>
      </c>
      <c r="CE159" s="24">
        <f t="shared" si="68"/>
        <v>4.985690738603906E-5</v>
      </c>
      <c r="CF159" s="24">
        <f t="shared" si="68"/>
        <v>1.297749813279586E-3</v>
      </c>
      <c r="CG159" s="24">
        <f t="shared" si="68"/>
        <v>1.0134721183997764E-3</v>
      </c>
      <c r="CH159" s="24">
        <f t="shared" si="68"/>
        <v>1.231463806172407E-2</v>
      </c>
      <c r="CI159" s="24">
        <f t="shared" si="68"/>
        <v>1.8775354047801014E-2</v>
      </c>
      <c r="CJ159" s="24">
        <f t="shared" si="68"/>
        <v>1.4718149205326537E-5</v>
      </c>
      <c r="CK159" s="24">
        <f t="shared" si="68"/>
        <v>1.0246046903507861E-2</v>
      </c>
      <c r="CL159" s="24">
        <f t="shared" si="68"/>
        <v>3.1604025333536556E-4</v>
      </c>
      <c r="CM159" s="24">
        <f t="shared" si="68"/>
        <v>1.6222330294157148E-4</v>
      </c>
      <c r="CN159" s="24">
        <f t="shared" si="68"/>
        <v>2.2771608598317443E-3</v>
      </c>
      <c r="CO159" s="24">
        <f t="shared" si="68"/>
        <v>2.6907854468977906E-6</v>
      </c>
      <c r="CP159" s="24">
        <f t="shared" si="68"/>
        <v>1.1906262111020323E-6</v>
      </c>
      <c r="CQ159" s="24">
        <f t="shared" si="68"/>
        <v>1.0507643092555122E-4</v>
      </c>
      <c r="CR159" s="24">
        <f t="shared" si="68"/>
        <v>3.1957411150495539E-3</v>
      </c>
      <c r="CS159" s="24">
        <f t="shared" si="68"/>
        <v>4.2582886969944295E-4</v>
      </c>
      <c r="CT159" s="24">
        <f t="shared" si="68"/>
        <v>2.6510877395697643E-3</v>
      </c>
      <c r="CU159" s="24">
        <f t="shared" si="68"/>
        <v>5.7961874518003961E-5</v>
      </c>
      <c r="CV159" s="24">
        <f t="shared" si="68"/>
        <v>1.9990164319754272E-4</v>
      </c>
    </row>
    <row r="160" spans="2:100">
      <c r="B160" s="140"/>
      <c r="C160" t="s">
        <v>2</v>
      </c>
      <c r="D160" s="24">
        <f t="shared" ref="D160:BO160" si="69">+D110/$CW110</f>
        <v>2.1336030410986596E-3</v>
      </c>
      <c r="E160" s="24">
        <f t="shared" si="69"/>
        <v>1.493660223784175E-3</v>
      </c>
      <c r="F160" s="24">
        <f t="shared" si="69"/>
        <v>2.7364760393154622E-3</v>
      </c>
      <c r="G160" s="24">
        <f t="shared" si="69"/>
        <v>1.3401008855441255E-3</v>
      </c>
      <c r="H160" s="24">
        <f t="shared" si="69"/>
        <v>1.165814334182599E-3</v>
      </c>
      <c r="I160" s="24">
        <f t="shared" si="69"/>
        <v>5.04787261901306E-2</v>
      </c>
      <c r="J160" s="24">
        <f t="shared" si="69"/>
        <v>7.5817284594893459E-4</v>
      </c>
      <c r="K160" s="24">
        <f t="shared" si="69"/>
        <v>4.1678079878432646E-2</v>
      </c>
      <c r="L160" s="24">
        <f t="shared" si="69"/>
        <v>6.4079689097816667E-2</v>
      </c>
      <c r="M160" s="24">
        <f t="shared" si="69"/>
        <v>9.3933845121639713E-5</v>
      </c>
      <c r="N160" s="24">
        <f t="shared" si="69"/>
        <v>1.5770983996111886E-3</v>
      </c>
      <c r="O160" s="24">
        <f t="shared" si="69"/>
        <v>1.0705026822216978E-3</v>
      </c>
      <c r="P160" s="24">
        <f t="shared" si="69"/>
        <v>9.0803717391033423E-5</v>
      </c>
      <c r="Q160" s="24">
        <f t="shared" si="69"/>
        <v>4.0064223842168835E-5</v>
      </c>
      <c r="R160" s="24">
        <f t="shared" si="69"/>
        <v>1.8670588416164657E-2</v>
      </c>
      <c r="S160" s="24">
        <f t="shared" si="69"/>
        <v>4.3611984347467374E-4</v>
      </c>
      <c r="T160" s="24">
        <f t="shared" si="69"/>
        <v>1.2139671050332103E-2</v>
      </c>
      <c r="U160" s="24">
        <f t="shared" si="69"/>
        <v>5.4106344992833552E-3</v>
      </c>
      <c r="V160" s="24">
        <f t="shared" si="69"/>
        <v>4.0854901811414827E-3</v>
      </c>
      <c r="W160" s="24">
        <f t="shared" si="69"/>
        <v>3.9232554868970206E-3</v>
      </c>
      <c r="X160" s="24">
        <f t="shared" si="69"/>
        <v>1.0331277621722906E-2</v>
      </c>
      <c r="Y160" s="24">
        <f t="shared" si="69"/>
        <v>1.2013770193633746E-3</v>
      </c>
      <c r="Z160" s="24">
        <f t="shared" si="69"/>
        <v>1.5251779650500147E-3</v>
      </c>
      <c r="AA160" s="24">
        <f t="shared" si="69"/>
        <v>3.1392686906645022E-4</v>
      </c>
      <c r="AB160" s="24">
        <f t="shared" si="69"/>
        <v>6.7364499601106978E-4</v>
      </c>
      <c r="AC160" s="24">
        <f t="shared" si="69"/>
        <v>3.4812151903526019E-3</v>
      </c>
      <c r="AD160" s="24">
        <f t="shared" si="69"/>
        <v>0.46426373591715236</v>
      </c>
      <c r="AE160" s="24">
        <f t="shared" si="69"/>
        <v>3.4457490507616042E-3</v>
      </c>
      <c r="AF160" s="24">
        <f t="shared" si="69"/>
        <v>4.7442872812277709E-3</v>
      </c>
      <c r="AG160" s="24">
        <f t="shared" si="69"/>
        <v>7.4020743673901988E-3</v>
      </c>
      <c r="AH160" s="24">
        <f t="shared" si="69"/>
        <v>2.0553062369364984E-3</v>
      </c>
      <c r="AI160" s="24">
        <f t="shared" si="69"/>
        <v>2.7504920158477682E-3</v>
      </c>
      <c r="AJ160" s="24">
        <f t="shared" si="69"/>
        <v>1.5099489766827639E-2</v>
      </c>
      <c r="AK160" s="24">
        <f t="shared" si="69"/>
        <v>5.2275553278297859E-3</v>
      </c>
      <c r="AL160" s="24">
        <f t="shared" si="69"/>
        <v>1.5075848469307063E-3</v>
      </c>
      <c r="AM160" s="24">
        <f t="shared" si="69"/>
        <v>0</v>
      </c>
      <c r="AN160" s="24">
        <f t="shared" si="69"/>
        <v>1.7306241772182803E-5</v>
      </c>
      <c r="AO160" s="24">
        <f t="shared" si="69"/>
        <v>1.0894701668340716E-2</v>
      </c>
      <c r="AP160" s="24">
        <f t="shared" si="69"/>
        <v>3.451021560564356E-2</v>
      </c>
      <c r="AQ160" s="24">
        <f t="shared" si="69"/>
        <v>2.031118020447073E-3</v>
      </c>
      <c r="AR160" s="24">
        <f t="shared" si="69"/>
        <v>6.4525086470309547E-4</v>
      </c>
      <c r="AS160" s="24">
        <f t="shared" si="69"/>
        <v>9.1730656239549725E-4</v>
      </c>
      <c r="AT160" s="24">
        <f t="shared" si="69"/>
        <v>9.2883676261319294E-5</v>
      </c>
      <c r="AU160" s="24">
        <f t="shared" si="69"/>
        <v>9.8402531613890338E-4</v>
      </c>
      <c r="AV160" s="24">
        <f t="shared" si="69"/>
        <v>4.3029384307419515E-6</v>
      </c>
      <c r="AW160" s="24">
        <f t="shared" si="69"/>
        <v>2.0097316380009333E-5</v>
      </c>
      <c r="AX160" s="24">
        <f t="shared" si="69"/>
        <v>5.8444744730265546E-5</v>
      </c>
      <c r="AY160" s="24">
        <f t="shared" si="69"/>
        <v>8.2416587793271504E-3</v>
      </c>
      <c r="AZ160" s="24">
        <f t="shared" si="69"/>
        <v>1.0137234666517008E-3</v>
      </c>
      <c r="BA160" s="24">
        <f t="shared" si="69"/>
        <v>1.6494918227081024E-9</v>
      </c>
      <c r="BB160" s="24">
        <f t="shared" si="69"/>
        <v>1.1120153690190114E-7</v>
      </c>
      <c r="BC160" s="24">
        <f t="shared" si="69"/>
        <v>2.2752098227300812E-4</v>
      </c>
      <c r="BD160" s="24">
        <f t="shared" si="69"/>
        <v>2.0978187469273701E-5</v>
      </c>
      <c r="BE160" s="24">
        <f t="shared" si="69"/>
        <v>1.3227841445756603E-3</v>
      </c>
      <c r="BF160" s="24">
        <f t="shared" si="69"/>
        <v>2.434745747079997E-4</v>
      </c>
      <c r="BG160" s="24">
        <f t="shared" si="69"/>
        <v>3.1158555930257346E-4</v>
      </c>
      <c r="BH160" s="24">
        <f t="shared" si="69"/>
        <v>6.9479497514466043E-5</v>
      </c>
      <c r="BI160" s="24">
        <f t="shared" si="69"/>
        <v>2.1021994685680719E-4</v>
      </c>
      <c r="BJ160" s="24">
        <f t="shared" si="69"/>
        <v>7.2463835798752103E-4</v>
      </c>
      <c r="BK160" s="24">
        <f t="shared" si="69"/>
        <v>1.2944711835180523E-3</v>
      </c>
      <c r="BL160" s="24">
        <f t="shared" si="69"/>
        <v>3.6854701533639901E-3</v>
      </c>
      <c r="BM160" s="24">
        <f t="shared" si="69"/>
        <v>4.5866656188696259E-3</v>
      </c>
      <c r="BN160" s="24">
        <f t="shared" si="69"/>
        <v>1.9572339119644329E-3</v>
      </c>
      <c r="BO160" s="24">
        <f t="shared" si="69"/>
        <v>8.2325349785439695E-4</v>
      </c>
      <c r="BP160" s="24">
        <f t="shared" ref="BP160:CV160" si="70">+BP110/$CW110</f>
        <v>4.1786334188572181E-4</v>
      </c>
      <c r="BQ160" s="24">
        <f t="shared" si="70"/>
        <v>1.1657730780177254E-5</v>
      </c>
      <c r="BR160" s="24">
        <f t="shared" si="70"/>
        <v>8.2347301942794814E-7</v>
      </c>
      <c r="BS160" s="24">
        <f t="shared" si="70"/>
        <v>1.4207506512665467E-3</v>
      </c>
      <c r="BT160" s="24">
        <f t="shared" si="70"/>
        <v>2.170751226782341E-3</v>
      </c>
      <c r="BU160" s="24">
        <f t="shared" si="70"/>
        <v>3.0824854520012462E-3</v>
      </c>
      <c r="BV160" s="24">
        <f t="shared" si="70"/>
        <v>8.0411793282423552E-2</v>
      </c>
      <c r="BW160" s="24">
        <f t="shared" si="70"/>
        <v>1.3359235946763821E-2</v>
      </c>
      <c r="BX160" s="24">
        <f t="shared" si="70"/>
        <v>6.3189608492374705E-3</v>
      </c>
      <c r="BY160" s="24">
        <f t="shared" si="70"/>
        <v>8.3082402777395464E-3</v>
      </c>
      <c r="BZ160" s="24">
        <f t="shared" si="70"/>
        <v>6.494863831039133E-6</v>
      </c>
      <c r="CA160" s="24">
        <f t="shared" si="70"/>
        <v>1.6533094462081212E-2</v>
      </c>
      <c r="CB160" s="24">
        <f t="shared" si="70"/>
        <v>1.08419699605526E-4</v>
      </c>
      <c r="CC160" s="24">
        <f t="shared" si="70"/>
        <v>1.737265701156862E-5</v>
      </c>
      <c r="CD160" s="24">
        <f t="shared" si="70"/>
        <v>2.164390365685702E-6</v>
      </c>
      <c r="CE160" s="24">
        <f t="shared" si="70"/>
        <v>3.4793786125069362E-5</v>
      </c>
      <c r="CF160" s="24">
        <f t="shared" si="70"/>
        <v>1.3471378322981533E-3</v>
      </c>
      <c r="CG160" s="24">
        <f t="shared" si="70"/>
        <v>1.0450187906917564E-3</v>
      </c>
      <c r="CH160" s="24">
        <f t="shared" si="70"/>
        <v>1.1581104632909227E-2</v>
      </c>
      <c r="CI160" s="24">
        <f t="shared" si="70"/>
        <v>1.9745317837056384E-2</v>
      </c>
      <c r="CJ160" s="24">
        <f t="shared" si="70"/>
        <v>1.7178365272426842E-5</v>
      </c>
      <c r="CK160" s="24">
        <f t="shared" si="70"/>
        <v>1.0081815464030815E-2</v>
      </c>
      <c r="CL160" s="24">
        <f t="shared" si="70"/>
        <v>1.6881404138287021E-3</v>
      </c>
      <c r="CM160" s="24">
        <f t="shared" si="70"/>
        <v>4.3251854996236072E-5</v>
      </c>
      <c r="CN160" s="24">
        <f t="shared" si="70"/>
        <v>2.3185206961977966E-3</v>
      </c>
      <c r="CO160" s="24">
        <f t="shared" si="70"/>
        <v>1.8411733864913439E-5</v>
      </c>
      <c r="CP160" s="24">
        <f t="shared" si="70"/>
        <v>6.268903106855086E-6</v>
      </c>
      <c r="CQ160" s="24">
        <f t="shared" si="70"/>
        <v>2.8849795876274977E-4</v>
      </c>
      <c r="CR160" s="24">
        <f t="shared" si="70"/>
        <v>3.764836811003622E-3</v>
      </c>
      <c r="CS160" s="24">
        <f t="shared" si="70"/>
        <v>3.7254501013825407E-4</v>
      </c>
      <c r="CT160" s="24">
        <f t="shared" si="70"/>
        <v>2.8981576639835849E-3</v>
      </c>
      <c r="CU160" s="24">
        <f t="shared" si="70"/>
        <v>6.7190373960896252E-5</v>
      </c>
      <c r="CV160" s="24">
        <f t="shared" si="70"/>
        <v>1.7740054426315964E-4</v>
      </c>
    </row>
    <row r="161" spans="2:100">
      <c r="B161" s="140"/>
      <c r="C161" t="s">
        <v>3</v>
      </c>
      <c r="D161" s="24">
        <f t="shared" ref="D161:BO161" si="71">+D111/$CW111</f>
        <v>2.1606684452203963E-3</v>
      </c>
      <c r="E161" s="24">
        <f t="shared" si="71"/>
        <v>2.5285153817687102E-3</v>
      </c>
      <c r="F161" s="24">
        <f t="shared" si="71"/>
        <v>3.3325562561246367E-3</v>
      </c>
      <c r="G161" s="24">
        <f t="shared" si="71"/>
        <v>1.2620827250038552E-3</v>
      </c>
      <c r="H161" s="24">
        <f t="shared" si="71"/>
        <v>1.3872238986934841E-3</v>
      </c>
      <c r="I161" s="24">
        <f t="shared" si="71"/>
        <v>4.2998294549308799E-2</v>
      </c>
      <c r="J161" s="24">
        <f t="shared" si="71"/>
        <v>6.0924401377416399E-4</v>
      </c>
      <c r="K161" s="24">
        <f t="shared" si="71"/>
        <v>3.2089573388474839E-2</v>
      </c>
      <c r="L161" s="24">
        <f t="shared" si="71"/>
        <v>7.07712540914016E-2</v>
      </c>
      <c r="M161" s="24">
        <f t="shared" si="71"/>
        <v>8.6785294917945781E-4</v>
      </c>
      <c r="N161" s="24">
        <f t="shared" si="71"/>
        <v>1.3757564684759892E-3</v>
      </c>
      <c r="O161" s="24">
        <f t="shared" si="71"/>
        <v>9.9198585027818805E-4</v>
      </c>
      <c r="P161" s="24">
        <f t="shared" si="71"/>
        <v>7.4088120100314581E-5</v>
      </c>
      <c r="Q161" s="24">
        <f t="shared" si="71"/>
        <v>4.4360225388522769E-5</v>
      </c>
      <c r="R161" s="24">
        <f t="shared" si="71"/>
        <v>1.3076214894159393E-2</v>
      </c>
      <c r="S161" s="24">
        <f t="shared" si="71"/>
        <v>4.4895562408440103E-4</v>
      </c>
      <c r="T161" s="24">
        <f t="shared" si="71"/>
        <v>1.4410943166138274E-2</v>
      </c>
      <c r="U161" s="24">
        <f t="shared" si="71"/>
        <v>5.9206934624795662E-3</v>
      </c>
      <c r="V161" s="24">
        <f t="shared" si="71"/>
        <v>4.1956035987968845E-3</v>
      </c>
      <c r="W161" s="24">
        <f t="shared" si="71"/>
        <v>4.1352291349749321E-3</v>
      </c>
      <c r="X161" s="24">
        <f t="shared" si="71"/>
        <v>1.0955562993216313E-2</v>
      </c>
      <c r="Y161" s="24">
        <f t="shared" si="71"/>
        <v>1.5347196926828693E-3</v>
      </c>
      <c r="Z161" s="24">
        <f t="shared" si="71"/>
        <v>1.662953902580333E-3</v>
      </c>
      <c r="AA161" s="24">
        <f t="shared" si="71"/>
        <v>8.8318358914112329E-5</v>
      </c>
      <c r="AB161" s="24">
        <f t="shared" si="71"/>
        <v>4.7502979058791742E-4</v>
      </c>
      <c r="AC161" s="24">
        <f t="shared" si="71"/>
        <v>5.2016967164551535E-3</v>
      </c>
      <c r="AD161" s="24">
        <f t="shared" si="71"/>
        <v>0.44963670910492254</v>
      </c>
      <c r="AE161" s="24">
        <f t="shared" si="71"/>
        <v>3.6065344294520922E-3</v>
      </c>
      <c r="AF161" s="24">
        <f t="shared" si="71"/>
        <v>4.3624470163991305E-3</v>
      </c>
      <c r="AG161" s="24">
        <f t="shared" si="71"/>
        <v>8.2740413000609182E-3</v>
      </c>
      <c r="AH161" s="24">
        <f t="shared" si="71"/>
        <v>9.5381300685211487E-4</v>
      </c>
      <c r="AI161" s="24">
        <f t="shared" si="71"/>
        <v>2.9405670229439231E-3</v>
      </c>
      <c r="AJ161" s="24">
        <f t="shared" si="71"/>
        <v>1.4506429768644672E-2</v>
      </c>
      <c r="AK161" s="24">
        <f t="shared" si="71"/>
        <v>5.4084118763679705E-3</v>
      </c>
      <c r="AL161" s="24">
        <f t="shared" si="71"/>
        <v>1.4258675594411852E-3</v>
      </c>
      <c r="AM161" s="24">
        <f t="shared" si="71"/>
        <v>0</v>
      </c>
      <c r="AN161" s="24">
        <f t="shared" si="71"/>
        <v>1.3698047082826926E-5</v>
      </c>
      <c r="AO161" s="24">
        <f t="shared" si="71"/>
        <v>1.5035971879274952E-2</v>
      </c>
      <c r="AP161" s="24">
        <f t="shared" si="71"/>
        <v>3.4345347019016551E-2</v>
      </c>
      <c r="AQ161" s="24">
        <f t="shared" si="71"/>
        <v>2.359075574961587E-3</v>
      </c>
      <c r="AR161" s="24">
        <f t="shared" si="71"/>
        <v>6.2053001987184581E-4</v>
      </c>
      <c r="AS161" s="24">
        <f t="shared" si="71"/>
        <v>8.3466959623688312E-4</v>
      </c>
      <c r="AT161" s="24">
        <f t="shared" si="71"/>
        <v>1.2264613215598886E-4</v>
      </c>
      <c r="AU161" s="24">
        <f t="shared" si="71"/>
        <v>1.0168667875428044E-3</v>
      </c>
      <c r="AV161" s="24">
        <f t="shared" si="71"/>
        <v>5.274027350306743E-6</v>
      </c>
      <c r="AW161" s="24">
        <f t="shared" si="71"/>
        <v>1.7177552490246381E-5</v>
      </c>
      <c r="AX161" s="24">
        <f t="shared" si="71"/>
        <v>3.5722038905551579E-5</v>
      </c>
      <c r="AY161" s="24">
        <f t="shared" si="71"/>
        <v>7.7616576128727768E-3</v>
      </c>
      <c r="AZ161" s="24">
        <f t="shared" si="71"/>
        <v>1.3895325361853142E-3</v>
      </c>
      <c r="BA161" s="24">
        <f t="shared" si="71"/>
        <v>3.8034055234052918E-7</v>
      </c>
      <c r="BB161" s="24">
        <f t="shared" si="71"/>
        <v>9.5120788178979591E-8</v>
      </c>
      <c r="BC161" s="24">
        <f t="shared" si="71"/>
        <v>2.5641834804978226E-4</v>
      </c>
      <c r="BD161" s="24">
        <f t="shared" si="71"/>
        <v>2.2340949677101965E-5</v>
      </c>
      <c r="BE161" s="24">
        <f t="shared" si="71"/>
        <v>1.4080811516737101E-3</v>
      </c>
      <c r="BF161" s="24">
        <f t="shared" si="71"/>
        <v>1.5177127013327285E-4</v>
      </c>
      <c r="BG161" s="24">
        <f t="shared" si="71"/>
        <v>2.8057437709833239E-4</v>
      </c>
      <c r="BH161" s="24">
        <f t="shared" si="71"/>
        <v>3.2904146160908845E-5</v>
      </c>
      <c r="BI161" s="24">
        <f t="shared" si="71"/>
        <v>2.1297504465945985E-4</v>
      </c>
      <c r="BJ161" s="24">
        <f t="shared" si="71"/>
        <v>7.0577000981895683E-4</v>
      </c>
      <c r="BK161" s="24">
        <f t="shared" si="71"/>
        <v>1.3431879513119414E-3</v>
      </c>
      <c r="BL161" s="24">
        <f t="shared" si="71"/>
        <v>3.5463447503654663E-3</v>
      </c>
      <c r="BM161" s="24">
        <f t="shared" si="71"/>
        <v>4.4141032806674814E-3</v>
      </c>
      <c r="BN161" s="24">
        <f t="shared" si="71"/>
        <v>1.9287655409586421E-3</v>
      </c>
      <c r="BO161" s="24">
        <f t="shared" si="71"/>
        <v>7.7863914626035162E-4</v>
      </c>
      <c r="BP161" s="24">
        <f t="shared" ref="BP161:CV161" si="72">+BP111/$CW111</f>
        <v>3.8195675568288966E-4</v>
      </c>
      <c r="BQ161" s="24">
        <f t="shared" si="72"/>
        <v>2.5277851941698576E-5</v>
      </c>
      <c r="BR161" s="24">
        <f t="shared" si="72"/>
        <v>1.9042862051701117E-6</v>
      </c>
      <c r="BS161" s="24">
        <f t="shared" si="72"/>
        <v>1.3701892500005363E-3</v>
      </c>
      <c r="BT161" s="24">
        <f t="shared" si="72"/>
        <v>2.1368954447412653E-3</v>
      </c>
      <c r="BU161" s="24">
        <f t="shared" si="72"/>
        <v>3.5463310171570915E-3</v>
      </c>
      <c r="BV161" s="24">
        <f t="shared" si="72"/>
        <v>9.4852228037199296E-2</v>
      </c>
      <c r="BW161" s="24">
        <f t="shared" si="72"/>
        <v>1.5050026160316667E-2</v>
      </c>
      <c r="BX161" s="24">
        <f t="shared" si="72"/>
        <v>5.2399784748790521E-3</v>
      </c>
      <c r="BY161" s="24">
        <f t="shared" si="72"/>
        <v>9.2030600461177007E-3</v>
      </c>
      <c r="BZ161" s="24">
        <f t="shared" si="72"/>
        <v>1.1004921744406567E-5</v>
      </c>
      <c r="CA161" s="24">
        <f t="shared" si="72"/>
        <v>1.8056213351621626E-2</v>
      </c>
      <c r="CB161" s="24">
        <f t="shared" si="72"/>
        <v>1.4189052814933014E-4</v>
      </c>
      <c r="CC161" s="24">
        <f t="shared" si="72"/>
        <v>2.3040276970271868E-5</v>
      </c>
      <c r="CD161" s="24">
        <f t="shared" si="72"/>
        <v>7.849992220307432E-7</v>
      </c>
      <c r="CE161" s="24">
        <f t="shared" si="72"/>
        <v>4.4560222415005955E-5</v>
      </c>
      <c r="CF161" s="24">
        <f t="shared" si="72"/>
        <v>1.2479611857028714E-3</v>
      </c>
      <c r="CG161" s="24">
        <f t="shared" si="72"/>
        <v>8.9370984420546131E-4</v>
      </c>
      <c r="CH161" s="24">
        <f t="shared" si="72"/>
        <v>1.1938449460461865E-2</v>
      </c>
      <c r="CI161" s="24">
        <f t="shared" si="72"/>
        <v>2.1446811665762681E-2</v>
      </c>
      <c r="CJ161" s="24">
        <f t="shared" si="72"/>
        <v>2.0247818587028397E-5</v>
      </c>
      <c r="CK161" s="24">
        <f t="shared" si="72"/>
        <v>9.9275438319720629E-3</v>
      </c>
      <c r="CL161" s="24">
        <f t="shared" si="72"/>
        <v>1.0779372307180026E-3</v>
      </c>
      <c r="CM161" s="24">
        <f t="shared" si="72"/>
        <v>1.689237154507591E-4</v>
      </c>
      <c r="CN161" s="24">
        <f t="shared" si="72"/>
        <v>2.8477203994082467E-3</v>
      </c>
      <c r="CO161" s="24">
        <f t="shared" si="72"/>
        <v>1.4254331384887025E-4</v>
      </c>
      <c r="CP161" s="24">
        <f t="shared" si="72"/>
        <v>3.0444863255845964E-6</v>
      </c>
      <c r="CQ161" s="24">
        <f t="shared" si="72"/>
        <v>1.3883623329459169E-4</v>
      </c>
      <c r="CR161" s="24">
        <f t="shared" si="72"/>
        <v>3.5322068476714057E-3</v>
      </c>
      <c r="CS161" s="24">
        <f t="shared" si="72"/>
        <v>5.1923611848242305E-4</v>
      </c>
      <c r="CT161" s="24">
        <f t="shared" si="72"/>
        <v>3.2484440719486459E-3</v>
      </c>
      <c r="CU161" s="24">
        <f t="shared" si="72"/>
        <v>1.5156142179752321E-4</v>
      </c>
      <c r="CV161" s="24">
        <f t="shared" si="72"/>
        <v>2.5476169452649398E-4</v>
      </c>
    </row>
    <row r="162" spans="2:100">
      <c r="B162" s="140"/>
      <c r="C162" t="s">
        <v>4</v>
      </c>
      <c r="D162" s="24">
        <f t="shared" ref="D162:BO162" si="73">+D112/$CW112</f>
        <v>5.1081134016820046E-3</v>
      </c>
      <c r="E162" s="24">
        <f t="shared" si="73"/>
        <v>3.8836346487399632E-3</v>
      </c>
      <c r="F162" s="24">
        <f t="shared" si="73"/>
        <v>2.071790595157275E-3</v>
      </c>
      <c r="G162" s="24">
        <f t="shared" si="73"/>
        <v>1.102847996805471E-3</v>
      </c>
      <c r="H162" s="24">
        <f t="shared" si="73"/>
        <v>8.0966477415365067E-4</v>
      </c>
      <c r="I162" s="24">
        <f t="shared" si="73"/>
        <v>4.2906082412035272E-2</v>
      </c>
      <c r="J162" s="24">
        <f t="shared" si="73"/>
        <v>8.3403839875855097E-4</v>
      </c>
      <c r="K162" s="24">
        <f t="shared" si="73"/>
        <v>3.4451953218586157E-2</v>
      </c>
      <c r="L162" s="24">
        <f t="shared" si="73"/>
        <v>8.7223142461434047E-2</v>
      </c>
      <c r="M162" s="24">
        <f t="shared" si="73"/>
        <v>1.2273909188607914E-3</v>
      </c>
      <c r="N162" s="24">
        <f t="shared" si="73"/>
        <v>1.4798112506647799E-3</v>
      </c>
      <c r="O162" s="24">
        <f t="shared" si="73"/>
        <v>9.8564165781655643E-4</v>
      </c>
      <c r="P162" s="24">
        <f t="shared" si="73"/>
        <v>1.2244698320468584E-4</v>
      </c>
      <c r="Q162" s="24">
        <f t="shared" si="73"/>
        <v>2.1848748797541955E-5</v>
      </c>
      <c r="R162" s="24">
        <f t="shared" si="73"/>
        <v>1.5119133767522174E-2</v>
      </c>
      <c r="S162" s="24">
        <f t="shared" si="73"/>
        <v>5.896898782719903E-4</v>
      </c>
      <c r="T162" s="24">
        <f t="shared" si="73"/>
        <v>1.5957630949237592E-2</v>
      </c>
      <c r="U162" s="24">
        <f t="shared" si="73"/>
        <v>5.4016811666360662E-3</v>
      </c>
      <c r="V162" s="24">
        <f t="shared" si="73"/>
        <v>4.2034110421268088E-3</v>
      </c>
      <c r="W162" s="24">
        <f t="shared" si="73"/>
        <v>3.9141667965337627E-3</v>
      </c>
      <c r="X162" s="24">
        <f t="shared" si="73"/>
        <v>1.0568349686767875E-2</v>
      </c>
      <c r="Y162" s="24">
        <f t="shared" si="73"/>
        <v>2.2742198167874281E-3</v>
      </c>
      <c r="Z162" s="24">
        <f t="shared" si="73"/>
        <v>2.1350902795548524E-3</v>
      </c>
      <c r="AA162" s="24">
        <f t="shared" si="73"/>
        <v>1.0454766072832062E-4</v>
      </c>
      <c r="AB162" s="24">
        <f t="shared" si="73"/>
        <v>6.5691168200825547E-4</v>
      </c>
      <c r="AC162" s="24">
        <f t="shared" si="73"/>
        <v>6.0883565552344284E-3</v>
      </c>
      <c r="AD162" s="24">
        <f t="shared" si="73"/>
        <v>0.42381946872372567</v>
      </c>
      <c r="AE162" s="24">
        <f t="shared" si="73"/>
        <v>3.2785420203582136E-3</v>
      </c>
      <c r="AF162" s="24">
        <f t="shared" si="73"/>
        <v>3.8403225544118365E-3</v>
      </c>
      <c r="AG162" s="24">
        <f t="shared" si="73"/>
        <v>8.2586618873528965E-3</v>
      </c>
      <c r="AH162" s="24">
        <f t="shared" si="73"/>
        <v>9.0495153141525607E-4</v>
      </c>
      <c r="AI162" s="24">
        <f t="shared" si="73"/>
        <v>3.1741877476349732E-3</v>
      </c>
      <c r="AJ162" s="24">
        <f t="shared" si="73"/>
        <v>1.4176397351751045E-2</v>
      </c>
      <c r="AK162" s="24">
        <f t="shared" si="73"/>
        <v>5.4967424471492419E-3</v>
      </c>
      <c r="AL162" s="24">
        <f t="shared" si="73"/>
        <v>1.6925350831361291E-3</v>
      </c>
      <c r="AM162" s="24">
        <f t="shared" si="73"/>
        <v>8.3821728378996399E-7</v>
      </c>
      <c r="AN162" s="24">
        <f t="shared" si="73"/>
        <v>8.9818262450447838E-6</v>
      </c>
      <c r="AO162" s="24">
        <f t="shared" si="73"/>
        <v>1.3226376734719087E-2</v>
      </c>
      <c r="AP162" s="24">
        <f t="shared" si="73"/>
        <v>3.3300728427415389E-2</v>
      </c>
      <c r="AQ162" s="24">
        <f t="shared" si="73"/>
        <v>2.5170688510857786E-3</v>
      </c>
      <c r="AR162" s="24">
        <f t="shared" si="73"/>
        <v>7.4261706801250925E-4</v>
      </c>
      <c r="AS162" s="24">
        <f t="shared" si="73"/>
        <v>1.0806023440486394E-3</v>
      </c>
      <c r="AT162" s="24">
        <f t="shared" si="73"/>
        <v>1.1103735260113358E-4</v>
      </c>
      <c r="AU162" s="24">
        <f t="shared" si="73"/>
        <v>6.8668165072301342E-4</v>
      </c>
      <c r="AV162" s="24">
        <f t="shared" si="73"/>
        <v>2.5952619955428323E-6</v>
      </c>
      <c r="AW162" s="24">
        <f t="shared" si="73"/>
        <v>2.1221920030211577E-5</v>
      </c>
      <c r="AX162" s="24">
        <f t="shared" si="73"/>
        <v>5.7490122131032318E-5</v>
      </c>
      <c r="AY162" s="24">
        <f t="shared" si="73"/>
        <v>8.4520913279072934E-3</v>
      </c>
      <c r="AZ162" s="24">
        <f t="shared" si="73"/>
        <v>1.2496620931822763E-3</v>
      </c>
      <c r="BA162" s="24">
        <f t="shared" si="73"/>
        <v>1.7315843127576997E-7</v>
      </c>
      <c r="BB162" s="24">
        <f t="shared" si="73"/>
        <v>2.9207144002388255E-7</v>
      </c>
      <c r="BC162" s="24">
        <f t="shared" si="73"/>
        <v>2.4880773624852306E-4</v>
      </c>
      <c r="BD162" s="24">
        <f t="shared" si="73"/>
        <v>1.1188329379139406E-5</v>
      </c>
      <c r="BE162" s="24">
        <f t="shared" si="73"/>
        <v>1.1749738780106515E-3</v>
      </c>
      <c r="BF162" s="24">
        <f t="shared" si="73"/>
        <v>2.479302064796649E-4</v>
      </c>
      <c r="BG162" s="24">
        <f t="shared" si="73"/>
        <v>2.9663153653900962E-4</v>
      </c>
      <c r="BH162" s="24">
        <f t="shared" si="73"/>
        <v>6.7443328718594064E-5</v>
      </c>
      <c r="BI162" s="24">
        <f t="shared" si="73"/>
        <v>1.7393662182091209E-4</v>
      </c>
      <c r="BJ162" s="24">
        <f t="shared" si="73"/>
        <v>5.3888057134098043E-4</v>
      </c>
      <c r="BK162" s="24">
        <f t="shared" si="73"/>
        <v>1.2802209130745134E-3</v>
      </c>
      <c r="BL162" s="24">
        <f t="shared" si="73"/>
        <v>3.936053955042213E-3</v>
      </c>
      <c r="BM162" s="24">
        <f t="shared" si="73"/>
        <v>4.8401285737649504E-3</v>
      </c>
      <c r="BN162" s="24">
        <f t="shared" si="73"/>
        <v>2.1188317994266961E-3</v>
      </c>
      <c r="BO162" s="24">
        <f t="shared" si="73"/>
        <v>9.010012696795761E-4</v>
      </c>
      <c r="BP162" s="24">
        <f t="shared" ref="BP162:CV162" si="74">+BP112/$CW112</f>
        <v>4.0274691103794815E-4</v>
      </c>
      <c r="BQ162" s="24">
        <f t="shared" si="74"/>
        <v>7.1917373668670648E-6</v>
      </c>
      <c r="BR162" s="24">
        <f t="shared" si="74"/>
        <v>2.0211007315954716E-6</v>
      </c>
      <c r="BS162" s="24">
        <f t="shared" si="74"/>
        <v>1.1189009641916472E-3</v>
      </c>
      <c r="BT162" s="24">
        <f t="shared" si="74"/>
        <v>1.9238778807056313E-3</v>
      </c>
      <c r="BU162" s="24">
        <f t="shared" si="74"/>
        <v>3.1339637084325453E-3</v>
      </c>
      <c r="BV162" s="24">
        <f t="shared" si="74"/>
        <v>0.10336381461666609</v>
      </c>
      <c r="BW162" s="24">
        <f t="shared" si="74"/>
        <v>1.2189916986118383E-2</v>
      </c>
      <c r="BX162" s="24">
        <f t="shared" si="74"/>
        <v>5.3427948539521309E-3</v>
      </c>
      <c r="BY162" s="24">
        <f t="shared" si="74"/>
        <v>8.3391186737345E-3</v>
      </c>
      <c r="BZ162" s="24">
        <f t="shared" si="74"/>
        <v>2.679719382222979E-6</v>
      </c>
      <c r="CA162" s="24">
        <f t="shared" si="74"/>
        <v>1.5947951976170924E-2</v>
      </c>
      <c r="CB162" s="24">
        <f t="shared" si="74"/>
        <v>3.0671993704001692E-4</v>
      </c>
      <c r="CC162" s="24">
        <f t="shared" si="74"/>
        <v>8.8267411045409472E-6</v>
      </c>
      <c r="CD162" s="24">
        <f t="shared" si="74"/>
        <v>4.2951036541829097E-6</v>
      </c>
      <c r="CE162" s="24">
        <f t="shared" si="74"/>
        <v>3.2686871487936183E-5</v>
      </c>
      <c r="CF162" s="24">
        <f t="shared" si="74"/>
        <v>1.5537991685962409E-3</v>
      </c>
      <c r="CG162" s="24">
        <f t="shared" si="74"/>
        <v>9.3195033808803746E-4</v>
      </c>
      <c r="CH162" s="24">
        <f t="shared" si="74"/>
        <v>1.3237119146315835E-2</v>
      </c>
      <c r="CI162" s="24">
        <f t="shared" si="74"/>
        <v>2.101032597933105E-2</v>
      </c>
      <c r="CJ162" s="24">
        <f t="shared" si="74"/>
        <v>3.1474251464768568E-5</v>
      </c>
      <c r="CK162" s="24">
        <f t="shared" si="74"/>
        <v>8.9901750880184358E-3</v>
      </c>
      <c r="CL162" s="24">
        <f t="shared" si="74"/>
        <v>5.6924525840074992E-4</v>
      </c>
      <c r="CM162" s="24">
        <f t="shared" si="74"/>
        <v>5.4113477207512668E-4</v>
      </c>
      <c r="CN162" s="24">
        <f t="shared" si="74"/>
        <v>2.1719415111658819E-3</v>
      </c>
      <c r="CO162" s="24">
        <f t="shared" si="74"/>
        <v>1.5160457295829388E-4</v>
      </c>
      <c r="CP162" s="24">
        <f t="shared" si="74"/>
        <v>3.474536921295902E-6</v>
      </c>
      <c r="CQ162" s="24">
        <f t="shared" si="74"/>
        <v>1.0290664494837095E-4</v>
      </c>
      <c r="CR162" s="24">
        <f t="shared" si="74"/>
        <v>3.8146578450831445E-3</v>
      </c>
      <c r="CS162" s="24">
        <f t="shared" si="74"/>
        <v>3.9329549048086843E-4</v>
      </c>
      <c r="CT162" s="24">
        <f t="shared" si="74"/>
        <v>2.9824620718580971E-3</v>
      </c>
      <c r="CU162" s="24">
        <f t="shared" si="74"/>
        <v>2.331858202926646E-5</v>
      </c>
      <c r="CV162" s="24">
        <f t="shared" si="74"/>
        <v>1.857137186684461E-4</v>
      </c>
    </row>
    <row r="163" spans="2:100">
      <c r="B163" s="140">
        <v>2025</v>
      </c>
      <c r="C163" t="s">
        <v>1</v>
      </c>
      <c r="D163" s="24">
        <f t="shared" ref="D163:BO163" si="75">+D113/$CW113</f>
        <v>5.7491926915383866E-3</v>
      </c>
      <c r="E163" s="24">
        <f t="shared" si="75"/>
        <v>3.9554710650003162E-3</v>
      </c>
      <c r="F163" s="24">
        <f t="shared" si="75"/>
        <v>2.7956091095674108E-3</v>
      </c>
      <c r="G163" s="24">
        <f t="shared" si="75"/>
        <v>1.4715169515934405E-3</v>
      </c>
      <c r="H163" s="24">
        <f t="shared" si="75"/>
        <v>8.7830151541323754E-4</v>
      </c>
      <c r="I163" s="24">
        <f t="shared" si="75"/>
        <v>5.7769556618609483E-2</v>
      </c>
      <c r="J163" s="24">
        <f t="shared" si="75"/>
        <v>8.4881296750635238E-4</v>
      </c>
      <c r="K163" s="24">
        <f t="shared" si="75"/>
        <v>4.3782155699174714E-2</v>
      </c>
      <c r="L163" s="24">
        <f t="shared" si="75"/>
        <v>0.11941586650072662</v>
      </c>
      <c r="M163" s="24">
        <f t="shared" si="75"/>
        <v>2.307395913804221E-4</v>
      </c>
      <c r="N163" s="24">
        <f t="shared" si="75"/>
        <v>1.5325124542000337E-3</v>
      </c>
      <c r="O163" s="24">
        <f t="shared" si="75"/>
        <v>1.1776090569086211E-3</v>
      </c>
      <c r="P163" s="24">
        <f t="shared" si="75"/>
        <v>4.570320371999284E-5</v>
      </c>
      <c r="Q163" s="24">
        <f t="shared" si="75"/>
        <v>4.7689409675155186E-5</v>
      </c>
      <c r="R163" s="24">
        <f t="shared" si="75"/>
        <v>2.8263551520247319E-2</v>
      </c>
      <c r="S163" s="24">
        <f t="shared" si="75"/>
        <v>4.8007554097615596E-4</v>
      </c>
      <c r="T163" s="24">
        <f t="shared" si="75"/>
        <v>1.5093649608033321E-2</v>
      </c>
      <c r="U163" s="24">
        <f t="shared" si="75"/>
        <v>1.0818259415222752E-2</v>
      </c>
      <c r="V163" s="24">
        <f t="shared" si="75"/>
        <v>4.2899225595722044E-3</v>
      </c>
      <c r="W163" s="24">
        <f t="shared" si="75"/>
        <v>4.1576394326726567E-3</v>
      </c>
      <c r="X163" s="24">
        <f t="shared" si="75"/>
        <v>1.1853521270594998E-2</v>
      </c>
      <c r="Y163" s="24">
        <f t="shared" si="75"/>
        <v>1.9440727866488908E-3</v>
      </c>
      <c r="Z163" s="24">
        <f t="shared" si="75"/>
        <v>2.2022119536167068E-3</v>
      </c>
      <c r="AA163" s="24">
        <f t="shared" si="75"/>
        <v>1.92495503247668E-4</v>
      </c>
      <c r="AB163" s="24">
        <f t="shared" si="75"/>
        <v>6.8218106094678041E-4</v>
      </c>
      <c r="AC163" s="24">
        <f t="shared" si="75"/>
        <v>9.6586571213793035E-3</v>
      </c>
      <c r="AD163" s="24">
        <f t="shared" si="75"/>
        <v>0.35974243297794506</v>
      </c>
      <c r="AE163" s="24">
        <f t="shared" si="75"/>
        <v>3.7304013898617132E-3</v>
      </c>
      <c r="AF163" s="24">
        <f t="shared" si="75"/>
        <v>3.8867216951756892E-3</v>
      </c>
      <c r="AG163" s="24">
        <f t="shared" si="75"/>
        <v>8.2547962553455485E-3</v>
      </c>
      <c r="AH163" s="24">
        <f t="shared" si="75"/>
        <v>1.9071943485723299E-3</v>
      </c>
      <c r="AI163" s="24">
        <f t="shared" si="75"/>
        <v>3.3697959128967778E-3</v>
      </c>
      <c r="AJ163" s="24">
        <f t="shared" si="75"/>
        <v>1.5714288377463307E-2</v>
      </c>
      <c r="AK163" s="24">
        <f t="shared" si="75"/>
        <v>6.1497661541236618E-3</v>
      </c>
      <c r="AL163" s="24">
        <f t="shared" si="75"/>
        <v>1.4132963847756316E-3</v>
      </c>
      <c r="AM163" s="24">
        <f t="shared" si="75"/>
        <v>2.7000271051188959E-5</v>
      </c>
      <c r="AN163" s="24">
        <f t="shared" si="75"/>
        <v>7.0431133566343575E-6</v>
      </c>
      <c r="AO163" s="24">
        <f t="shared" si="75"/>
        <v>1.024855898735938E-2</v>
      </c>
      <c r="AP163" s="24">
        <f t="shared" si="75"/>
        <v>3.5319054762100836E-2</v>
      </c>
      <c r="AQ163" s="24">
        <f t="shared" si="75"/>
        <v>1.6415064958244039E-3</v>
      </c>
      <c r="AR163" s="24">
        <f t="shared" si="75"/>
        <v>8.4466942496434381E-4</v>
      </c>
      <c r="AS163" s="24">
        <f t="shared" si="75"/>
        <v>1.0559328992705969E-3</v>
      </c>
      <c r="AT163" s="24">
        <f t="shared" si="75"/>
        <v>1.1825301806824106E-4</v>
      </c>
      <c r="AU163" s="24">
        <f t="shared" si="75"/>
        <v>1.0576611269044111E-3</v>
      </c>
      <c r="AV163" s="24">
        <f t="shared" si="75"/>
        <v>7.4816925224344937E-6</v>
      </c>
      <c r="AW163" s="24">
        <f t="shared" si="75"/>
        <v>2.888139879118084E-5</v>
      </c>
      <c r="AX163" s="24">
        <f t="shared" si="75"/>
        <v>1.0390694029620311E-4</v>
      </c>
      <c r="AY163" s="24">
        <f t="shared" si="75"/>
        <v>9.5629307234273708E-3</v>
      </c>
      <c r="AZ163" s="24">
        <f t="shared" si="75"/>
        <v>1.0502861096689207E-3</v>
      </c>
      <c r="BA163" s="24">
        <f t="shared" si="75"/>
        <v>1.014922035540122E-6</v>
      </c>
      <c r="BB163" s="24">
        <f t="shared" si="75"/>
        <v>3.3483374117805501E-7</v>
      </c>
      <c r="BC163" s="24">
        <f t="shared" si="75"/>
        <v>3.5105966350308958E-4</v>
      </c>
      <c r="BD163" s="24">
        <f t="shared" si="75"/>
        <v>1.3924951738355145E-5</v>
      </c>
      <c r="BE163" s="24">
        <f t="shared" si="75"/>
        <v>1.2543999815482127E-3</v>
      </c>
      <c r="BF163" s="24">
        <f t="shared" si="75"/>
        <v>3.0732862305370731E-4</v>
      </c>
      <c r="BG163" s="24">
        <f t="shared" si="75"/>
        <v>2.7994968010486418E-4</v>
      </c>
      <c r="BH163" s="24">
        <f t="shared" si="75"/>
        <v>4.8660990402922738E-5</v>
      </c>
      <c r="BI163" s="24">
        <f t="shared" si="75"/>
        <v>2.0537320607100711E-4</v>
      </c>
      <c r="BJ163" s="24">
        <f t="shared" si="75"/>
        <v>6.2895247698488204E-4</v>
      </c>
      <c r="BK163" s="24">
        <f t="shared" si="75"/>
        <v>1.2235834090998845E-3</v>
      </c>
      <c r="BL163" s="24">
        <f t="shared" si="75"/>
        <v>4.2900567323041769E-3</v>
      </c>
      <c r="BM163" s="24">
        <f t="shared" si="75"/>
        <v>4.4439997743273511E-3</v>
      </c>
      <c r="BN163" s="24">
        <f t="shared" si="75"/>
        <v>1.8957966913565982E-3</v>
      </c>
      <c r="BO163" s="24">
        <f t="shared" si="75"/>
        <v>7.508554114962117E-4</v>
      </c>
      <c r="BP163" s="24">
        <f t="shared" ref="BP163:CV163" si="76">+BP113/$CW113</f>
        <v>4.4268092263432309E-4</v>
      </c>
      <c r="BQ163" s="24">
        <f t="shared" si="76"/>
        <v>2.1338342607755823E-6</v>
      </c>
      <c r="BR163" s="24">
        <f t="shared" si="76"/>
        <v>4.7089409163301333E-6</v>
      </c>
      <c r="BS163" s="24">
        <f t="shared" si="76"/>
        <v>1.4155934342421008E-3</v>
      </c>
      <c r="BT163" s="24">
        <f t="shared" si="76"/>
        <v>2.2817075786666528E-3</v>
      </c>
      <c r="BU163" s="24">
        <f t="shared" si="76"/>
        <v>2.7901001723055312E-3</v>
      </c>
      <c r="BV163" s="24">
        <f t="shared" si="76"/>
        <v>8.7011224758442668E-2</v>
      </c>
      <c r="BW163" s="24">
        <f t="shared" si="76"/>
        <v>1.148380248411853E-2</v>
      </c>
      <c r="BX163" s="24">
        <f t="shared" si="76"/>
        <v>4.9516609383681194E-3</v>
      </c>
      <c r="BY163" s="24">
        <f t="shared" si="76"/>
        <v>7.6758068327569817E-3</v>
      </c>
      <c r="BZ163" s="24">
        <f t="shared" si="76"/>
        <v>2.359111317798246E-5</v>
      </c>
      <c r="CA163" s="24">
        <f t="shared" si="76"/>
        <v>1.5475691225483304E-2</v>
      </c>
      <c r="CB163" s="24">
        <f t="shared" si="76"/>
        <v>3.4549094257536032E-4</v>
      </c>
      <c r="CC163" s="24">
        <f t="shared" si="76"/>
        <v>1.9648056812988601E-5</v>
      </c>
      <c r="CD163" s="24">
        <f t="shared" si="76"/>
        <v>8.0245960107160199E-5</v>
      </c>
      <c r="CE163" s="24">
        <f t="shared" si="76"/>
        <v>3.8201396550209189E-5</v>
      </c>
      <c r="CF163" s="24">
        <f t="shared" si="76"/>
        <v>1.4013861244426592E-3</v>
      </c>
      <c r="CG163" s="24">
        <f t="shared" si="76"/>
        <v>9.3298773718753164E-4</v>
      </c>
      <c r="CH163" s="24">
        <f t="shared" si="76"/>
        <v>1.346267056778808E-2</v>
      </c>
      <c r="CI163" s="24">
        <f t="shared" si="76"/>
        <v>2.2834148135889114E-2</v>
      </c>
      <c r="CJ163" s="24">
        <f t="shared" si="76"/>
        <v>3.6162796232255737E-5</v>
      </c>
      <c r="CK163" s="24">
        <f t="shared" si="76"/>
        <v>7.1184777188677767E-3</v>
      </c>
      <c r="CL163" s="24">
        <f t="shared" si="76"/>
        <v>7.6524199992080615E-4</v>
      </c>
      <c r="CM163" s="24">
        <f t="shared" si="76"/>
        <v>3.76614807408501E-4</v>
      </c>
      <c r="CN163" s="24">
        <f t="shared" si="76"/>
        <v>1.9707245634656618E-3</v>
      </c>
      <c r="CO163" s="24">
        <f t="shared" si="76"/>
        <v>1.2781892015590094E-4</v>
      </c>
      <c r="CP163" s="24">
        <f t="shared" si="76"/>
        <v>2.0635785530207134E-6</v>
      </c>
      <c r="CQ163" s="24">
        <f t="shared" si="76"/>
        <v>6.2042711676132712E-5</v>
      </c>
      <c r="CR163" s="24">
        <f t="shared" si="76"/>
        <v>3.0656449999772561E-3</v>
      </c>
      <c r="CS163" s="24">
        <f t="shared" si="76"/>
        <v>3.1039465444747296E-4</v>
      </c>
      <c r="CT163" s="24">
        <f t="shared" si="76"/>
        <v>3.1381435047354955E-3</v>
      </c>
      <c r="CU163" s="24">
        <f t="shared" si="76"/>
        <v>3.4656920184276414E-5</v>
      </c>
      <c r="CV163" s="24">
        <f t="shared" si="76"/>
        <v>1.46483014055838E-4</v>
      </c>
    </row>
    <row r="164" spans="2:100">
      <c r="B164" s="140"/>
      <c r="C164" t="s">
        <v>2</v>
      </c>
      <c r="D164" s="24">
        <f t="shared" ref="D164:BO164" si="77">+D114/$CW114</f>
        <v>3.2343523252187892E-3</v>
      </c>
      <c r="E164" s="24">
        <f t="shared" si="77"/>
        <v>2.6017178745241913E-3</v>
      </c>
      <c r="F164" s="24">
        <f t="shared" si="77"/>
        <v>4.2535108515219886E-3</v>
      </c>
      <c r="G164" s="24">
        <f t="shared" si="77"/>
        <v>1.1024390543487911E-3</v>
      </c>
      <c r="H164" s="24">
        <f t="shared" si="77"/>
        <v>1.2377665552290983E-3</v>
      </c>
      <c r="I164" s="24">
        <f t="shared" si="77"/>
        <v>5.7216578531698627E-2</v>
      </c>
      <c r="J164" s="24">
        <f t="shared" si="77"/>
        <v>6.9561971898511664E-4</v>
      </c>
      <c r="K164" s="24">
        <f t="shared" si="77"/>
        <v>5.1196873756025774E-2</v>
      </c>
      <c r="L164" s="24">
        <f t="shared" si="77"/>
        <v>0.10709451587929568</v>
      </c>
      <c r="M164" s="24">
        <f t="shared" si="77"/>
        <v>3.9237003204797561E-4</v>
      </c>
      <c r="N164" s="24">
        <f t="shared" si="77"/>
        <v>1.6451987270360224E-3</v>
      </c>
      <c r="O164" s="24">
        <f t="shared" si="77"/>
        <v>1.0203581828479248E-3</v>
      </c>
      <c r="P164" s="24">
        <f t="shared" si="77"/>
        <v>8.4876866650467704E-5</v>
      </c>
      <c r="Q164" s="24">
        <f t="shared" si="77"/>
        <v>4.4173064669882397E-5</v>
      </c>
      <c r="R164" s="24">
        <f t="shared" si="77"/>
        <v>3.4458678536811005E-2</v>
      </c>
      <c r="S164" s="24">
        <f t="shared" si="77"/>
        <v>3.6580321906224533E-4</v>
      </c>
      <c r="T164" s="24">
        <f t="shared" si="77"/>
        <v>1.3643552312443496E-2</v>
      </c>
      <c r="U164" s="24">
        <f t="shared" si="77"/>
        <v>8.69562288788653E-3</v>
      </c>
      <c r="V164" s="24">
        <f t="shared" si="77"/>
        <v>4.2434221798218902E-3</v>
      </c>
      <c r="W164" s="24">
        <f t="shared" si="77"/>
        <v>4.4163117508584622E-3</v>
      </c>
      <c r="X164" s="24">
        <f t="shared" si="77"/>
        <v>1.3905359332489434E-2</v>
      </c>
      <c r="Y164" s="24">
        <f t="shared" si="77"/>
        <v>1.8013366892473618E-3</v>
      </c>
      <c r="Z164" s="24">
        <f t="shared" si="77"/>
        <v>2.4154998348411057E-3</v>
      </c>
      <c r="AA164" s="24">
        <f t="shared" si="77"/>
        <v>5.5127777201349542E-4</v>
      </c>
      <c r="AB164" s="24">
        <f t="shared" si="77"/>
        <v>7.8367468484758299E-4</v>
      </c>
      <c r="AC164" s="24">
        <f t="shared" si="77"/>
        <v>8.3285763699667576E-3</v>
      </c>
      <c r="AD164" s="24">
        <f t="shared" si="77"/>
        <v>0.35637817011959605</v>
      </c>
      <c r="AE164" s="24">
        <f t="shared" si="77"/>
        <v>3.6332388227898124E-3</v>
      </c>
      <c r="AF164" s="24">
        <f t="shared" si="77"/>
        <v>3.5991058431959697E-3</v>
      </c>
      <c r="AG164" s="24">
        <f t="shared" si="77"/>
        <v>8.7386047410690278E-3</v>
      </c>
      <c r="AH164" s="24">
        <f t="shared" si="77"/>
        <v>2.1250791526497021E-3</v>
      </c>
      <c r="AI164" s="24">
        <f t="shared" si="77"/>
        <v>3.3727145443056545E-3</v>
      </c>
      <c r="AJ164" s="24">
        <f t="shared" si="77"/>
        <v>1.6252441666772036E-2</v>
      </c>
      <c r="AK164" s="24">
        <f t="shared" si="77"/>
        <v>5.9221254024053533E-3</v>
      </c>
      <c r="AL164" s="24">
        <f t="shared" si="77"/>
        <v>1.6628034402576769E-3</v>
      </c>
      <c r="AM164" s="24">
        <f t="shared" si="77"/>
        <v>2.6713416479007992E-5</v>
      </c>
      <c r="AN164" s="24">
        <f t="shared" si="77"/>
        <v>1.1056756263947235E-5</v>
      </c>
      <c r="AO164" s="24">
        <f t="shared" si="77"/>
        <v>1.2926214651566091E-2</v>
      </c>
      <c r="AP164" s="24">
        <f t="shared" si="77"/>
        <v>3.4402657533591056E-2</v>
      </c>
      <c r="AQ164" s="24">
        <f t="shared" si="77"/>
        <v>2.1046413370133508E-3</v>
      </c>
      <c r="AR164" s="24">
        <f t="shared" si="77"/>
        <v>8.2241518108778513E-4</v>
      </c>
      <c r="AS164" s="24">
        <f t="shared" si="77"/>
        <v>1.2034889030611935E-3</v>
      </c>
      <c r="AT164" s="24">
        <f t="shared" si="77"/>
        <v>1.0111823188264914E-4</v>
      </c>
      <c r="AU164" s="24">
        <f t="shared" si="77"/>
        <v>9.8338536232539108E-4</v>
      </c>
      <c r="AV164" s="24">
        <f t="shared" si="77"/>
        <v>6.1062083207275858E-6</v>
      </c>
      <c r="AW164" s="24">
        <f t="shared" si="77"/>
        <v>1.789823787296962E-5</v>
      </c>
      <c r="AX164" s="24">
        <f t="shared" si="77"/>
        <v>8.1956470763808496E-5</v>
      </c>
      <c r="AY164" s="24">
        <f t="shared" si="77"/>
        <v>8.5001006427934886E-3</v>
      </c>
      <c r="AZ164" s="24">
        <f t="shared" si="77"/>
        <v>1.2124303570284834E-3</v>
      </c>
      <c r="BA164" s="24">
        <f t="shared" si="77"/>
        <v>8.6114252118161655E-7</v>
      </c>
      <c r="BB164" s="24">
        <f t="shared" si="77"/>
        <v>3.3208191530524866E-7</v>
      </c>
      <c r="BC164" s="24">
        <f t="shared" si="77"/>
        <v>2.7892462210281122E-4</v>
      </c>
      <c r="BD164" s="24">
        <f t="shared" si="77"/>
        <v>7.712922097945234E-6</v>
      </c>
      <c r="BE164" s="24">
        <f t="shared" si="77"/>
        <v>1.1390335401626817E-3</v>
      </c>
      <c r="BF164" s="24">
        <f t="shared" si="77"/>
        <v>1.5369071471585543E-4</v>
      </c>
      <c r="BG164" s="24">
        <f t="shared" si="77"/>
        <v>2.7749776126660989E-4</v>
      </c>
      <c r="BH164" s="24">
        <f t="shared" si="77"/>
        <v>3.5135880215435568E-5</v>
      </c>
      <c r="BI164" s="24">
        <f t="shared" si="77"/>
        <v>1.9461313840988203E-4</v>
      </c>
      <c r="BJ164" s="24">
        <f t="shared" si="77"/>
        <v>5.0175003192162867E-4</v>
      </c>
      <c r="BK164" s="24">
        <f t="shared" si="77"/>
        <v>1.2463021293340458E-3</v>
      </c>
      <c r="BL164" s="24">
        <f t="shared" si="77"/>
        <v>4.0594286877486934E-3</v>
      </c>
      <c r="BM164" s="24">
        <f t="shared" si="77"/>
        <v>4.4691952307090261E-3</v>
      </c>
      <c r="BN164" s="24">
        <f t="shared" si="77"/>
        <v>2.3409518837174698E-3</v>
      </c>
      <c r="BO164" s="24">
        <f t="shared" si="77"/>
        <v>7.7935812177851442E-4</v>
      </c>
      <c r="BP164" s="24">
        <f t="shared" ref="BP164:CV166" si="78">+BP114/$CW114</f>
        <v>4.0064431281368383E-4</v>
      </c>
      <c r="BQ164" s="24">
        <f t="shared" si="78"/>
        <v>5.2522072250471125E-6</v>
      </c>
      <c r="BR164" s="24">
        <f t="shared" si="78"/>
        <v>6.2372454365277323E-6</v>
      </c>
      <c r="BS164" s="24">
        <f t="shared" si="78"/>
        <v>1.4342909835843194E-3</v>
      </c>
      <c r="BT164" s="24">
        <f t="shared" si="78"/>
        <v>2.2008330685772555E-3</v>
      </c>
      <c r="BU164" s="24">
        <f t="shared" si="78"/>
        <v>2.9809458492365986E-3</v>
      </c>
      <c r="BV164" s="24">
        <f t="shared" si="78"/>
        <v>8.5156069310461588E-2</v>
      </c>
      <c r="BW164" s="24">
        <f t="shared" si="78"/>
        <v>1.1607979645320026E-2</v>
      </c>
      <c r="BX164" s="24">
        <f t="shared" si="78"/>
        <v>5.7159795397640177E-3</v>
      </c>
      <c r="BY164" s="24">
        <f t="shared" si="78"/>
        <v>7.558829157718102E-3</v>
      </c>
      <c r="BZ164" s="24">
        <f t="shared" si="78"/>
        <v>2.7320765766155225E-5</v>
      </c>
      <c r="CA164" s="24">
        <f t="shared" si="78"/>
        <v>1.9232141907446834E-2</v>
      </c>
      <c r="CB164" s="24">
        <f t="shared" si="78"/>
        <v>1.2853762974217851E-4</v>
      </c>
      <c r="CC164" s="24">
        <f t="shared" si="78"/>
        <v>3.4395786464927496E-5</v>
      </c>
      <c r="CD164" s="24">
        <f t="shared" si="78"/>
        <v>4.1423926278771424E-5</v>
      </c>
      <c r="CE164" s="24">
        <f t="shared" si="78"/>
        <v>3.7875843322363818E-5</v>
      </c>
      <c r="CF164" s="24">
        <f t="shared" si="78"/>
        <v>1.4112799804487149E-3</v>
      </c>
      <c r="CG164" s="24">
        <f t="shared" si="78"/>
        <v>1.0741892735674683E-3</v>
      </c>
      <c r="CH164" s="24">
        <f t="shared" si="78"/>
        <v>1.3148074670939905E-2</v>
      </c>
      <c r="CI164" s="24">
        <f t="shared" si="78"/>
        <v>2.353992615564604E-2</v>
      </c>
      <c r="CJ164" s="24">
        <f t="shared" si="78"/>
        <v>5.6806989475680052E-5</v>
      </c>
      <c r="CK164" s="24">
        <f t="shared" si="78"/>
        <v>8.4306888274082864E-3</v>
      </c>
      <c r="CL164" s="24">
        <f t="shared" si="78"/>
        <v>4.9775708238830195E-4</v>
      </c>
      <c r="CM164" s="24">
        <f t="shared" si="78"/>
        <v>2.6352390317893734E-4</v>
      </c>
      <c r="CN164" s="24">
        <f t="shared" si="78"/>
        <v>1.8993986017197427E-3</v>
      </c>
      <c r="CO164" s="24">
        <f t="shared" si="78"/>
        <v>1.1044036886516661E-4</v>
      </c>
      <c r="CP164" s="24">
        <f t="shared" si="78"/>
        <v>7.7081120905215465E-6</v>
      </c>
      <c r="CQ164" s="24">
        <f t="shared" si="78"/>
        <v>1.9616697266559326E-4</v>
      </c>
      <c r="CR164" s="24">
        <f t="shared" si="78"/>
        <v>3.4683769040326374E-3</v>
      </c>
      <c r="CS164" s="24">
        <f t="shared" si="78"/>
        <v>3.8173591226143151E-4</v>
      </c>
      <c r="CT164" s="24">
        <f t="shared" si="78"/>
        <v>3.646832473957291E-3</v>
      </c>
      <c r="CU164" s="24">
        <f t="shared" si="78"/>
        <v>1.4666802426002904E-4</v>
      </c>
      <c r="CV164" s="24">
        <f t="shared" si="78"/>
        <v>1.5294666583802591E-4</v>
      </c>
    </row>
    <row r="165" spans="2:100">
      <c r="B165" s="140"/>
      <c r="C165" t="s">
        <v>3</v>
      </c>
      <c r="D165" s="24">
        <f t="shared" ref="D165:BO165" si="79">+D115/$CW115</f>
        <v>4.5600084623488918E-3</v>
      </c>
      <c r="E165" s="24">
        <f t="shared" si="79"/>
        <v>3.5975561753414089E-3</v>
      </c>
      <c r="F165" s="24">
        <f t="shared" si="79"/>
        <v>3.126130884672269E-3</v>
      </c>
      <c r="G165" s="24">
        <f t="shared" si="79"/>
        <v>1.2394705287914138E-3</v>
      </c>
      <c r="H165" s="24">
        <f t="shared" si="79"/>
        <v>1.1778585526129545E-3</v>
      </c>
      <c r="I165" s="24">
        <f t="shared" si="79"/>
        <v>3.9755195741648305E-2</v>
      </c>
      <c r="J165" s="24">
        <f t="shared" si="79"/>
        <v>7.108946214439679E-4</v>
      </c>
      <c r="K165" s="24">
        <f t="shared" si="79"/>
        <v>4.5480036282890351E-2</v>
      </c>
      <c r="L165" s="24">
        <f t="shared" si="79"/>
        <v>0.12759720535750474</v>
      </c>
      <c r="M165" s="24">
        <f t="shared" si="79"/>
        <v>1.7370144768099674E-3</v>
      </c>
      <c r="N165" s="24">
        <f t="shared" si="79"/>
        <v>1.8291570102803901E-3</v>
      </c>
      <c r="O165" s="24">
        <f t="shared" si="79"/>
        <v>1.0388554589064402E-3</v>
      </c>
      <c r="P165" s="24">
        <f t="shared" si="79"/>
        <v>5.0831119282881026E-5</v>
      </c>
      <c r="Q165" s="24">
        <f t="shared" si="79"/>
        <v>6.5078581915646342E-5</v>
      </c>
      <c r="R165" s="24">
        <f t="shared" si="79"/>
        <v>2.5480968741985851E-2</v>
      </c>
      <c r="S165" s="24">
        <f t="shared" si="79"/>
        <v>5.5534505307108198E-4</v>
      </c>
      <c r="T165" s="24">
        <f t="shared" si="79"/>
        <v>1.5879565748302342E-2</v>
      </c>
      <c r="U165" s="24">
        <f t="shared" si="79"/>
        <v>8.2257904821242487E-3</v>
      </c>
      <c r="V165" s="24">
        <f t="shared" si="79"/>
        <v>4.9409412296370064E-3</v>
      </c>
      <c r="W165" s="24">
        <f t="shared" si="79"/>
        <v>5.0208918541765095E-3</v>
      </c>
      <c r="X165" s="24">
        <f t="shared" si="79"/>
        <v>1.6551078475554024E-2</v>
      </c>
      <c r="Y165" s="24">
        <f t="shared" si="79"/>
        <v>1.8048789732025285E-3</v>
      </c>
      <c r="Z165" s="24">
        <f t="shared" si="79"/>
        <v>2.6637014140756588E-3</v>
      </c>
      <c r="AA165" s="24">
        <f t="shared" si="79"/>
        <v>1.0803923746485279E-4</v>
      </c>
      <c r="AB165" s="24">
        <f t="shared" si="79"/>
        <v>9.0212057626224882E-4</v>
      </c>
      <c r="AC165" s="24">
        <f t="shared" si="79"/>
        <v>4.713696561282632E-2</v>
      </c>
      <c r="AD165" s="24">
        <f t="shared" si="79"/>
        <v>0.36763355288481853</v>
      </c>
      <c r="AE165" s="24">
        <f t="shared" si="79"/>
        <v>3.5783743280155635E-3</v>
      </c>
      <c r="AF165" s="24">
        <f t="shared" si="79"/>
        <v>4.4541252167539366E-3</v>
      </c>
      <c r="AG165" s="24">
        <f t="shared" si="79"/>
        <v>1.0272082464405474E-2</v>
      </c>
      <c r="AH165" s="24">
        <f t="shared" si="79"/>
        <v>1.8884036388262619E-3</v>
      </c>
      <c r="AI165" s="24">
        <f t="shared" si="79"/>
        <v>3.5854271088571147E-3</v>
      </c>
      <c r="AJ165" s="24">
        <f t="shared" si="79"/>
        <v>1.7918689232378344E-2</v>
      </c>
      <c r="AK165" s="24">
        <f t="shared" si="79"/>
        <v>6.0406869205566118E-3</v>
      </c>
      <c r="AL165" s="24">
        <f t="shared" si="79"/>
        <v>1.9865744230954715E-3</v>
      </c>
      <c r="AM165" s="24">
        <f t="shared" si="79"/>
        <v>2.6952278585648418E-5</v>
      </c>
      <c r="AN165" s="24">
        <f t="shared" si="79"/>
        <v>2.3405755277541112E-5</v>
      </c>
      <c r="AO165" s="24">
        <f t="shared" si="79"/>
        <v>2.0708059774510758E-2</v>
      </c>
      <c r="AP165" s="24">
        <f t="shared" si="79"/>
        <v>3.8055333711419781E-2</v>
      </c>
      <c r="AQ165" s="24">
        <f t="shared" si="79"/>
        <v>2.319969604355045E-3</v>
      </c>
      <c r="AR165" s="24">
        <f t="shared" si="79"/>
        <v>7.3048074678371845E-4</v>
      </c>
      <c r="AS165" s="24">
        <f t="shared" si="79"/>
        <v>9.882840399427007E-4</v>
      </c>
      <c r="AT165" s="24">
        <f t="shared" si="79"/>
        <v>1.1372821584099222E-4</v>
      </c>
      <c r="AU165" s="24">
        <f t="shared" si="79"/>
        <v>9.5354282458728966E-4</v>
      </c>
      <c r="AV165" s="24">
        <f t="shared" si="79"/>
        <v>6.8948754656322458E-6</v>
      </c>
      <c r="AW165" s="24">
        <f t="shared" si="79"/>
        <v>3.2798791775806547E-5</v>
      </c>
      <c r="AX165" s="24">
        <f t="shared" si="79"/>
        <v>7.0190807043783382E-5</v>
      </c>
      <c r="AY165" s="24">
        <f t="shared" si="79"/>
        <v>9.108624774504602E-3</v>
      </c>
      <c r="AZ165" s="24">
        <f t="shared" si="79"/>
        <v>1.0179675621595436E-3</v>
      </c>
      <c r="BA165" s="24">
        <f t="shared" si="79"/>
        <v>1.4832011900874157E-7</v>
      </c>
      <c r="BB165" s="24">
        <f t="shared" si="79"/>
        <v>1.5853022860313736E-7</v>
      </c>
      <c r="BC165" s="24">
        <f t="shared" si="79"/>
        <v>3.6860743599763986E-4</v>
      </c>
      <c r="BD165" s="24">
        <f t="shared" si="79"/>
        <v>1.3013415386121874E-5</v>
      </c>
      <c r="BE165" s="24">
        <f t="shared" si="79"/>
        <v>1.0565638693064352E-3</v>
      </c>
      <c r="BF165" s="24">
        <f t="shared" si="79"/>
        <v>3.642972916836194E-4</v>
      </c>
      <c r="BG165" s="24">
        <f t="shared" si="79"/>
        <v>2.4681435948298297E-4</v>
      </c>
      <c r="BH165" s="24">
        <f t="shared" si="79"/>
        <v>4.3255482292418057E-5</v>
      </c>
      <c r="BI165" s="24">
        <f t="shared" si="79"/>
        <v>1.9052854895781931E-4</v>
      </c>
      <c r="BJ165" s="24">
        <f t="shared" si="79"/>
        <v>5.7545991587062116E-4</v>
      </c>
      <c r="BK165" s="24">
        <f t="shared" si="79"/>
        <v>1.1501631744550063E-3</v>
      </c>
      <c r="BL165" s="24">
        <f t="shared" si="79"/>
        <v>3.8554903262035512E-3</v>
      </c>
      <c r="BM165" s="24">
        <f t="shared" si="79"/>
        <v>4.1524030585452674E-3</v>
      </c>
      <c r="BN165" s="24">
        <f t="shared" si="79"/>
        <v>2.2563909365567107E-3</v>
      </c>
      <c r="BO165" s="24">
        <f t="shared" si="79"/>
        <v>7.2980290207456488E-4</v>
      </c>
      <c r="BP165" s="24">
        <f t="shared" si="78"/>
        <v>4.2361932497546719E-4</v>
      </c>
      <c r="BQ165" s="24">
        <f t="shared" si="78"/>
        <v>2.3517392277907164E-5</v>
      </c>
      <c r="BR165" s="24">
        <f t="shared" si="78"/>
        <v>1.9002765550246038E-6</v>
      </c>
      <c r="BS165" s="24">
        <f t="shared" si="78"/>
        <v>1.402542396662695E-3</v>
      </c>
      <c r="BT165" s="24">
        <f t="shared" si="78"/>
        <v>2.0477092209436826E-3</v>
      </c>
      <c r="BU165" s="24">
        <f t="shared" si="78"/>
        <v>2.7585879098989199E-3</v>
      </c>
      <c r="BV165" s="24">
        <f t="shared" si="78"/>
        <v>8.7305132037032857E-2</v>
      </c>
      <c r="BW165" s="24">
        <f t="shared" si="78"/>
        <v>1.1183293431817634E-2</v>
      </c>
      <c r="BX165" s="24">
        <f t="shared" si="78"/>
        <v>4.6859294562264777E-3</v>
      </c>
      <c r="BY165" s="24">
        <f t="shared" si="78"/>
        <v>8.7853681467510141E-3</v>
      </c>
      <c r="BZ165" s="24">
        <f t="shared" si="78"/>
        <v>6.6786881475548726E-7</v>
      </c>
      <c r="CA165" s="24">
        <f t="shared" si="78"/>
        <v>1.6323835403041609E-2</v>
      </c>
      <c r="CB165" s="24">
        <f t="shared" si="78"/>
        <v>3.2773375830128269E-4</v>
      </c>
      <c r="CC165" s="24">
        <f t="shared" si="78"/>
        <v>1.7206723958900547E-5</v>
      </c>
      <c r="CD165" s="24">
        <f t="shared" si="78"/>
        <v>5.5302846987885386E-5</v>
      </c>
      <c r="CE165" s="24">
        <f t="shared" si="78"/>
        <v>2.7070543876070669E-5</v>
      </c>
      <c r="CF165" s="24">
        <f t="shared" si="78"/>
        <v>1.1960787926450121E-3</v>
      </c>
      <c r="CG165" s="24">
        <f t="shared" si="78"/>
        <v>9.264181192835503E-4</v>
      </c>
      <c r="CH165" s="24">
        <f t="shared" si="78"/>
        <v>1.2192257002303752E-2</v>
      </c>
      <c r="CI165" s="24">
        <f t="shared" si="78"/>
        <v>2.0427529510990097E-2</v>
      </c>
      <c r="CJ165" s="24">
        <f t="shared" si="78"/>
        <v>3.6211477828866883E-5</v>
      </c>
      <c r="CK165" s="24">
        <f t="shared" si="78"/>
        <v>5.7879583663835929E-3</v>
      </c>
      <c r="CL165" s="24">
        <f t="shared" si="78"/>
        <v>7.6980331008436314E-4</v>
      </c>
      <c r="CM165" s="24">
        <f t="shared" si="78"/>
        <v>3.4557680814337275E-4</v>
      </c>
      <c r="CN165" s="24">
        <f t="shared" si="78"/>
        <v>1.9338566510536473E-3</v>
      </c>
      <c r="CO165" s="24">
        <f t="shared" si="78"/>
        <v>1.6445986727592235E-4</v>
      </c>
      <c r="CP165" s="24">
        <f t="shared" si="78"/>
        <v>1.4303329648953299E-6</v>
      </c>
      <c r="CQ165" s="24">
        <f t="shared" si="78"/>
        <v>1.9492141473325287E-6</v>
      </c>
      <c r="CR165" s="24">
        <f t="shared" si="78"/>
        <v>2.9253638484395723E-3</v>
      </c>
      <c r="CS165" s="24">
        <f t="shared" si="78"/>
        <v>2.9271931084376185E-4</v>
      </c>
      <c r="CT165" s="24">
        <f t="shared" si="78"/>
        <v>2.8875796682657521E-3</v>
      </c>
      <c r="CU165" s="24">
        <f t="shared" si="78"/>
        <v>4.1848467959766128E-5</v>
      </c>
      <c r="CV165" s="24">
        <f t="shared" si="78"/>
        <v>1.6257815394817276E-4</v>
      </c>
    </row>
    <row r="166" spans="2:100">
      <c r="B166" s="140"/>
      <c r="C166" t="s">
        <v>4</v>
      </c>
      <c r="D166" s="24">
        <f t="shared" ref="D166:BO166" si="80">+D116/$CW116</f>
        <v>2.5612550442461273E-3</v>
      </c>
      <c r="E166" s="24">
        <f t="shared" si="80"/>
        <v>2.3646128022285699E-3</v>
      </c>
      <c r="F166" s="24">
        <f t="shared" si="80"/>
        <v>3.4916961944942691E-3</v>
      </c>
      <c r="G166" s="24">
        <f t="shared" si="80"/>
        <v>1.7872976738626345E-3</v>
      </c>
      <c r="H166" s="24">
        <f t="shared" si="80"/>
        <v>8.536064631917158E-4</v>
      </c>
      <c r="I166" s="24">
        <f t="shared" si="80"/>
        <v>4.2653856577988092E-2</v>
      </c>
      <c r="J166" s="24">
        <f t="shared" si="80"/>
        <v>7.2937252460961556E-4</v>
      </c>
      <c r="K166" s="24">
        <f t="shared" si="80"/>
        <v>4.4746675966949007E-2</v>
      </c>
      <c r="L166" s="24">
        <f t="shared" si="80"/>
        <v>0.12946692684918604</v>
      </c>
      <c r="M166" s="24">
        <f t="shared" si="80"/>
        <v>8.2771392110145346E-4</v>
      </c>
      <c r="N166" s="24">
        <f t="shared" si="80"/>
        <v>1.5416372669600339E-3</v>
      </c>
      <c r="O166" s="24">
        <f t="shared" si="80"/>
        <v>1.1841288587886383E-3</v>
      </c>
      <c r="P166" s="24">
        <f t="shared" si="80"/>
        <v>7.2536085624779156E-5</v>
      </c>
      <c r="Q166" s="24">
        <f t="shared" si="80"/>
        <v>5.2389722719341156E-5</v>
      </c>
      <c r="R166" s="24">
        <f t="shared" si="80"/>
        <v>2.3545710120903642E-2</v>
      </c>
      <c r="S166" s="24">
        <f t="shared" si="80"/>
        <v>2.479490393697205E-4</v>
      </c>
      <c r="T166" s="24">
        <f t="shared" si="80"/>
        <v>1.4760678789070418E-2</v>
      </c>
      <c r="U166" s="24">
        <f t="shared" si="80"/>
        <v>6.9180096243958997E-3</v>
      </c>
      <c r="V166" s="24">
        <f t="shared" si="80"/>
        <v>4.0165221562043401E-3</v>
      </c>
      <c r="W166" s="24">
        <f t="shared" si="80"/>
        <v>3.9710461671880496E-3</v>
      </c>
      <c r="X166" s="24">
        <f t="shared" si="80"/>
        <v>1.4104269585144541E-2</v>
      </c>
      <c r="Y166" s="24">
        <f t="shared" si="80"/>
        <v>1.670601618010242E-3</v>
      </c>
      <c r="Z166" s="24">
        <f t="shared" si="80"/>
        <v>2.3981088277209321E-3</v>
      </c>
      <c r="AA166" s="24">
        <f t="shared" si="80"/>
        <v>1.1192082819176443E-4</v>
      </c>
      <c r="AB166" s="24">
        <f t="shared" si="80"/>
        <v>7.8919632005186298E-4</v>
      </c>
      <c r="AC166" s="24">
        <f t="shared" si="80"/>
        <v>1.430661150023509E-2</v>
      </c>
      <c r="AD166" s="24">
        <f t="shared" si="80"/>
        <v>0.3216038794406707</v>
      </c>
      <c r="AE166" s="24">
        <f t="shared" si="80"/>
        <v>2.8340902177418871E-3</v>
      </c>
      <c r="AF166" s="24">
        <f t="shared" si="80"/>
        <v>3.7581995352087309E-3</v>
      </c>
      <c r="AG166" s="24">
        <f t="shared" si="80"/>
        <v>9.5935234427275123E-3</v>
      </c>
      <c r="AH166" s="24">
        <f t="shared" si="80"/>
        <v>1.3642525108260965E-3</v>
      </c>
      <c r="AI166" s="24">
        <f t="shared" si="80"/>
        <v>3.6185680744887806E-3</v>
      </c>
      <c r="AJ166" s="24">
        <f t="shared" si="80"/>
        <v>1.6212633900093514E-2</v>
      </c>
      <c r="AK166" s="24">
        <f t="shared" si="80"/>
        <v>5.652350194266356E-3</v>
      </c>
      <c r="AL166" s="24">
        <f t="shared" si="80"/>
        <v>1.7972353364899252E-3</v>
      </c>
      <c r="AM166" s="24">
        <f t="shared" si="80"/>
        <v>5.844642776863394E-5</v>
      </c>
      <c r="AN166" s="24">
        <f t="shared" si="80"/>
        <v>1.4584243591804718E-5</v>
      </c>
      <c r="AO166" s="24">
        <f t="shared" si="80"/>
        <v>1.3935106305715622E-2</v>
      </c>
      <c r="AP166" s="24">
        <f t="shared" si="80"/>
        <v>3.3704881155164158E-2</v>
      </c>
      <c r="AQ166" s="24">
        <f t="shared" si="80"/>
        <v>2.2529571031879967E-3</v>
      </c>
      <c r="AR166" s="24">
        <f t="shared" si="80"/>
        <v>8.023284581139045E-4</v>
      </c>
      <c r="AS166" s="24">
        <f t="shared" si="80"/>
        <v>8.9082377372324954E-4</v>
      </c>
      <c r="AT166" s="24">
        <f t="shared" si="80"/>
        <v>1.5366337465338854E-4</v>
      </c>
      <c r="AU166" s="24">
        <f t="shared" si="80"/>
        <v>5.7948633717656666E-4</v>
      </c>
      <c r="AV166" s="24">
        <f t="shared" si="80"/>
        <v>2.6287855702349399E-6</v>
      </c>
      <c r="AW166" s="24">
        <f t="shared" si="80"/>
        <v>2.810163449038662E-5</v>
      </c>
      <c r="AX166" s="24">
        <f t="shared" si="80"/>
        <v>4.8432749183423571E-7</v>
      </c>
      <c r="AY166" s="24">
        <f t="shared" si="80"/>
        <v>7.7249461983640655E-3</v>
      </c>
      <c r="AZ166" s="24">
        <f t="shared" si="80"/>
        <v>1.4874532518400359E-3</v>
      </c>
      <c r="BA166" s="24">
        <f t="shared" si="80"/>
        <v>4.4917813830426299E-7</v>
      </c>
      <c r="BB166" s="24">
        <f t="shared" si="80"/>
        <v>2.0922020634739001E-6</v>
      </c>
      <c r="BC166" s="24">
        <f t="shared" si="80"/>
        <v>2.0711470316276363E-4</v>
      </c>
      <c r="BD166" s="24">
        <f t="shared" si="80"/>
        <v>1.0464511103420671E-5</v>
      </c>
      <c r="BE166" s="24">
        <f t="shared" si="80"/>
        <v>1.2667108616386401E-3</v>
      </c>
      <c r="BF166" s="24">
        <f t="shared" si="80"/>
        <v>1.2499159871044949E-4</v>
      </c>
      <c r="BG166" s="24">
        <f t="shared" si="80"/>
        <v>2.589063729881112E-4</v>
      </c>
      <c r="BH166" s="24">
        <f t="shared" si="80"/>
        <v>5.0421194105619413E-5</v>
      </c>
      <c r="BI166" s="24">
        <f t="shared" si="80"/>
        <v>1.7049190198029264E-4</v>
      </c>
      <c r="BJ166" s="24">
        <f t="shared" si="80"/>
        <v>4.4106567419547905E-4</v>
      </c>
      <c r="BK166" s="24">
        <f t="shared" si="80"/>
        <v>1.4094714925459309E-3</v>
      </c>
      <c r="BL166" s="24">
        <f t="shared" si="80"/>
        <v>4.3125787712558934E-3</v>
      </c>
      <c r="BM166" s="24">
        <f t="shared" si="80"/>
        <v>4.9109987269038815E-3</v>
      </c>
      <c r="BN166" s="24">
        <f t="shared" si="80"/>
        <v>1.660503199100897E-3</v>
      </c>
      <c r="BO166" s="24">
        <f t="shared" si="80"/>
        <v>9.212324899709589E-4</v>
      </c>
      <c r="BP166" s="24">
        <f t="shared" si="78"/>
        <v>4.5290587449214767E-4</v>
      </c>
      <c r="BQ166" s="24">
        <f t="shared" si="78"/>
        <v>1.0947121243181392E-5</v>
      </c>
      <c r="BR166" s="24">
        <f t="shared" si="78"/>
        <v>4.5153088732195205E-6</v>
      </c>
      <c r="BS166" s="24">
        <f t="shared" si="78"/>
        <v>1.4280509920868737E-3</v>
      </c>
      <c r="BT166" s="24">
        <f t="shared" si="78"/>
        <v>1.9973225960961622E-3</v>
      </c>
      <c r="BU166" s="24">
        <f t="shared" si="78"/>
        <v>3.0396662869521733E-3</v>
      </c>
      <c r="BV166" s="24">
        <f t="shared" si="78"/>
        <v>0.1214952249301387</v>
      </c>
      <c r="BW166" s="24">
        <f t="shared" si="78"/>
        <v>1.2016813475047737E-2</v>
      </c>
      <c r="BX166" s="24">
        <f t="shared" si="78"/>
        <v>5.4062210466495246E-3</v>
      </c>
      <c r="BY166" s="24">
        <f t="shared" si="78"/>
        <v>6.9816329062026812E-3</v>
      </c>
      <c r="BZ166" s="24">
        <f t="shared" si="78"/>
        <v>4.4119435587613097E-6</v>
      </c>
      <c r="CA166" s="24">
        <f t="shared" si="78"/>
        <v>1.8011070837276127E-2</v>
      </c>
      <c r="CB166" s="24">
        <f t="shared" si="78"/>
        <v>3.6216520617572413E-4</v>
      </c>
      <c r="CC166" s="24">
        <f t="shared" si="78"/>
        <v>2.5811851420700332E-5</v>
      </c>
      <c r="CD166" s="24">
        <f t="shared" si="78"/>
        <v>5.8594161250966947E-5</v>
      </c>
      <c r="CE166" s="24">
        <f t="shared" si="78"/>
        <v>2.7315862342581137E-5</v>
      </c>
      <c r="CF166" s="24">
        <f t="shared" si="78"/>
        <v>1.4162659919483205E-3</v>
      </c>
      <c r="CG166" s="24">
        <f t="shared" si="78"/>
        <v>1.0989082972434976E-3</v>
      </c>
      <c r="CH166" s="24">
        <f t="shared" si="78"/>
        <v>1.1839116715146978E-2</v>
      </c>
      <c r="CI166" s="24">
        <f t="shared" si="78"/>
        <v>2.0790602269206343E-2</v>
      </c>
      <c r="CJ166" s="24">
        <f t="shared" si="78"/>
        <v>3.6846458108057632E-5</v>
      </c>
      <c r="CK166" s="24">
        <f t="shared" si="78"/>
        <v>1.2566775608482999E-2</v>
      </c>
      <c r="CL166" s="24">
        <f t="shared" si="78"/>
        <v>4.0714285701486377E-3</v>
      </c>
      <c r="CM166" s="24">
        <f t="shared" si="78"/>
        <v>4.7743545958399145E-3</v>
      </c>
      <c r="CN166" s="24">
        <f t="shared" si="78"/>
        <v>1.9074385280672709E-3</v>
      </c>
      <c r="CO166" s="24">
        <f t="shared" si="78"/>
        <v>9.6464511817647892E-5</v>
      </c>
      <c r="CP166" s="24">
        <f t="shared" si="78"/>
        <v>1.6135296277658483E-6</v>
      </c>
      <c r="CQ166" s="24">
        <f t="shared" si="78"/>
        <v>3.9680530845192293E-4</v>
      </c>
      <c r="CR166" s="24">
        <f t="shared" si="78"/>
        <v>3.6612308985382036E-3</v>
      </c>
      <c r="CS166" s="24">
        <f t="shared" si="78"/>
        <v>3.1478985453119201E-4</v>
      </c>
      <c r="CT166" s="24">
        <f t="shared" si="78"/>
        <v>2.3017645025608002E-3</v>
      </c>
      <c r="CU166" s="24">
        <f t="shared" si="78"/>
        <v>1.8184624945929263E-4</v>
      </c>
      <c r="CV166" s="24">
        <f t="shared" si="78"/>
        <v>2.286302753476729E-4</v>
      </c>
    </row>
    <row r="168" spans="2:100">
      <c r="C168" t="s">
        <v>115</v>
      </c>
      <c r="D168" s="24">
        <f>+AVERAGE(D147:D166)</f>
        <v>4.5430944238358259E-3</v>
      </c>
      <c r="E168" s="24">
        <f t="shared" ref="E168:BP168" si="81">+AVERAGE(E147:E166)</f>
        <v>3.4766654343522919E-3</v>
      </c>
      <c r="F168" s="24">
        <f t="shared" si="81"/>
        <v>3.0975332968445246E-3</v>
      </c>
      <c r="G168" s="24">
        <f t="shared" si="81"/>
        <v>8.4018872519663805E-4</v>
      </c>
      <c r="H168" s="24">
        <f t="shared" si="81"/>
        <v>1.1122588792097103E-3</v>
      </c>
      <c r="I168" s="24">
        <f t="shared" si="81"/>
        <v>4.4147565353439708E-2</v>
      </c>
      <c r="J168" s="24">
        <f t="shared" si="81"/>
        <v>6.7165002716865316E-4</v>
      </c>
      <c r="K168" s="24">
        <f t="shared" si="81"/>
        <v>3.419580267727413E-2</v>
      </c>
      <c r="L168" s="24">
        <f t="shared" si="81"/>
        <v>8.0285819675060988E-2</v>
      </c>
      <c r="M168" s="24">
        <f t="shared" si="81"/>
        <v>3.2846569045130101E-4</v>
      </c>
      <c r="N168" s="24">
        <f t="shared" si="81"/>
        <v>1.6544493803889175E-3</v>
      </c>
      <c r="O168" s="24">
        <f t="shared" si="81"/>
        <v>9.9325077250546324E-4</v>
      </c>
      <c r="P168" s="24">
        <f t="shared" si="81"/>
        <v>8.6004657474635985E-5</v>
      </c>
      <c r="Q168" s="24">
        <f t="shared" si="81"/>
        <v>3.3665789249958984E-5</v>
      </c>
      <c r="R168" s="24">
        <f t="shared" si="81"/>
        <v>1.976897310740932E-2</v>
      </c>
      <c r="S168" s="24">
        <f t="shared" si="81"/>
        <v>5.6842647424881721E-4</v>
      </c>
      <c r="T168" s="24">
        <f t="shared" si="81"/>
        <v>1.3538315015784952E-2</v>
      </c>
      <c r="U168" s="24">
        <f t="shared" si="81"/>
        <v>4.3890768454896058E-3</v>
      </c>
      <c r="V168" s="24">
        <f t="shared" si="81"/>
        <v>3.9691433479998534E-3</v>
      </c>
      <c r="W168" s="24">
        <f t="shared" si="81"/>
        <v>3.4371682489582117E-3</v>
      </c>
      <c r="X168" s="24">
        <f t="shared" si="81"/>
        <v>1.1212882019673413E-2</v>
      </c>
      <c r="Y168" s="24">
        <f t="shared" si="81"/>
        <v>1.3831497422664746E-3</v>
      </c>
      <c r="Z168" s="24">
        <f t="shared" si="81"/>
        <v>1.6097071789726552E-3</v>
      </c>
      <c r="AA168" s="24">
        <f t="shared" si="81"/>
        <v>1.8524429752764373E-4</v>
      </c>
      <c r="AB168" s="24">
        <f t="shared" si="81"/>
        <v>6.1882600423991305E-4</v>
      </c>
      <c r="AC168" s="24">
        <f t="shared" si="81"/>
        <v>7.9581697558881396E-3</v>
      </c>
      <c r="AD168" s="24">
        <f t="shared" si="81"/>
        <v>0.46327199192568375</v>
      </c>
      <c r="AE168" s="24">
        <f t="shared" si="81"/>
        <v>3.140168266176642E-3</v>
      </c>
      <c r="AF168" s="24">
        <f t="shared" si="81"/>
        <v>3.6880498384980927E-3</v>
      </c>
      <c r="AG168" s="24">
        <f t="shared" si="81"/>
        <v>8.5177841705912499E-3</v>
      </c>
      <c r="AH168" s="24">
        <f t="shared" si="81"/>
        <v>1.5957880245752298E-3</v>
      </c>
      <c r="AI168" s="24">
        <f t="shared" si="81"/>
        <v>2.7924121992287635E-3</v>
      </c>
      <c r="AJ168" s="24">
        <f t="shared" si="81"/>
        <v>1.2806118726209422E-2</v>
      </c>
      <c r="AK168" s="24">
        <f t="shared" si="81"/>
        <v>4.8782720828567938E-3</v>
      </c>
      <c r="AL168" s="24">
        <f t="shared" si="81"/>
        <v>1.4542674957125753E-3</v>
      </c>
      <c r="AM168" s="24">
        <f t="shared" si="81"/>
        <v>1.2487269369221667E-5</v>
      </c>
      <c r="AN168" s="24">
        <f t="shared" si="81"/>
        <v>9.8486674249549583E-6</v>
      </c>
      <c r="AO168" s="24">
        <f t="shared" si="81"/>
        <v>1.2123280753054334E-2</v>
      </c>
      <c r="AP168" s="24">
        <f t="shared" si="81"/>
        <v>3.6779094972598771E-2</v>
      </c>
      <c r="AQ168" s="24">
        <f t="shared" si="81"/>
        <v>2.2348440867986348E-3</v>
      </c>
      <c r="AR168" s="24">
        <f t="shared" si="81"/>
        <v>9.558349675583567E-4</v>
      </c>
      <c r="AS168" s="24">
        <f t="shared" si="81"/>
        <v>1.0494794221088293E-3</v>
      </c>
      <c r="AT168" s="24">
        <f t="shared" si="81"/>
        <v>1.3289147470925771E-4</v>
      </c>
      <c r="AU168" s="24">
        <f t="shared" si="81"/>
        <v>1.0061629775593474E-3</v>
      </c>
      <c r="AV168" s="24">
        <f t="shared" si="81"/>
        <v>4.2385051645159649E-6</v>
      </c>
      <c r="AW168" s="24">
        <f t="shared" si="81"/>
        <v>2.3548244196425663E-5</v>
      </c>
      <c r="AX168" s="24">
        <f t="shared" si="81"/>
        <v>4.173527106624661E-5</v>
      </c>
      <c r="AY168" s="24">
        <f t="shared" si="81"/>
        <v>7.3640532372441182E-3</v>
      </c>
      <c r="AZ168" s="24">
        <f t="shared" si="81"/>
        <v>9.8652307560032721E-4</v>
      </c>
      <c r="BA168" s="24">
        <f t="shared" si="81"/>
        <v>2.2361248602905164E-7</v>
      </c>
      <c r="BB168" s="24">
        <f t="shared" si="81"/>
        <v>5.2673169752778937E-7</v>
      </c>
      <c r="BC168" s="24">
        <f t="shared" si="81"/>
        <v>3.4013143533655167E-4</v>
      </c>
      <c r="BD168" s="24">
        <f t="shared" si="81"/>
        <v>3.2485597039215062E-5</v>
      </c>
      <c r="BE168" s="24">
        <f t="shared" si="81"/>
        <v>1.3453810048199531E-3</v>
      </c>
      <c r="BF168" s="24">
        <f t="shared" si="81"/>
        <v>2.3134671227321714E-4</v>
      </c>
      <c r="BG168" s="24">
        <f t="shared" si="81"/>
        <v>2.8836418093847378E-4</v>
      </c>
      <c r="BH168" s="24">
        <f t="shared" si="81"/>
        <v>3.8739946723722417E-5</v>
      </c>
      <c r="BI168" s="24">
        <f t="shared" si="81"/>
        <v>2.3038250769083875E-4</v>
      </c>
      <c r="BJ168" s="24">
        <f t="shared" si="81"/>
        <v>7.4812808350936764E-4</v>
      </c>
      <c r="BK168" s="24">
        <f t="shared" si="81"/>
        <v>1.2887098418036039E-3</v>
      </c>
      <c r="BL168" s="24">
        <f t="shared" si="81"/>
        <v>4.0954917793138562E-3</v>
      </c>
      <c r="BM168" s="24">
        <f t="shared" si="81"/>
        <v>5.4325481772432736E-3</v>
      </c>
      <c r="BN168" s="24">
        <f t="shared" si="81"/>
        <v>1.847743705677362E-3</v>
      </c>
      <c r="BO168" s="24">
        <f t="shared" si="81"/>
        <v>7.9396812591164443E-4</v>
      </c>
      <c r="BP168" s="24">
        <f t="shared" si="81"/>
        <v>3.2683332532616543E-4</v>
      </c>
      <c r="BQ168" s="24">
        <f t="shared" ref="BQ168:CV168" si="82">+AVERAGE(BQ147:BQ166)</f>
        <v>1.5909263772181492E-5</v>
      </c>
      <c r="BR168" s="24">
        <f t="shared" si="82"/>
        <v>2.0800712102312097E-6</v>
      </c>
      <c r="BS168" s="24">
        <f t="shared" si="82"/>
        <v>1.2252713216472871E-3</v>
      </c>
      <c r="BT168" s="24">
        <f t="shared" si="82"/>
        <v>1.9755269847185619E-3</v>
      </c>
      <c r="BU168" s="24">
        <f t="shared" si="82"/>
        <v>3.3814030464450993E-3</v>
      </c>
      <c r="BV168" s="24">
        <f t="shared" si="82"/>
        <v>7.8389318777440778E-2</v>
      </c>
      <c r="BW168" s="24">
        <f t="shared" si="82"/>
        <v>1.4037242433616121E-2</v>
      </c>
      <c r="BX168" s="24">
        <f t="shared" si="82"/>
        <v>5.2605091074076479E-3</v>
      </c>
      <c r="BY168" s="24">
        <f t="shared" si="82"/>
        <v>6.9262478121732887E-3</v>
      </c>
      <c r="BZ168" s="24">
        <f t="shared" si="82"/>
        <v>6.7458046628093087E-6</v>
      </c>
      <c r="CA168" s="24">
        <f t="shared" si="82"/>
        <v>1.5084116974139684E-2</v>
      </c>
      <c r="CB168" s="24">
        <f t="shared" si="82"/>
        <v>1.6159297058301018E-4</v>
      </c>
      <c r="CC168" s="24">
        <f t="shared" si="82"/>
        <v>3.420151447054877E-5</v>
      </c>
      <c r="CD168" s="24">
        <f t="shared" si="82"/>
        <v>1.4004161188968287E-5</v>
      </c>
      <c r="CE168" s="24">
        <f t="shared" si="82"/>
        <v>3.6008631369157529E-5</v>
      </c>
      <c r="CF168" s="24">
        <f t="shared" si="82"/>
        <v>1.4041953219633553E-3</v>
      </c>
      <c r="CG168" s="24">
        <f t="shared" si="82"/>
        <v>1.0087560333796694E-3</v>
      </c>
      <c r="CH168" s="24">
        <f t="shared" si="82"/>
        <v>1.0964312540098792E-2</v>
      </c>
      <c r="CI168" s="24">
        <f t="shared" si="82"/>
        <v>1.6723805193427459E-2</v>
      </c>
      <c r="CJ168" s="24">
        <f t="shared" si="82"/>
        <v>2.4596866260969369E-5</v>
      </c>
      <c r="CK168" s="24">
        <f t="shared" si="82"/>
        <v>8.7462123300790957E-3</v>
      </c>
      <c r="CL168" s="24">
        <f t="shared" si="82"/>
        <v>1.2321753519617649E-3</v>
      </c>
      <c r="CM168" s="24">
        <f t="shared" si="82"/>
        <v>4.7476298333419179E-4</v>
      </c>
      <c r="CN168" s="24">
        <f t="shared" si="82"/>
        <v>2.0100351918034562E-3</v>
      </c>
      <c r="CO168" s="24">
        <f t="shared" si="82"/>
        <v>5.3620281994936203E-5</v>
      </c>
      <c r="CP168" s="24">
        <f t="shared" si="82"/>
        <v>4.4872605257462818E-6</v>
      </c>
      <c r="CQ168" s="24">
        <f t="shared" si="82"/>
        <v>1.6173922126920228E-4</v>
      </c>
      <c r="CR168" s="24">
        <f t="shared" si="82"/>
        <v>3.3939092826283544E-3</v>
      </c>
      <c r="CS168" s="24">
        <f t="shared" si="82"/>
        <v>5.9314080493184159E-4</v>
      </c>
      <c r="CT168" s="24">
        <f t="shared" si="82"/>
        <v>3.0062977442485059E-3</v>
      </c>
      <c r="CU168" s="24">
        <f t="shared" si="82"/>
        <v>8.5782376573031438E-5</v>
      </c>
      <c r="CV168" s="24">
        <f t="shared" si="82"/>
        <v>2.1251217813836892E-4</v>
      </c>
    </row>
    <row r="169" spans="2:100">
      <c r="C169" t="s">
        <v>116</v>
      </c>
      <c r="D169" s="24">
        <f>+MEDIAN(D147:D166)</f>
        <v>4.4329682641498546E-3</v>
      </c>
      <c r="E169" s="24">
        <f t="shared" ref="E169:BP169" si="83">+MEDIAN(E147:E166)</f>
        <v>3.3161188928635789E-3</v>
      </c>
      <c r="F169" s="24">
        <f t="shared" si="83"/>
        <v>3.0118059215883167E-3</v>
      </c>
      <c r="G169" s="24">
        <f t="shared" si="83"/>
        <v>7.4423594219872658E-4</v>
      </c>
      <c r="H169" s="24">
        <f t="shared" si="83"/>
        <v>1.1694570803203574E-3</v>
      </c>
      <c r="I169" s="24">
        <f t="shared" si="83"/>
        <v>4.2952188480672032E-2</v>
      </c>
      <c r="J169" s="24">
        <f t="shared" si="83"/>
        <v>6.8009983384154028E-4</v>
      </c>
      <c r="K169" s="24">
        <f t="shared" si="83"/>
        <v>3.2131785989133813E-2</v>
      </c>
      <c r="L169" s="24">
        <f t="shared" si="83"/>
        <v>7.1366719559607467E-2</v>
      </c>
      <c r="M169" s="24">
        <f t="shared" si="83"/>
        <v>1.4187102107496213E-4</v>
      </c>
      <c r="N169" s="24">
        <f t="shared" si="83"/>
        <v>1.5387699662130637E-3</v>
      </c>
      <c r="O169" s="24">
        <f t="shared" si="83"/>
        <v>9.8881375404737213E-4</v>
      </c>
      <c r="P169" s="24">
        <f t="shared" si="83"/>
        <v>7.9482493375391142E-5</v>
      </c>
      <c r="Q169" s="24">
        <f t="shared" si="83"/>
        <v>3.2247944389827324E-5</v>
      </c>
      <c r="R169" s="24">
        <f t="shared" si="83"/>
        <v>1.8771189269049537E-2</v>
      </c>
      <c r="S169" s="24">
        <f t="shared" si="83"/>
        <v>5.4998439037716126E-4</v>
      </c>
      <c r="T169" s="24">
        <f t="shared" si="83"/>
        <v>1.3901661158211832E-2</v>
      </c>
      <c r="U169" s="24">
        <f t="shared" si="83"/>
        <v>3.1792690376624107E-3</v>
      </c>
      <c r="V169" s="24">
        <f t="shared" si="83"/>
        <v>4.0510061686729118E-3</v>
      </c>
      <c r="W169" s="24">
        <f t="shared" si="83"/>
        <v>3.5450921379994492E-3</v>
      </c>
      <c r="X169" s="24">
        <f t="shared" si="83"/>
        <v>1.0995772583954547E-2</v>
      </c>
      <c r="Y169" s="24">
        <f t="shared" si="83"/>
        <v>1.3312499151123109E-3</v>
      </c>
      <c r="Z169" s="24">
        <f t="shared" si="83"/>
        <v>1.4924740669509671E-3</v>
      </c>
      <c r="AA169" s="24">
        <f t="shared" si="83"/>
        <v>1.0869446364382742E-4</v>
      </c>
      <c r="AB169" s="24">
        <f t="shared" si="83"/>
        <v>6.3845935166333308E-4</v>
      </c>
      <c r="AC169" s="24">
        <f t="shared" si="83"/>
        <v>4.5690544518295108E-3</v>
      </c>
      <c r="AD169" s="24">
        <f t="shared" si="83"/>
        <v>0.47215273907450972</v>
      </c>
      <c r="AE169" s="24">
        <f t="shared" si="83"/>
        <v>3.1606103930612098E-3</v>
      </c>
      <c r="AF169" s="24">
        <f t="shared" si="83"/>
        <v>3.6882296719418896E-3</v>
      </c>
      <c r="AG169" s="24">
        <f t="shared" si="83"/>
        <v>8.4843988020019516E-3</v>
      </c>
      <c r="AH169" s="24">
        <f t="shared" si="83"/>
        <v>1.576037761524051E-3</v>
      </c>
      <c r="AI169" s="24">
        <f t="shared" si="83"/>
        <v>2.7584958363912238E-3</v>
      </c>
      <c r="AJ169" s="24">
        <f t="shared" si="83"/>
        <v>1.2654611360223807E-2</v>
      </c>
      <c r="AK169" s="24">
        <f t="shared" si="83"/>
        <v>4.9314316792480554E-3</v>
      </c>
      <c r="AL169" s="24">
        <f t="shared" si="83"/>
        <v>1.4326441370761688E-3</v>
      </c>
      <c r="AM169" s="24">
        <f t="shared" si="83"/>
        <v>3.4085520703039305E-6</v>
      </c>
      <c r="AN169" s="24">
        <f t="shared" si="83"/>
        <v>8.2309394506622866E-6</v>
      </c>
      <c r="AO169" s="24">
        <f t="shared" si="83"/>
        <v>1.2084530752444573E-2</v>
      </c>
      <c r="AP169" s="24">
        <f t="shared" si="83"/>
        <v>3.43740022763038E-2</v>
      </c>
      <c r="AQ169" s="24">
        <f t="shared" si="83"/>
        <v>2.1987136104023672E-3</v>
      </c>
      <c r="AR169" s="24">
        <f t="shared" si="83"/>
        <v>7.6655172906362683E-4</v>
      </c>
      <c r="AS169" s="24">
        <f t="shared" si="83"/>
        <v>1.0629997463742708E-3</v>
      </c>
      <c r="AT169" s="24">
        <f t="shared" si="83"/>
        <v>1.2948404739762014E-4</v>
      </c>
      <c r="AU169" s="24">
        <f t="shared" si="83"/>
        <v>9.8370533923214723E-4</v>
      </c>
      <c r="AV169" s="24">
        <f t="shared" si="83"/>
        <v>3.3497342370878804E-6</v>
      </c>
      <c r="AW169" s="24">
        <f t="shared" si="83"/>
        <v>2.4084881081260619E-5</v>
      </c>
      <c r="AX169" s="24">
        <f t="shared" si="83"/>
        <v>3.850307166634264E-5</v>
      </c>
      <c r="AY169" s="24">
        <f t="shared" si="83"/>
        <v>7.2487791397879116E-3</v>
      </c>
      <c r="AZ169" s="24">
        <f t="shared" si="83"/>
        <v>1.0066082501621306E-3</v>
      </c>
      <c r="BA169" s="24">
        <f t="shared" si="83"/>
        <v>4.6198620793662507E-8</v>
      </c>
      <c r="BB169" s="24">
        <f t="shared" si="83"/>
        <v>2.7965061938486923E-7</v>
      </c>
      <c r="BC169" s="24">
        <f t="shared" si="83"/>
        <v>3.5319519596925932E-4</v>
      </c>
      <c r="BD169" s="24">
        <f t="shared" si="83"/>
        <v>2.1008456039973484E-5</v>
      </c>
      <c r="BE169" s="24">
        <f t="shared" si="83"/>
        <v>1.356143115938926E-3</v>
      </c>
      <c r="BF169" s="24">
        <f t="shared" si="83"/>
        <v>2.2529813970869196E-4</v>
      </c>
      <c r="BG169" s="24">
        <f t="shared" si="83"/>
        <v>2.815954153191617E-4</v>
      </c>
      <c r="BH169" s="24">
        <f t="shared" si="83"/>
        <v>3.5436148524678251E-5</v>
      </c>
      <c r="BI169" s="24">
        <f t="shared" si="83"/>
        <v>2.1159749575813352E-4</v>
      </c>
      <c r="BJ169" s="24">
        <f t="shared" si="83"/>
        <v>7.205190835855549E-4</v>
      </c>
      <c r="BK169" s="24">
        <f t="shared" si="83"/>
        <v>1.247062299063299E-3</v>
      </c>
      <c r="BL169" s="24">
        <f t="shared" si="83"/>
        <v>4.126954601822554E-3</v>
      </c>
      <c r="BM169" s="24">
        <f t="shared" si="83"/>
        <v>5.0059175878049127E-3</v>
      </c>
      <c r="BN169" s="24">
        <f t="shared" si="83"/>
        <v>1.8304538702586868E-3</v>
      </c>
      <c r="BO169" s="24">
        <f t="shared" si="83"/>
        <v>7.7899863401943302E-4</v>
      </c>
      <c r="BP169" s="24">
        <f t="shared" si="83"/>
        <v>3.115492004813166E-4</v>
      </c>
      <c r="BQ169" s="24">
        <f t="shared" ref="BQ169:CV169" si="84">+MEDIAN(BQ147:BQ166)</f>
        <v>1.3203436502190286E-5</v>
      </c>
      <c r="BR169" s="24">
        <f t="shared" si="84"/>
        <v>1.6692410074975254E-6</v>
      </c>
      <c r="BS169" s="24">
        <f t="shared" si="84"/>
        <v>1.2748366589845881E-3</v>
      </c>
      <c r="BT169" s="24">
        <f t="shared" si="84"/>
        <v>1.9998995679773876E-3</v>
      </c>
      <c r="BU169" s="24">
        <f t="shared" si="84"/>
        <v>3.1970987485145158E-3</v>
      </c>
      <c r="BV169" s="24">
        <f t="shared" si="84"/>
        <v>7.723732004920314E-2</v>
      </c>
      <c r="BW169" s="24">
        <f t="shared" si="84"/>
        <v>1.3274302224321721E-2</v>
      </c>
      <c r="BX169" s="24">
        <f t="shared" si="84"/>
        <v>5.1427382651480606E-3</v>
      </c>
      <c r="BY169" s="24">
        <f t="shared" si="84"/>
        <v>6.9181239733688421E-3</v>
      </c>
      <c r="BZ169" s="24">
        <f t="shared" si="84"/>
        <v>4.3247463565455141E-6</v>
      </c>
      <c r="CA169" s="24">
        <f t="shared" si="84"/>
        <v>1.5212417622110327E-2</v>
      </c>
      <c r="CB169" s="24">
        <f t="shared" si="84"/>
        <v>1.4101632935528257E-4</v>
      </c>
      <c r="CC169" s="24">
        <f t="shared" si="84"/>
        <v>1.39572823630232E-5</v>
      </c>
      <c r="CD169" s="24">
        <f t="shared" si="84"/>
        <v>2.5120778477693472E-6</v>
      </c>
      <c r="CE169" s="24">
        <f t="shared" si="84"/>
        <v>3.495381939200805E-5</v>
      </c>
      <c r="CF169" s="24">
        <f t="shared" si="84"/>
        <v>1.4063330524456872E-3</v>
      </c>
      <c r="CG169" s="24">
        <f t="shared" si="84"/>
        <v>1.0083472051877708E-3</v>
      </c>
      <c r="CH169" s="24">
        <f t="shared" si="84"/>
        <v>1.1661411738141177E-2</v>
      </c>
      <c r="CI169" s="24">
        <f t="shared" si="84"/>
        <v>1.626860729359763E-2</v>
      </c>
      <c r="CJ169" s="24">
        <f t="shared" si="84"/>
        <v>2.0161669932482507E-5</v>
      </c>
      <c r="CK169" s="24">
        <f t="shared" si="84"/>
        <v>8.2422739372877817E-3</v>
      </c>
      <c r="CL169" s="24">
        <f t="shared" si="84"/>
        <v>7.6752265500258459E-4</v>
      </c>
      <c r="CM169" s="24">
        <f t="shared" si="84"/>
        <v>2.2748309459588221E-4</v>
      </c>
      <c r="CN169" s="24">
        <f t="shared" si="84"/>
        <v>1.9522906072596546E-3</v>
      </c>
      <c r="CO169" s="24">
        <f t="shared" si="84"/>
        <v>2.4076144105235094E-5</v>
      </c>
      <c r="CP169" s="24">
        <f t="shared" si="84"/>
        <v>1.9932968904501637E-6</v>
      </c>
      <c r="CQ169" s="24">
        <f t="shared" si="84"/>
        <v>1.3801516319447271E-4</v>
      </c>
      <c r="CR169" s="24">
        <f t="shared" si="84"/>
        <v>3.4498907591385256E-3</v>
      </c>
      <c r="CS169" s="24">
        <f t="shared" si="84"/>
        <v>6.6150004160075299E-4</v>
      </c>
      <c r="CT169" s="24">
        <f t="shared" si="84"/>
        <v>2.964109704704575E-3</v>
      </c>
      <c r="CU169" s="24">
        <f t="shared" si="84"/>
        <v>7.8069960343329789E-5</v>
      </c>
      <c r="CV169" s="24">
        <f t="shared" si="84"/>
        <v>1.979230263428263E-4</v>
      </c>
    </row>
    <row r="172" spans="2:100" ht="78">
      <c r="B172" s="7" t="s">
        <v>117</v>
      </c>
      <c r="D172" s="6" t="s">
        <v>7</v>
      </c>
      <c r="E172" s="6" t="s">
        <v>8</v>
      </c>
      <c r="F172" s="6" t="s">
        <v>9</v>
      </c>
      <c r="G172" s="6" t="s">
        <v>10</v>
      </c>
      <c r="H172" s="6" t="s">
        <v>11</v>
      </c>
      <c r="I172" s="6" t="s">
        <v>12</v>
      </c>
      <c r="J172" s="6" t="s">
        <v>13</v>
      </c>
      <c r="K172" s="6" t="s">
        <v>14</v>
      </c>
      <c r="L172" s="6" t="s">
        <v>15</v>
      </c>
      <c r="M172" s="6" t="s">
        <v>16</v>
      </c>
      <c r="N172" s="6" t="s">
        <v>17</v>
      </c>
      <c r="O172" s="6" t="s">
        <v>18</v>
      </c>
      <c r="P172" s="6" t="s">
        <v>19</v>
      </c>
      <c r="Q172" s="6" t="s">
        <v>20</v>
      </c>
      <c r="R172" s="6" t="s">
        <v>21</v>
      </c>
      <c r="S172" s="6" t="s">
        <v>22</v>
      </c>
      <c r="T172" s="6" t="s">
        <v>23</v>
      </c>
      <c r="U172" s="6" t="s">
        <v>24</v>
      </c>
      <c r="V172" s="6" t="s">
        <v>25</v>
      </c>
      <c r="W172" s="6" t="s">
        <v>26</v>
      </c>
      <c r="X172" s="6" t="s">
        <v>27</v>
      </c>
      <c r="Y172" s="6" t="s">
        <v>28</v>
      </c>
      <c r="Z172" s="6" t="s">
        <v>29</v>
      </c>
      <c r="AA172" s="6" t="s">
        <v>30</v>
      </c>
      <c r="AB172" s="6" t="s">
        <v>31</v>
      </c>
      <c r="AC172" s="6" t="s">
        <v>32</v>
      </c>
      <c r="AD172" s="6" t="s">
        <v>33</v>
      </c>
      <c r="AE172" s="6" t="s">
        <v>34</v>
      </c>
      <c r="AF172" s="6" t="s">
        <v>35</v>
      </c>
      <c r="AG172" s="6" t="s">
        <v>36</v>
      </c>
      <c r="AH172" s="6" t="s">
        <v>37</v>
      </c>
      <c r="AI172" s="6" t="s">
        <v>38</v>
      </c>
      <c r="AJ172" s="6" t="s">
        <v>39</v>
      </c>
      <c r="AK172" s="6" t="s">
        <v>40</v>
      </c>
      <c r="AL172" s="6" t="s">
        <v>41</v>
      </c>
      <c r="AM172" s="6" t="s">
        <v>106</v>
      </c>
      <c r="AN172" s="6" t="s">
        <v>107</v>
      </c>
      <c r="AO172" s="6" t="s">
        <v>42</v>
      </c>
      <c r="AP172" s="6" t="s">
        <v>43</v>
      </c>
      <c r="AQ172" s="6" t="s">
        <v>44</v>
      </c>
      <c r="AR172" s="6" t="s">
        <v>45</v>
      </c>
      <c r="AS172" s="6" t="s">
        <v>46</v>
      </c>
      <c r="AT172" s="6" t="s">
        <v>47</v>
      </c>
      <c r="AU172" s="6" t="s">
        <v>48</v>
      </c>
      <c r="AV172" s="6" t="s">
        <v>108</v>
      </c>
      <c r="AW172" s="6" t="s">
        <v>49</v>
      </c>
      <c r="AX172" s="6" t="s">
        <v>50</v>
      </c>
      <c r="AY172" s="6" t="s">
        <v>51</v>
      </c>
      <c r="AZ172" s="6" t="s">
        <v>52</v>
      </c>
      <c r="BA172" s="6" t="s">
        <v>109</v>
      </c>
      <c r="BB172" s="6" t="s">
        <v>110</v>
      </c>
      <c r="BC172" s="6" t="s">
        <v>53</v>
      </c>
      <c r="BD172" s="6" t="s">
        <v>54</v>
      </c>
      <c r="BE172" s="6" t="s">
        <v>55</v>
      </c>
      <c r="BF172" s="6" t="s">
        <v>56</v>
      </c>
      <c r="BG172" s="6" t="s">
        <v>57</v>
      </c>
      <c r="BH172" s="6" t="s">
        <v>58</v>
      </c>
      <c r="BI172" s="6" t="s">
        <v>59</v>
      </c>
      <c r="BJ172" s="6" t="s">
        <v>60</v>
      </c>
      <c r="BK172" s="6" t="s">
        <v>61</v>
      </c>
      <c r="BL172" s="6" t="s">
        <v>62</v>
      </c>
      <c r="BM172" s="6" t="s">
        <v>63</v>
      </c>
      <c r="BN172" s="6" t="s">
        <v>64</v>
      </c>
      <c r="BO172" s="6" t="s">
        <v>65</v>
      </c>
      <c r="BP172" s="6" t="s">
        <v>66</v>
      </c>
      <c r="BQ172" s="6" t="s">
        <v>67</v>
      </c>
      <c r="BR172" s="6" t="s">
        <v>68</v>
      </c>
      <c r="BS172" s="6" t="s">
        <v>69</v>
      </c>
      <c r="BT172" s="6" t="s">
        <v>70</v>
      </c>
      <c r="BU172" s="6" t="s">
        <v>71</v>
      </c>
      <c r="BV172" s="6" t="s">
        <v>72</v>
      </c>
      <c r="BW172" s="6" t="s">
        <v>73</v>
      </c>
      <c r="BX172" s="6" t="s">
        <v>74</v>
      </c>
      <c r="BY172" s="6" t="s">
        <v>75</v>
      </c>
      <c r="BZ172" s="6" t="s">
        <v>76</v>
      </c>
      <c r="CA172" s="6" t="s">
        <v>77</v>
      </c>
      <c r="CB172" s="6" t="s">
        <v>78</v>
      </c>
      <c r="CC172" s="6" t="s">
        <v>79</v>
      </c>
      <c r="CD172" s="6" t="s">
        <v>111</v>
      </c>
      <c r="CE172" s="6" t="s">
        <v>80</v>
      </c>
      <c r="CF172" s="6" t="s">
        <v>81</v>
      </c>
      <c r="CG172" s="6" t="s">
        <v>82</v>
      </c>
      <c r="CH172" s="6" t="s">
        <v>83</v>
      </c>
      <c r="CI172" s="6" t="s">
        <v>84</v>
      </c>
      <c r="CJ172" s="6" t="s">
        <v>85</v>
      </c>
      <c r="CK172" s="6" t="s">
        <v>86</v>
      </c>
      <c r="CL172" s="6" t="s">
        <v>87</v>
      </c>
      <c r="CM172" s="6" t="s">
        <v>88</v>
      </c>
      <c r="CN172" s="6" t="s">
        <v>89</v>
      </c>
      <c r="CO172" s="6" t="s">
        <v>90</v>
      </c>
      <c r="CP172" s="6" t="s">
        <v>91</v>
      </c>
      <c r="CQ172" s="6" t="s">
        <v>92</v>
      </c>
      <c r="CR172" s="6" t="s">
        <v>93</v>
      </c>
      <c r="CS172" s="6" t="s">
        <v>94</v>
      </c>
      <c r="CT172" s="6" t="s">
        <v>95</v>
      </c>
      <c r="CU172" s="6" t="s">
        <v>96</v>
      </c>
      <c r="CV172" s="6" t="s">
        <v>97</v>
      </c>
    </row>
    <row r="173" spans="2:100">
      <c r="B173" s="140">
        <v>2021</v>
      </c>
      <c r="C173" t="s">
        <v>1</v>
      </c>
      <c r="D173" s="24">
        <f>+D147*D120</f>
        <v>5.2634726672654269E-3</v>
      </c>
      <c r="E173" s="24">
        <f t="shared" ref="E173:BP174" si="85">+E147*E120</f>
        <v>6.5259492591787397E-3</v>
      </c>
      <c r="F173" s="24">
        <f t="shared" si="85"/>
        <v>4.6202842034290949E-5</v>
      </c>
      <c r="G173" s="24">
        <f t="shared" si="85"/>
        <v>1.164378579158546E-3</v>
      </c>
      <c r="H173" s="24">
        <f t="shared" si="85"/>
        <v>3.2237379008323439E-4</v>
      </c>
      <c r="I173" s="24">
        <f t="shared" si="85"/>
        <v>7.1391878734983665E-3</v>
      </c>
      <c r="J173" s="24">
        <f t="shared" si="85"/>
        <v>-3.6232865675732908E-5</v>
      </c>
      <c r="K173" s="24">
        <f t="shared" si="85"/>
        <v>2.3320280665765507E-4</v>
      </c>
      <c r="L173" s="24">
        <f t="shared" si="85"/>
        <v>2.3419317729030054E-2</v>
      </c>
      <c r="M173" s="24">
        <f t="shared" si="85"/>
        <v>-4.1820176622911679E-5</v>
      </c>
      <c r="N173" s="24">
        <f t="shared" si="85"/>
        <v>2.0927662201399968E-4</v>
      </c>
      <c r="O173" s="24">
        <f t="shared" si="85"/>
        <v>1.354384872522177E-4</v>
      </c>
      <c r="P173" s="24">
        <f t="shared" si="85"/>
        <v>1.7771614761179032E-5</v>
      </c>
      <c r="Q173" s="24">
        <f t="shared" si="85"/>
        <v>3.1375596452489835E-6</v>
      </c>
      <c r="R173" s="24">
        <f t="shared" si="85"/>
        <v>5.2806729190957205E-4</v>
      </c>
      <c r="S173" s="24">
        <f t="shared" si="85"/>
        <v>-9.5073917563213658E-5</v>
      </c>
      <c r="T173" s="24">
        <f t="shared" si="85"/>
        <v>7.8309488166030089E-4</v>
      </c>
      <c r="U173" s="24">
        <f t="shared" si="85"/>
        <v>-1.0322498743748214E-4</v>
      </c>
      <c r="V173" s="24">
        <f t="shared" si="85"/>
        <v>6.3631729815976919E-4</v>
      </c>
      <c r="W173" s="24">
        <f t="shared" si="85"/>
        <v>3.0115972534444185E-4</v>
      </c>
      <c r="X173" s="24">
        <f t="shared" si="85"/>
        <v>2.6699927374561911E-3</v>
      </c>
      <c r="Y173" s="24">
        <f t="shared" si="85"/>
        <v>4.0337732188175656E-4</v>
      </c>
      <c r="Z173" s="24">
        <f t="shared" si="85"/>
        <v>1.4237241904808815E-4</v>
      </c>
      <c r="AA173" s="24">
        <f t="shared" si="85"/>
        <v>3.708629941054185E-4</v>
      </c>
      <c r="AB173" s="24">
        <f t="shared" si="85"/>
        <v>1.2111451857001808E-4</v>
      </c>
      <c r="AC173" s="24">
        <f t="shared" si="85"/>
        <v>6.8242658245447358E-3</v>
      </c>
      <c r="AD173" s="24">
        <f t="shared" si="85"/>
        <v>-6.1646580163590869E-2</v>
      </c>
      <c r="AE173" s="24">
        <f t="shared" si="85"/>
        <v>-5.9764825952219338E-5</v>
      </c>
      <c r="AF173" s="24">
        <f t="shared" si="85"/>
        <v>4.8960562410296944E-4</v>
      </c>
      <c r="AG173" s="24">
        <f t="shared" si="85"/>
        <v>9.7662398766990531E-4</v>
      </c>
      <c r="AH173" s="24">
        <f t="shared" si="85"/>
        <v>7.7214171129063225E-4</v>
      </c>
      <c r="AI173" s="24">
        <f t="shared" si="85"/>
        <v>-2.1674065585427822E-5</v>
      </c>
      <c r="AJ173" s="24">
        <f t="shared" si="85"/>
        <v>-2.3539029021999076E-4</v>
      </c>
      <c r="AK173" s="24">
        <f t="shared" si="85"/>
        <v>5.3121747279043024E-4</v>
      </c>
      <c r="AL173" s="24">
        <f t="shared" si="85"/>
        <v>1.1990839035905251E-5</v>
      </c>
      <c r="AM173" s="24">
        <f t="shared" si="85"/>
        <v>0</v>
      </c>
      <c r="AN173" s="24">
        <f t="shared" si="85"/>
        <v>-1.9477919107342292E-6</v>
      </c>
      <c r="AO173" s="24">
        <f t="shared" si="85"/>
        <v>2.2738366844628367E-3</v>
      </c>
      <c r="AP173" s="24">
        <f t="shared" si="85"/>
        <v>1.5824978994843114E-2</v>
      </c>
      <c r="AQ173" s="24">
        <f t="shared" si="85"/>
        <v>-1.7283720767255708E-5</v>
      </c>
      <c r="AR173" s="24">
        <f t="shared" si="85"/>
        <v>6.7425219754844144E-4</v>
      </c>
      <c r="AS173" s="24">
        <f t="shared" si="85"/>
        <v>-7.0420842520916904E-5</v>
      </c>
      <c r="AT173" s="24">
        <f t="shared" si="85"/>
        <v>-3.7957474708285079E-6</v>
      </c>
      <c r="AU173" s="24">
        <f t="shared" si="85"/>
        <v>2.6093868267967126E-4</v>
      </c>
      <c r="AV173" s="24">
        <f t="shared" si="85"/>
        <v>-5.2345416102476322E-7</v>
      </c>
      <c r="AW173" s="24">
        <f t="shared" si="85"/>
        <v>1.1121122653405767E-5</v>
      </c>
      <c r="AX173" s="24">
        <f t="shared" si="85"/>
        <v>-7.4185091413470906E-6</v>
      </c>
      <c r="AY173" s="24">
        <f t="shared" si="85"/>
        <v>9.0204587109949275E-4</v>
      </c>
      <c r="AZ173" s="24">
        <f t="shared" si="85"/>
        <v>-2.514750930389429E-4</v>
      </c>
      <c r="BA173" s="24" t="e">
        <f t="shared" si="85"/>
        <v>#DIV/0!</v>
      </c>
      <c r="BB173" s="24" t="e">
        <f t="shared" si="85"/>
        <v>#DIV/0!</v>
      </c>
      <c r="BC173" s="24">
        <f t="shared" si="85"/>
        <v>-3.8643708488645629E-5</v>
      </c>
      <c r="BD173" s="24">
        <f t="shared" si="85"/>
        <v>1.1375110535037391E-4</v>
      </c>
      <c r="BE173" s="24">
        <f t="shared" si="85"/>
        <v>1.0760983946935758E-5</v>
      </c>
      <c r="BF173" s="24">
        <f t="shared" si="85"/>
        <v>-6.2645189044732878E-5</v>
      </c>
      <c r="BG173" s="24">
        <f t="shared" si="85"/>
        <v>3.4033329488986004E-4</v>
      </c>
      <c r="BH173" s="24">
        <f t="shared" si="85"/>
        <v>8.0136825896918014E-5</v>
      </c>
      <c r="BI173" s="24">
        <f t="shared" si="85"/>
        <v>-6.0609445040697688E-6</v>
      </c>
      <c r="BJ173" s="24">
        <f t="shared" si="85"/>
        <v>7.0091000196260411E-5</v>
      </c>
      <c r="BK173" s="24">
        <f t="shared" si="85"/>
        <v>-2.1739860607026087E-4</v>
      </c>
      <c r="BL173" s="24">
        <f t="shared" si="85"/>
        <v>8.1271879822389576E-4</v>
      </c>
      <c r="BM173" s="24">
        <f t="shared" si="85"/>
        <v>4.6696738083737351E-4</v>
      </c>
      <c r="BN173" s="24">
        <f t="shared" si="85"/>
        <v>-7.4096967039503274E-5</v>
      </c>
      <c r="BO173" s="24">
        <f t="shared" si="85"/>
        <v>-1.5916364875865502E-5</v>
      </c>
      <c r="BP173" s="24">
        <f t="shared" si="85"/>
        <v>1.3769755534455221E-4</v>
      </c>
      <c r="BQ173" s="24">
        <f t="shared" ref="BQ173:CV177" si="86">+BQ147*BQ120</f>
        <v>-4.370986250672202E-6</v>
      </c>
      <c r="BR173" s="24">
        <f t="shared" si="86"/>
        <v>-3.4808857479778714E-7</v>
      </c>
      <c r="BS173" s="24">
        <f t="shared" si="86"/>
        <v>3.5315873308204039E-4</v>
      </c>
      <c r="BT173" s="24">
        <f t="shared" si="86"/>
        <v>1.417675853216164E-5</v>
      </c>
      <c r="BU173" s="24">
        <f t="shared" si="86"/>
        <v>1.6780724068425466E-4</v>
      </c>
      <c r="BV173" s="24">
        <f t="shared" si="86"/>
        <v>3.5392482891500605E-2</v>
      </c>
      <c r="BW173" s="24">
        <f t="shared" si="86"/>
        <v>1.2133731859324299E-4</v>
      </c>
      <c r="BX173" s="24">
        <f t="shared" si="86"/>
        <v>-7.8754731564332158E-4</v>
      </c>
      <c r="BY173" s="24">
        <f t="shared" si="86"/>
        <v>2.9677233315650534E-3</v>
      </c>
      <c r="BZ173" s="24">
        <f t="shared" si="86"/>
        <v>-6.9975245993216704E-7</v>
      </c>
      <c r="CA173" s="24">
        <f t="shared" si="86"/>
        <v>6.5790040873287799E-3</v>
      </c>
      <c r="CB173" s="24">
        <f t="shared" si="86"/>
        <v>-2.9896854737510963E-5</v>
      </c>
      <c r="CC173" s="24">
        <f t="shared" si="86"/>
        <v>-2.967588576864225E-6</v>
      </c>
      <c r="CD173" s="24">
        <f t="shared" si="86"/>
        <v>3.0380601596053585E-7</v>
      </c>
      <c r="CE173" s="24">
        <f t="shared" si="86"/>
        <v>-9.822188405373195E-6</v>
      </c>
      <c r="CF173" s="24">
        <f t="shared" si="86"/>
        <v>8.1153904668430693E-4</v>
      </c>
      <c r="CG173" s="24">
        <f t="shared" si="86"/>
        <v>7.4164998502923378E-4</v>
      </c>
      <c r="CH173" s="24">
        <f t="shared" si="86"/>
        <v>5.7204243020292128E-4</v>
      </c>
      <c r="CI173" s="24">
        <f t="shared" si="86"/>
        <v>1.9737626138103879E-3</v>
      </c>
      <c r="CJ173" s="24">
        <f t="shared" si="86"/>
        <v>1.0017723701737044E-5</v>
      </c>
      <c r="CK173" s="24">
        <f t="shared" si="86"/>
        <v>-2.8187217585300814E-3</v>
      </c>
      <c r="CL173" s="24">
        <f t="shared" si="86"/>
        <v>-2.9514720626525596E-4</v>
      </c>
      <c r="CM173" s="24">
        <f t="shared" si="86"/>
        <v>1.0770746701191266E-5</v>
      </c>
      <c r="CN173" s="24">
        <f t="shared" si="86"/>
        <v>-5.4865501778263692E-5</v>
      </c>
      <c r="CO173" s="24">
        <f t="shared" si="86"/>
        <v>7.8428143002366041E-5</v>
      </c>
      <c r="CP173" s="24">
        <f t="shared" si="86"/>
        <v>-3.5813625378358125E-7</v>
      </c>
      <c r="CQ173" s="24">
        <f t="shared" si="86"/>
        <v>6.5326064975744733E-5</v>
      </c>
      <c r="CR173" s="24">
        <f t="shared" si="86"/>
        <v>-7.5049274936808081E-5</v>
      </c>
      <c r="CS173" s="24">
        <f t="shared" si="86"/>
        <v>4.8530127808091842E-4</v>
      </c>
      <c r="CT173" s="24">
        <f t="shared" si="86"/>
        <v>2.0577170980034347E-4</v>
      </c>
      <c r="CU173" s="24">
        <f t="shared" si="86"/>
        <v>-3.4459344056518854E-5</v>
      </c>
      <c r="CV173" s="24">
        <f t="shared" si="86"/>
        <v>8.9276997878049387E-5</v>
      </c>
    </row>
    <row r="174" spans="2:100">
      <c r="B174" s="140"/>
      <c r="C174" t="s">
        <v>2</v>
      </c>
      <c r="D174" s="24">
        <f t="shared" ref="D174:S190" si="87">+D148*D121</f>
        <v>-8.5793741204288714E-4</v>
      </c>
      <c r="E174" s="24">
        <f t="shared" si="87"/>
        <v>3.5945468283031137E-3</v>
      </c>
      <c r="F174" s="24">
        <f t="shared" si="87"/>
        <v>8.8417480421305568E-4</v>
      </c>
      <c r="G174" s="24">
        <f t="shared" si="87"/>
        <v>1.3858981382526569E-3</v>
      </c>
      <c r="H174" s="24">
        <f t="shared" si="87"/>
        <v>5.83928495598903E-4</v>
      </c>
      <c r="I174" s="24">
        <f t="shared" si="87"/>
        <v>2.0251877471263894E-2</v>
      </c>
      <c r="J174" s="24">
        <f t="shared" si="87"/>
        <v>9.2965515995362949E-5</v>
      </c>
      <c r="K174" s="24">
        <f t="shared" si="87"/>
        <v>1.3846815535566831E-2</v>
      </c>
      <c r="L174" s="24">
        <f t="shared" si="87"/>
        <v>-1.1327285092722918E-3</v>
      </c>
      <c r="M174" s="24">
        <f t="shared" si="87"/>
        <v>-3.7996595689154653E-5</v>
      </c>
      <c r="N174" s="24">
        <f t="shared" si="87"/>
        <v>4.7215079358923405E-4</v>
      </c>
      <c r="O174" s="24">
        <f t="shared" si="87"/>
        <v>1.0773995408130481E-4</v>
      </c>
      <c r="P174" s="24">
        <f t="shared" si="87"/>
        <v>-2.3441755620379917E-5</v>
      </c>
      <c r="Q174" s="24">
        <f t="shared" si="87"/>
        <v>1.7436687786813194E-5</v>
      </c>
      <c r="R174" s="24">
        <f t="shared" si="87"/>
        <v>6.6736827637824993E-3</v>
      </c>
      <c r="S174" s="24">
        <f t="shared" si="87"/>
        <v>6.4082549117969493E-5</v>
      </c>
      <c r="T174" s="24">
        <f t="shared" si="85"/>
        <v>-1.4927265972603343E-3</v>
      </c>
      <c r="U174" s="24">
        <f t="shared" si="85"/>
        <v>9.311121391704743E-4</v>
      </c>
      <c r="V174" s="24">
        <f t="shared" si="85"/>
        <v>-7.9086054571770258E-4</v>
      </c>
      <c r="W174" s="24">
        <f t="shared" si="85"/>
        <v>1.3284122106460804E-3</v>
      </c>
      <c r="X174" s="24">
        <f t="shared" si="85"/>
        <v>-7.0147736810280458E-4</v>
      </c>
      <c r="Y174" s="24">
        <f t="shared" si="85"/>
        <v>2.5627084713324871E-4</v>
      </c>
      <c r="Z174" s="24">
        <f t="shared" si="85"/>
        <v>-1.3280304900533828E-4</v>
      </c>
      <c r="AA174" s="24">
        <f t="shared" si="85"/>
        <v>-3.9307349366016661E-5</v>
      </c>
      <c r="AB174" s="24">
        <f t="shared" si="85"/>
        <v>3.2583314585899956E-4</v>
      </c>
      <c r="AC174" s="24">
        <f t="shared" si="85"/>
        <v>1.7015027619575072E-3</v>
      </c>
      <c r="AD174" s="24">
        <f t="shared" si="85"/>
        <v>0.32141711485163582</v>
      </c>
      <c r="AE174" s="24">
        <f t="shared" si="85"/>
        <v>1.8746441016052672E-4</v>
      </c>
      <c r="AF174" s="24">
        <f t="shared" si="85"/>
        <v>6.9432747545064078E-4</v>
      </c>
      <c r="AG174" s="24">
        <f t="shared" si="85"/>
        <v>-8.598999078733452E-4</v>
      </c>
      <c r="AH174" s="24">
        <f t="shared" si="85"/>
        <v>1.4381371138583526E-3</v>
      </c>
      <c r="AI174" s="24">
        <f t="shared" si="85"/>
        <v>1.7313585370099045E-3</v>
      </c>
      <c r="AJ174" s="24">
        <f t="shared" si="85"/>
        <v>1.8921994766139289E-3</v>
      </c>
      <c r="AK174" s="24">
        <f t="shared" si="85"/>
        <v>-8.0675022043921599E-4</v>
      </c>
      <c r="AL174" s="24">
        <f t="shared" si="85"/>
        <v>-1.2228046692755486E-4</v>
      </c>
      <c r="AM174" s="24" t="e">
        <f t="shared" si="85"/>
        <v>#DIV/0!</v>
      </c>
      <c r="AN174" s="24">
        <f t="shared" si="85"/>
        <v>3.7196322864047017E-6</v>
      </c>
      <c r="AO174" s="24">
        <f t="shared" si="85"/>
        <v>2.5992646819775261E-3</v>
      </c>
      <c r="AP174" s="24">
        <f t="shared" si="85"/>
        <v>3.5353482725755489E-2</v>
      </c>
      <c r="AQ174" s="24">
        <f t="shared" si="85"/>
        <v>1.0102819321885703E-3</v>
      </c>
      <c r="AR174" s="24">
        <f t="shared" si="85"/>
        <v>7.1143501343076147E-3</v>
      </c>
      <c r="AS174" s="24">
        <f t="shared" si="85"/>
        <v>9.774327934535653E-4</v>
      </c>
      <c r="AT174" s="24">
        <f t="shared" si="85"/>
        <v>4.9093313894685113E-4</v>
      </c>
      <c r="AU174" s="24">
        <f t="shared" si="85"/>
        <v>1.2006163515694745E-3</v>
      </c>
      <c r="AV174" s="24">
        <f t="shared" si="85"/>
        <v>7.2812439754753369E-7</v>
      </c>
      <c r="AW174" s="24">
        <f t="shared" si="85"/>
        <v>1.6435316556524235E-4</v>
      </c>
      <c r="AX174" s="24">
        <f t="shared" si="85"/>
        <v>-1.980603088670101E-5</v>
      </c>
      <c r="AY174" s="24">
        <f t="shared" si="85"/>
        <v>-2.8530859307912012E-4</v>
      </c>
      <c r="AZ174" s="24">
        <f t="shared" si="85"/>
        <v>1.5337319662008422E-3</v>
      </c>
      <c r="BA174" s="24" t="e">
        <f t="shared" si="85"/>
        <v>#DIV/0!</v>
      </c>
      <c r="BB174" s="24">
        <f t="shared" si="85"/>
        <v>6.8295802446598263E-7</v>
      </c>
      <c r="BC174" s="24">
        <f t="shared" si="85"/>
        <v>9.9895469349690013E-4</v>
      </c>
      <c r="BD174" s="24">
        <f t="shared" si="85"/>
        <v>3.3248292367503977E-4</v>
      </c>
      <c r="BE174" s="24">
        <f t="shared" si="85"/>
        <v>1.4125801300631201E-3</v>
      </c>
      <c r="BF174" s="24">
        <f t="shared" si="85"/>
        <v>6.2688371775930306E-5</v>
      </c>
      <c r="BG174" s="24">
        <f t="shared" si="85"/>
        <v>2.2469342278004815E-4</v>
      </c>
      <c r="BH174" s="24">
        <f t="shared" si="85"/>
        <v>1.6184564801726629E-4</v>
      </c>
      <c r="BI174" s="24">
        <f t="shared" si="85"/>
        <v>3.6127847115789854E-4</v>
      </c>
      <c r="BJ174" s="24">
        <f t="shared" si="85"/>
        <v>5.5725896290948558E-4</v>
      </c>
      <c r="BK174" s="24">
        <f t="shared" si="85"/>
        <v>5.8025141357000978E-3</v>
      </c>
      <c r="BL174" s="24">
        <f t="shared" si="85"/>
        <v>7.1501737659289515E-3</v>
      </c>
      <c r="BM174" s="24">
        <f t="shared" si="85"/>
        <v>1.5573831920741474E-2</v>
      </c>
      <c r="BN174" s="24">
        <f t="shared" si="85"/>
        <v>-8.5865045874455078E-5</v>
      </c>
      <c r="BO174" s="24">
        <f t="shared" si="85"/>
        <v>9.3437881415202317E-4</v>
      </c>
      <c r="BP174" s="24">
        <f t="shared" si="85"/>
        <v>1.0494735347883737E-4</v>
      </c>
      <c r="BQ174" s="24">
        <f t="shared" si="86"/>
        <v>-2.167688487989321E-7</v>
      </c>
      <c r="BR174" s="24">
        <f t="shared" si="86"/>
        <v>-3.4570704194517739E-7</v>
      </c>
      <c r="BS174" s="24">
        <f t="shared" si="86"/>
        <v>1.8294115007280024E-3</v>
      </c>
      <c r="BT174" s="24">
        <f t="shared" si="86"/>
        <v>2.2171038284400303E-3</v>
      </c>
      <c r="BU174" s="24">
        <f t="shared" si="86"/>
        <v>1.676424536546159E-3</v>
      </c>
      <c r="BV174" s="24">
        <f t="shared" si="86"/>
        <v>4.0732021056104115E-2</v>
      </c>
      <c r="BW174" s="24">
        <f t="shared" si="86"/>
        <v>-7.6742582509949336E-4</v>
      </c>
      <c r="BX174" s="24">
        <f t="shared" si="86"/>
        <v>8.5811199991643241E-3</v>
      </c>
      <c r="BY174" s="24">
        <f t="shared" si="86"/>
        <v>7.2056214022512719E-3</v>
      </c>
      <c r="BZ174" s="24">
        <f t="shared" si="86"/>
        <v>-4.2625554347553985E-7</v>
      </c>
      <c r="CA174" s="24">
        <f t="shared" si="86"/>
        <v>5.1134346969269823E-3</v>
      </c>
      <c r="CB174" s="24">
        <f t="shared" si="86"/>
        <v>3.103610752854006E-5</v>
      </c>
      <c r="CC174" s="24">
        <f t="shared" si="86"/>
        <v>1.3687370984042003E-4</v>
      </c>
      <c r="CD174" s="24" t="e">
        <f t="shared" si="86"/>
        <v>#DIV/0!</v>
      </c>
      <c r="CE174" s="24">
        <f t="shared" si="86"/>
        <v>1.7910784381940925E-4</v>
      </c>
      <c r="CF174" s="24">
        <f t="shared" si="86"/>
        <v>1.3123225902905151E-3</v>
      </c>
      <c r="CG174" s="24">
        <f t="shared" si="86"/>
        <v>1.700455384947401E-3</v>
      </c>
      <c r="CH174" s="24">
        <f t="shared" si="86"/>
        <v>5.9012043205070013E-3</v>
      </c>
      <c r="CI174" s="24">
        <f t="shared" si="86"/>
        <v>3.6292744675039982E-3</v>
      </c>
      <c r="CJ174" s="24">
        <f t="shared" si="86"/>
        <v>-6.9198463425066316E-6</v>
      </c>
      <c r="CK174" s="24">
        <f t="shared" si="86"/>
        <v>4.2116741817170794E-4</v>
      </c>
      <c r="CL174" s="24">
        <f t="shared" si="86"/>
        <v>6.1088999678870657E-4</v>
      </c>
      <c r="CM174" s="24">
        <f t="shared" si="86"/>
        <v>3.2992813685790131E-3</v>
      </c>
      <c r="CN174" s="24">
        <f t="shared" si="86"/>
        <v>-2.1874600412860327E-4</v>
      </c>
      <c r="CO174" s="24">
        <f t="shared" si="86"/>
        <v>-1.4479976271739203E-5</v>
      </c>
      <c r="CP174" s="24">
        <f t="shared" si="86"/>
        <v>-7.7582504515432025E-7</v>
      </c>
      <c r="CQ174" s="24">
        <f t="shared" si="86"/>
        <v>-1.2468101068822089E-4</v>
      </c>
      <c r="CR174" s="24">
        <f t="shared" si="86"/>
        <v>1.4913254281170604E-3</v>
      </c>
      <c r="CS174" s="24">
        <f t="shared" si="86"/>
        <v>1.0722908136440511E-3</v>
      </c>
      <c r="CT174" s="24">
        <f t="shared" si="86"/>
        <v>-4.4654938849411505E-4</v>
      </c>
      <c r="CU174" s="24">
        <f t="shared" si="86"/>
        <v>-2.5479088165895108E-5</v>
      </c>
      <c r="CV174" s="24">
        <f t="shared" si="86"/>
        <v>3.4811262789250777E-4</v>
      </c>
    </row>
    <row r="175" spans="2:100">
      <c r="B175" s="140"/>
      <c r="C175" t="s">
        <v>3</v>
      </c>
      <c r="D175" s="24">
        <f t="shared" si="87"/>
        <v>-4.7527989786371898E-4</v>
      </c>
      <c r="E175" s="24">
        <f t="shared" ref="E175:BP178" si="88">+E149*E122</f>
        <v>1.2108827128761507E-2</v>
      </c>
      <c r="F175" s="24">
        <f t="shared" si="88"/>
        <v>-4.0906566214890045E-4</v>
      </c>
      <c r="G175" s="24">
        <f t="shared" si="88"/>
        <v>1.0511232008279699E-3</v>
      </c>
      <c r="H175" s="24">
        <f t="shared" si="88"/>
        <v>4.8927779987368561E-4</v>
      </c>
      <c r="I175" s="24">
        <f t="shared" si="88"/>
        <v>9.0307958375945635E-4</v>
      </c>
      <c r="J175" s="24">
        <f t="shared" si="88"/>
        <v>6.1880557807515141E-5</v>
      </c>
      <c r="K175" s="24">
        <f t="shared" si="88"/>
        <v>1.0826142662300777E-2</v>
      </c>
      <c r="L175" s="24">
        <f t="shared" si="88"/>
        <v>2.5543861750077577E-2</v>
      </c>
      <c r="M175" s="24">
        <f t="shared" si="88"/>
        <v>2.3412450256464419E-4</v>
      </c>
      <c r="N175" s="24">
        <f t="shared" si="88"/>
        <v>-5.7794876293165828E-4</v>
      </c>
      <c r="O175" s="24">
        <f t="shared" si="88"/>
        <v>4.7878719023919896E-4</v>
      </c>
      <c r="P175" s="24">
        <f t="shared" si="88"/>
        <v>-1.7272437127122676E-5</v>
      </c>
      <c r="Q175" s="24">
        <f t="shared" si="88"/>
        <v>7.2794315054367084E-5</v>
      </c>
      <c r="R175" s="24">
        <f t="shared" si="88"/>
        <v>1.0746049929043947E-2</v>
      </c>
      <c r="S175" s="24">
        <f t="shared" si="88"/>
        <v>-1.7938113850397787E-4</v>
      </c>
      <c r="T175" s="24">
        <f t="shared" si="88"/>
        <v>-3.0020150070296384E-4</v>
      </c>
      <c r="U175" s="24">
        <f t="shared" si="88"/>
        <v>5.0223914558749673E-4</v>
      </c>
      <c r="V175" s="24">
        <f t="shared" si="88"/>
        <v>9.5220269763743353E-5</v>
      </c>
      <c r="W175" s="24">
        <f t="shared" si="88"/>
        <v>9.0262271220424052E-4</v>
      </c>
      <c r="X175" s="24">
        <f t="shared" si="88"/>
        <v>1.9189571945176555E-3</v>
      </c>
      <c r="Y175" s="24">
        <f t="shared" si="88"/>
        <v>5.6508667767911857E-4</v>
      </c>
      <c r="Z175" s="24">
        <f t="shared" si="88"/>
        <v>8.7167598713816399E-4</v>
      </c>
      <c r="AA175" s="24">
        <f t="shared" si="88"/>
        <v>-6.5359493580312346E-5</v>
      </c>
      <c r="AB175" s="24">
        <f t="shared" si="88"/>
        <v>3.4788081974523781E-5</v>
      </c>
      <c r="AC175" s="24">
        <f t="shared" si="88"/>
        <v>1.8075066254174758E-3</v>
      </c>
      <c r="AD175" s="24">
        <f t="shared" si="88"/>
        <v>0.27236925478449769</v>
      </c>
      <c r="AE175" s="24">
        <f t="shared" si="88"/>
        <v>3.5300618572656666E-3</v>
      </c>
      <c r="AF175" s="24">
        <f t="shared" si="88"/>
        <v>1.9276682222224045E-3</v>
      </c>
      <c r="AG175" s="24">
        <f t="shared" si="88"/>
        <v>1.524689623335801E-3</v>
      </c>
      <c r="AH175" s="24">
        <f t="shared" si="88"/>
        <v>-1.4191058799843009E-4</v>
      </c>
      <c r="AI175" s="24">
        <f t="shared" si="88"/>
        <v>1.1160988821224103E-3</v>
      </c>
      <c r="AJ175" s="24">
        <f t="shared" si="88"/>
        <v>2.8855062125633618E-3</v>
      </c>
      <c r="AK175" s="24">
        <f t="shared" si="88"/>
        <v>-6.8635982931092147E-5</v>
      </c>
      <c r="AL175" s="24">
        <f t="shared" si="88"/>
        <v>7.7515658709864017E-5</v>
      </c>
      <c r="AM175" s="24">
        <f t="shared" si="88"/>
        <v>5.8205693742172266E-5</v>
      </c>
      <c r="AN175" s="24">
        <f t="shared" si="88"/>
        <v>6.4746898879411318E-7</v>
      </c>
      <c r="AO175" s="24">
        <f t="shared" si="88"/>
        <v>3.2465781215206429E-3</v>
      </c>
      <c r="AP175" s="24">
        <f t="shared" si="88"/>
        <v>2.2861938096772866E-2</v>
      </c>
      <c r="AQ175" s="24">
        <f t="shared" si="88"/>
        <v>6.3518925216714695E-4</v>
      </c>
      <c r="AR175" s="24">
        <f t="shared" si="88"/>
        <v>4.101687599312411E-3</v>
      </c>
      <c r="AS175" s="24">
        <f t="shared" si="88"/>
        <v>7.3677157737635988E-5</v>
      </c>
      <c r="AT175" s="24">
        <f t="shared" si="88"/>
        <v>4.6068586449716121E-5</v>
      </c>
      <c r="AU175" s="24">
        <f t="shared" si="88"/>
        <v>2.1856163849663182E-4</v>
      </c>
      <c r="AV175" s="24">
        <f t="shared" si="88"/>
        <v>6.4559074437336452E-6</v>
      </c>
      <c r="AW175" s="24">
        <f t="shared" si="88"/>
        <v>1.2817176478320089E-5</v>
      </c>
      <c r="AX175" s="24">
        <f t="shared" si="88"/>
        <v>-7.2344059877015404E-7</v>
      </c>
      <c r="AY175" s="24">
        <f t="shared" si="88"/>
        <v>5.8168083775170416E-4</v>
      </c>
      <c r="AZ175" s="24">
        <f t="shared" si="88"/>
        <v>6.442516191696617E-4</v>
      </c>
      <c r="BA175" s="24" t="e">
        <f t="shared" si="88"/>
        <v>#DIV/0!</v>
      </c>
      <c r="BB175" s="24">
        <f t="shared" si="88"/>
        <v>0</v>
      </c>
      <c r="BC175" s="24">
        <f t="shared" si="88"/>
        <v>9.5806394992866545E-4</v>
      </c>
      <c r="BD175" s="24">
        <f t="shared" si="88"/>
        <v>4.3029059813616668E-4</v>
      </c>
      <c r="BE175" s="24">
        <f t="shared" si="88"/>
        <v>1.0133265454849924E-3</v>
      </c>
      <c r="BF175" s="24">
        <f t="shared" si="88"/>
        <v>8.9292056131631649E-5</v>
      </c>
      <c r="BG175" s="24">
        <f t="shared" si="88"/>
        <v>1.1094132102857275E-4</v>
      </c>
      <c r="BH175" s="24">
        <f t="shared" si="88"/>
        <v>1.2431602419816457E-4</v>
      </c>
      <c r="BI175" s="24">
        <f t="shared" si="88"/>
        <v>1.462597733089042E-4</v>
      </c>
      <c r="BJ175" s="24">
        <f t="shared" si="88"/>
        <v>4.8473213151961121E-4</v>
      </c>
      <c r="BK175" s="24">
        <f t="shared" si="88"/>
        <v>1.2036226675689844E-3</v>
      </c>
      <c r="BL175" s="24">
        <f t="shared" si="88"/>
        <v>2.5199372453554758E-3</v>
      </c>
      <c r="BM175" s="24">
        <f t="shared" si="88"/>
        <v>6.2101587909889466E-3</v>
      </c>
      <c r="BN175" s="24">
        <f t="shared" si="88"/>
        <v>-5.3858575088884194E-4</v>
      </c>
      <c r="BO175" s="24">
        <f t="shared" si="88"/>
        <v>6.1621254465713384E-4</v>
      </c>
      <c r="BP175" s="24">
        <f t="shared" si="88"/>
        <v>3.1492612292368142E-4</v>
      </c>
      <c r="BQ175" s="24">
        <f t="shared" si="86"/>
        <v>3.0753552048175668E-5</v>
      </c>
      <c r="BR175" s="24">
        <f t="shared" si="86"/>
        <v>4.6448028181187992E-7</v>
      </c>
      <c r="BS175" s="24">
        <f t="shared" si="86"/>
        <v>1.9031652810735616E-4</v>
      </c>
      <c r="BT175" s="24">
        <f t="shared" si="86"/>
        <v>7.3121222792286739E-4</v>
      </c>
      <c r="BU175" s="24">
        <f t="shared" si="86"/>
        <v>1.8447956725803258E-3</v>
      </c>
      <c r="BV175" s="24">
        <f t="shared" si="86"/>
        <v>-4.4301469030572724E-3</v>
      </c>
      <c r="BW175" s="24">
        <f t="shared" si="86"/>
        <v>1.7915835429514963E-2</v>
      </c>
      <c r="BX175" s="24">
        <f t="shared" si="86"/>
        <v>8.2199133189964288E-3</v>
      </c>
      <c r="BY175" s="24">
        <f t="shared" si="86"/>
        <v>9.9948878434038546E-3</v>
      </c>
      <c r="BZ175" s="24">
        <f t="shared" si="86"/>
        <v>7.5935173999064327E-5</v>
      </c>
      <c r="CA175" s="24">
        <f t="shared" si="86"/>
        <v>5.2108198937984834E-3</v>
      </c>
      <c r="CB175" s="24">
        <f t="shared" si="86"/>
        <v>-5.8989236683881296E-5</v>
      </c>
      <c r="CC175" s="24">
        <f t="shared" si="86"/>
        <v>5.1563552985906144E-5</v>
      </c>
      <c r="CD175" s="24">
        <f t="shared" si="86"/>
        <v>2.5561051903937828E-5</v>
      </c>
      <c r="CE175" s="24">
        <f t="shared" si="86"/>
        <v>2.4142533394968609E-5</v>
      </c>
      <c r="CF175" s="24">
        <f t="shared" si="86"/>
        <v>3.9445561029078415E-4</v>
      </c>
      <c r="CG175" s="24">
        <f t="shared" si="86"/>
        <v>8.4542384886408047E-4</v>
      </c>
      <c r="CH175" s="24">
        <f t="shared" si="86"/>
        <v>4.3964808074479908E-3</v>
      </c>
      <c r="CI175" s="24">
        <f t="shared" si="86"/>
        <v>2.174787729963908E-3</v>
      </c>
      <c r="CJ175" s="24">
        <f t="shared" si="86"/>
        <v>-2.2566674917081524E-6</v>
      </c>
      <c r="CK175" s="24">
        <f t="shared" si="86"/>
        <v>2.4053184012500189E-3</v>
      </c>
      <c r="CL175" s="24">
        <f t="shared" si="86"/>
        <v>1.8838942645611482E-2</v>
      </c>
      <c r="CM175" s="24">
        <f t="shared" si="86"/>
        <v>8.2315837656391569E-3</v>
      </c>
      <c r="CN175" s="24">
        <f t="shared" si="86"/>
        <v>8.2623757723937195E-5</v>
      </c>
      <c r="CO175" s="24">
        <f t="shared" si="86"/>
        <v>2.6792949442601325E-6</v>
      </c>
      <c r="CP175" s="24">
        <f t="shared" si="86"/>
        <v>-3.9726335914192144E-7</v>
      </c>
      <c r="CQ175" s="24">
        <f t="shared" si="86"/>
        <v>4.8094621654944034E-2</v>
      </c>
      <c r="CR175" s="24">
        <f t="shared" si="86"/>
        <v>2.4076886662020816E-3</v>
      </c>
      <c r="CS175" s="24">
        <f t="shared" si="86"/>
        <v>1.7216040912282678E-3</v>
      </c>
      <c r="CT175" s="24">
        <f t="shared" si="86"/>
        <v>7.3582444644239601E-4</v>
      </c>
      <c r="CU175" s="24">
        <f t="shared" si="86"/>
        <v>7.7303630616582067E-6</v>
      </c>
      <c r="CV175" s="24">
        <f t="shared" si="86"/>
        <v>3.5867254600282058E-4</v>
      </c>
    </row>
    <row r="176" spans="2:100">
      <c r="B176" s="140"/>
      <c r="C176" t="s">
        <v>4</v>
      </c>
      <c r="D176" s="24">
        <f t="shared" si="87"/>
        <v>4.7115134046018208E-5</v>
      </c>
      <c r="E176" s="24">
        <f t="shared" si="88"/>
        <v>3.7646548832363865E-3</v>
      </c>
      <c r="F176" s="24">
        <f t="shared" si="88"/>
        <v>1.3641499852042459E-4</v>
      </c>
      <c r="G176" s="24">
        <f t="shared" si="88"/>
        <v>-9.3461414070695217E-5</v>
      </c>
      <c r="H176" s="24">
        <f t="shared" si="88"/>
        <v>3.7342813073150708E-4</v>
      </c>
      <c r="I176" s="24">
        <f t="shared" si="88"/>
        <v>1.3511334247263125E-2</v>
      </c>
      <c r="J176" s="24">
        <f t="shared" si="88"/>
        <v>-5.0885318761943956E-5</v>
      </c>
      <c r="K176" s="24">
        <f t="shared" si="88"/>
        <v>-4.0522602061673976E-3</v>
      </c>
      <c r="L176" s="24">
        <f t="shared" si="88"/>
        <v>3.4554918437203541E-2</v>
      </c>
      <c r="M176" s="24">
        <f t="shared" si="88"/>
        <v>3.1279040094928074E-4</v>
      </c>
      <c r="N176" s="24">
        <f t="shared" si="88"/>
        <v>1.0485238169069083E-4</v>
      </c>
      <c r="O176" s="24">
        <f t="shared" si="88"/>
        <v>1.9948000968162826E-5</v>
      </c>
      <c r="P176" s="24">
        <f t="shared" si="88"/>
        <v>-3.0756127587067235E-5</v>
      </c>
      <c r="Q176" s="24">
        <f t="shared" si="88"/>
        <v>-2.4354334337328737E-6</v>
      </c>
      <c r="R176" s="24">
        <f t="shared" si="88"/>
        <v>4.9504581794249224E-3</v>
      </c>
      <c r="S176" s="24">
        <f t="shared" si="88"/>
        <v>1.2572904950821479E-4</v>
      </c>
      <c r="T176" s="24">
        <f t="shared" si="88"/>
        <v>6.3864301852521027E-4</v>
      </c>
      <c r="U176" s="24">
        <f t="shared" si="88"/>
        <v>4.6942572371181068E-4</v>
      </c>
      <c r="V176" s="24">
        <f t="shared" si="88"/>
        <v>5.0818575471769738E-4</v>
      </c>
      <c r="W176" s="24">
        <f t="shared" si="88"/>
        <v>3.43017727647568E-4</v>
      </c>
      <c r="X176" s="24">
        <f t="shared" si="88"/>
        <v>2.0097899329078925E-3</v>
      </c>
      <c r="Y176" s="24">
        <f t="shared" si="88"/>
        <v>4.1602909869777245E-4</v>
      </c>
      <c r="Z176" s="24">
        <f t="shared" si="88"/>
        <v>8.8249366835104729E-4</v>
      </c>
      <c r="AA176" s="24">
        <f t="shared" si="88"/>
        <v>-3.0039504328626215E-6</v>
      </c>
      <c r="AB176" s="24">
        <f t="shared" si="88"/>
        <v>2.4854077016269447E-4</v>
      </c>
      <c r="AC176" s="24">
        <f t="shared" si="88"/>
        <v>5.2047777162318063E-3</v>
      </c>
      <c r="AD176" s="24">
        <f t="shared" si="88"/>
        <v>0.5653041208198728</v>
      </c>
      <c r="AE176" s="24">
        <f t="shared" si="88"/>
        <v>7.0767971829200434E-4</v>
      </c>
      <c r="AF176" s="24">
        <f t="shared" si="88"/>
        <v>1.511256090511347E-3</v>
      </c>
      <c r="AG176" s="24">
        <f t="shared" si="88"/>
        <v>1.5822672873243722E-3</v>
      </c>
      <c r="AH176" s="24">
        <f t="shared" si="88"/>
        <v>7.1338120933944554E-5</v>
      </c>
      <c r="AI176" s="24">
        <f t="shared" si="88"/>
        <v>7.8302800298511819E-4</v>
      </c>
      <c r="AJ176" s="24">
        <f t="shared" si="88"/>
        <v>2.061899744217997E-3</v>
      </c>
      <c r="AK176" s="24">
        <f t="shared" si="88"/>
        <v>6.6764762360465527E-4</v>
      </c>
      <c r="AL176" s="24">
        <f t="shared" si="88"/>
        <v>1.7812100236024793E-4</v>
      </c>
      <c r="AM176" s="24">
        <f t="shared" si="88"/>
        <v>5.149121523286424E-8</v>
      </c>
      <c r="AN176" s="24">
        <f t="shared" si="88"/>
        <v>-1.8659354423863049E-6</v>
      </c>
      <c r="AO176" s="24">
        <f t="shared" si="88"/>
        <v>2.1509604773452401E-3</v>
      </c>
      <c r="AP176" s="24">
        <f t="shared" si="88"/>
        <v>2.3887357805950242E-2</v>
      </c>
      <c r="AQ176" s="24">
        <f t="shared" si="88"/>
        <v>5.1369706603021648E-4</v>
      </c>
      <c r="AR176" s="24">
        <f t="shared" si="88"/>
        <v>2.1584498219872216E-3</v>
      </c>
      <c r="AS176" s="24">
        <f t="shared" si="88"/>
        <v>4.8204546302083799E-4</v>
      </c>
      <c r="AT176" s="24">
        <f t="shared" si="88"/>
        <v>7.2236897120741658E-5</v>
      </c>
      <c r="AU176" s="24">
        <f t="shared" si="88"/>
        <v>-7.9736242972804999E-5</v>
      </c>
      <c r="AV176" s="24">
        <f t="shared" si="88"/>
        <v>3.1692173488735611E-7</v>
      </c>
      <c r="AW176" s="24">
        <f t="shared" si="88"/>
        <v>4.6684229108716857E-5</v>
      </c>
      <c r="AX176" s="24">
        <f t="shared" si="88"/>
        <v>1.0212793462116991E-4</v>
      </c>
      <c r="AY176" s="24">
        <f t="shared" si="88"/>
        <v>1.5155391266511733E-4</v>
      </c>
      <c r="AZ176" s="24">
        <f t="shared" si="88"/>
        <v>6.2721500637107042E-4</v>
      </c>
      <c r="BA176" s="24">
        <f t="shared" si="88"/>
        <v>0</v>
      </c>
      <c r="BB176" s="24">
        <f t="shared" si="88"/>
        <v>1.0167301993336468E-6</v>
      </c>
      <c r="BC176" s="24">
        <f t="shared" si="88"/>
        <v>1.0328376827600082E-3</v>
      </c>
      <c r="BD176" s="24">
        <f t="shared" si="88"/>
        <v>2.2134773065787182E-4</v>
      </c>
      <c r="BE176" s="24">
        <f t="shared" si="88"/>
        <v>4.7594001917285563E-4</v>
      </c>
      <c r="BF176" s="24">
        <f t="shared" si="88"/>
        <v>1.0223225942442403E-4</v>
      </c>
      <c r="BG176" s="24">
        <f t="shared" si="88"/>
        <v>-3.7060717475795973E-5</v>
      </c>
      <c r="BH176" s="24">
        <f t="shared" si="88"/>
        <v>9.3556069650451445E-7</v>
      </c>
      <c r="BI176" s="24">
        <f t="shared" si="88"/>
        <v>1.7576149485033692E-5</v>
      </c>
      <c r="BJ176" s="24">
        <f t="shared" si="88"/>
        <v>2.7861179606638388E-4</v>
      </c>
      <c r="BK176" s="24">
        <f t="shared" si="88"/>
        <v>1.6523338555963802E-3</v>
      </c>
      <c r="BL176" s="24">
        <f t="shared" si="88"/>
        <v>1.2737788338005214E-3</v>
      </c>
      <c r="BM176" s="24">
        <f t="shared" si="88"/>
        <v>2.6710121973243114E-3</v>
      </c>
      <c r="BN176" s="24">
        <f t="shared" si="88"/>
        <v>-2.3262872281935704E-4</v>
      </c>
      <c r="BO176" s="24">
        <f t="shared" si="88"/>
        <v>6.7494033586023585E-4</v>
      </c>
      <c r="BP176" s="24">
        <f t="shared" si="88"/>
        <v>2.2882853085258589E-4</v>
      </c>
      <c r="BQ176" s="24">
        <f t="shared" si="86"/>
        <v>7.3188455312261843E-6</v>
      </c>
      <c r="BR176" s="24">
        <f t="shared" si="86"/>
        <v>-9.110607902383247E-7</v>
      </c>
      <c r="BS176" s="24">
        <f t="shared" si="86"/>
        <v>1.2158487278264467E-4</v>
      </c>
      <c r="BT176" s="24">
        <f t="shared" si="86"/>
        <v>2.5709894302705503E-4</v>
      </c>
      <c r="BU176" s="24">
        <f t="shared" si="86"/>
        <v>4.204877228493607E-4</v>
      </c>
      <c r="BV176" s="24">
        <f t="shared" si="86"/>
        <v>-6.0313022861071377E-3</v>
      </c>
      <c r="BW176" s="24">
        <f t="shared" si="86"/>
        <v>2.269228587303634E-3</v>
      </c>
      <c r="BX176" s="24">
        <f t="shared" si="86"/>
        <v>3.3897968660679271E-3</v>
      </c>
      <c r="BY176" s="24">
        <f t="shared" si="86"/>
        <v>4.8621189781274544E-3</v>
      </c>
      <c r="BZ176" s="24">
        <f t="shared" si="86"/>
        <v>-7.3119841009144921E-7</v>
      </c>
      <c r="CA176" s="24">
        <f t="shared" si="86"/>
        <v>6.3633558077809413E-3</v>
      </c>
      <c r="CB176" s="24">
        <f t="shared" si="86"/>
        <v>-1.7687705986326737E-5</v>
      </c>
      <c r="CC176" s="24">
        <f t="shared" si="86"/>
        <v>-1.5283377608061528E-6</v>
      </c>
      <c r="CD176" s="24">
        <f t="shared" si="86"/>
        <v>6.3938910887379882E-6</v>
      </c>
      <c r="CE176" s="24">
        <f t="shared" si="86"/>
        <v>6.0076732945321899E-6</v>
      </c>
      <c r="CF176" s="24">
        <f t="shared" si="86"/>
        <v>2.2110299178864542E-4</v>
      </c>
      <c r="CG176" s="24">
        <f t="shared" si="86"/>
        <v>4.5018052260720486E-4</v>
      </c>
      <c r="CH176" s="24">
        <f t="shared" si="86"/>
        <v>-9.5696841969712123E-4</v>
      </c>
      <c r="CI176" s="24">
        <f t="shared" si="86"/>
        <v>8.7799445330208022E-4</v>
      </c>
      <c r="CJ176" s="24">
        <f t="shared" si="86"/>
        <v>-6.3606717789870863E-6</v>
      </c>
      <c r="CK176" s="24">
        <f t="shared" si="86"/>
        <v>-1.1317661507389387E-3</v>
      </c>
      <c r="CL176" s="24">
        <f t="shared" si="86"/>
        <v>4.0823982134445585E-4</v>
      </c>
      <c r="CM176" s="24">
        <f t="shared" si="86"/>
        <v>1.1225656731703369E-4</v>
      </c>
      <c r="CN176" s="24">
        <f t="shared" si="86"/>
        <v>6.7464239903441083E-5</v>
      </c>
      <c r="CO176" s="24">
        <f t="shared" si="86"/>
        <v>9.4232524891899929E-6</v>
      </c>
      <c r="CP176" s="24">
        <f t="shared" si="86"/>
        <v>-2.3894119235039957E-6</v>
      </c>
      <c r="CQ176" s="24">
        <f t="shared" si="86"/>
        <v>-5.3108466150425748E-5</v>
      </c>
      <c r="CR176" s="24">
        <f t="shared" si="86"/>
        <v>1.4706326348326449E-3</v>
      </c>
      <c r="CS176" s="24">
        <f t="shared" si="86"/>
        <v>6.3587015371114805E-4</v>
      </c>
      <c r="CT176" s="24">
        <f t="shared" si="86"/>
        <v>6.3774283232683111E-4</v>
      </c>
      <c r="CU176" s="24">
        <f t="shared" si="86"/>
        <v>1.5678608869550628E-5</v>
      </c>
      <c r="CV176" s="24">
        <f t="shared" si="86"/>
        <v>-4.3560779239362133E-5</v>
      </c>
    </row>
    <row r="177" spans="2:101">
      <c r="B177" s="140">
        <v>2022</v>
      </c>
      <c r="C177" t="s">
        <v>1</v>
      </c>
      <c r="D177" s="24">
        <f t="shared" si="87"/>
        <v>9.7404735844585002E-3</v>
      </c>
      <c r="E177" s="24">
        <f t="shared" si="88"/>
        <v>-5.7624986683906627E-4</v>
      </c>
      <c r="F177" s="24">
        <f t="shared" si="88"/>
        <v>2.5879836282232603E-4</v>
      </c>
      <c r="G177" s="24">
        <f t="shared" si="88"/>
        <v>-1.2109823868802393E-4</v>
      </c>
      <c r="H177" s="24">
        <f t="shared" si="88"/>
        <v>2.4657118072440095E-4</v>
      </c>
      <c r="I177" s="24">
        <f t="shared" si="88"/>
        <v>1.3552101066494309E-2</v>
      </c>
      <c r="J177" s="24">
        <f t="shared" si="88"/>
        <v>6.9362553809068812E-5</v>
      </c>
      <c r="K177" s="24">
        <f t="shared" si="88"/>
        <v>-1.3477105962909244E-3</v>
      </c>
      <c r="L177" s="24">
        <f t="shared" si="88"/>
        <v>3.5883951153685971E-2</v>
      </c>
      <c r="M177" s="24">
        <f t="shared" si="88"/>
        <v>7.7406577350647743E-5</v>
      </c>
      <c r="N177" s="24">
        <f t="shared" si="88"/>
        <v>3.1015150808223708E-4</v>
      </c>
      <c r="O177" s="24">
        <f t="shared" si="88"/>
        <v>1.6526911647417788E-4</v>
      </c>
      <c r="P177" s="24">
        <f t="shared" si="88"/>
        <v>5.2368968050070772E-5</v>
      </c>
      <c r="Q177" s="24">
        <f t="shared" si="88"/>
        <v>5.0157939764667893E-5</v>
      </c>
      <c r="R177" s="24">
        <f t="shared" si="88"/>
        <v>1.4362105764243332E-2</v>
      </c>
      <c r="S177" s="24">
        <f t="shared" si="88"/>
        <v>6.6898296012371419E-4</v>
      </c>
      <c r="T177" s="24">
        <f t="shared" si="88"/>
        <v>1.4547082201537477E-3</v>
      </c>
      <c r="U177" s="24">
        <f t="shared" si="88"/>
        <v>3.4238849413017639E-4</v>
      </c>
      <c r="V177" s="24">
        <f t="shared" si="88"/>
        <v>3.2982293840065205E-5</v>
      </c>
      <c r="W177" s="24">
        <f t="shared" si="88"/>
        <v>1.4331492846865671E-4</v>
      </c>
      <c r="X177" s="24">
        <f t="shared" si="88"/>
        <v>1.5603074245194623E-3</v>
      </c>
      <c r="Y177" s="24">
        <f t="shared" si="88"/>
        <v>1.5346708469014719E-4</v>
      </c>
      <c r="Z177" s="24">
        <f t="shared" si="88"/>
        <v>3.1726600648349161E-4</v>
      </c>
      <c r="AA177" s="24">
        <f t="shared" si="88"/>
        <v>-2.9407939580216007E-5</v>
      </c>
      <c r="AB177" s="24">
        <f t="shared" si="88"/>
        <v>1.3398857990408361E-4</v>
      </c>
      <c r="AC177" s="24">
        <f t="shared" si="88"/>
        <v>4.1235987496946114E-4</v>
      </c>
      <c r="AD177" s="24">
        <f t="shared" si="88"/>
        <v>0.35133840146935486</v>
      </c>
      <c r="AE177" s="24">
        <f t="shared" si="88"/>
        <v>2.0795826937091378E-3</v>
      </c>
      <c r="AF177" s="24">
        <f t="shared" si="88"/>
        <v>1.1695769350506893E-3</v>
      </c>
      <c r="AG177" s="24">
        <f t="shared" si="88"/>
        <v>4.6742958045533863E-4</v>
      </c>
      <c r="AH177" s="24">
        <f t="shared" si="88"/>
        <v>1.5439754468515648E-4</v>
      </c>
      <c r="AI177" s="24">
        <f t="shared" si="88"/>
        <v>5.5488481175927564E-4</v>
      </c>
      <c r="AJ177" s="24">
        <f t="shared" si="88"/>
        <v>1.0200091116537872E-3</v>
      </c>
      <c r="AK177" s="24">
        <f t="shared" si="88"/>
        <v>5.2833028986288785E-4</v>
      </c>
      <c r="AL177" s="24">
        <f t="shared" si="88"/>
        <v>-5.3315696497696584E-6</v>
      </c>
      <c r="AM177" s="24" t="e">
        <f t="shared" si="88"/>
        <v>#DIV/0!</v>
      </c>
      <c r="AN177" s="24">
        <f t="shared" si="88"/>
        <v>9.7207563751484917E-6</v>
      </c>
      <c r="AO177" s="24">
        <f t="shared" si="88"/>
        <v>3.3217826996814867E-4</v>
      </c>
      <c r="AP177" s="24">
        <f t="shared" si="88"/>
        <v>9.9064639318001343E-3</v>
      </c>
      <c r="AQ177" s="24">
        <f t="shared" si="88"/>
        <v>2.660761144540225E-4</v>
      </c>
      <c r="AR177" s="24">
        <f t="shared" si="88"/>
        <v>6.5230484566328317E-5</v>
      </c>
      <c r="AS177" s="24">
        <f t="shared" si="88"/>
        <v>3.1068398847593101E-4</v>
      </c>
      <c r="AT177" s="24">
        <f t="shared" si="88"/>
        <v>7.9934208148652364E-5</v>
      </c>
      <c r="AU177" s="24">
        <f t="shared" si="88"/>
        <v>-2.2993994079827074E-4</v>
      </c>
      <c r="AV177" s="24">
        <f t="shared" si="88"/>
        <v>9.5737944551431002E-5</v>
      </c>
      <c r="AW177" s="24">
        <f t="shared" si="88"/>
        <v>3.0862195249269162E-5</v>
      </c>
      <c r="AX177" s="24">
        <f t="shared" si="88"/>
        <v>1.3863501185645634E-4</v>
      </c>
      <c r="AY177" s="24">
        <f t="shared" si="88"/>
        <v>1.3838854774829055E-3</v>
      </c>
      <c r="AZ177" s="24">
        <f t="shared" si="88"/>
        <v>3.8112776918188489E-4</v>
      </c>
      <c r="BA177" s="24" t="e">
        <f t="shared" si="88"/>
        <v>#DIV/0!</v>
      </c>
      <c r="BB177" s="24">
        <f t="shared" si="88"/>
        <v>2.7605247524475469E-5</v>
      </c>
      <c r="BC177" s="24">
        <f t="shared" si="88"/>
        <v>1.624603587123814E-4</v>
      </c>
      <c r="BD177" s="24">
        <f t="shared" si="88"/>
        <v>-1.0540938415778982E-5</v>
      </c>
      <c r="BE177" s="24">
        <f t="shared" si="88"/>
        <v>5.6512564871811295E-4</v>
      </c>
      <c r="BF177" s="24">
        <f t="shared" si="88"/>
        <v>5.996068367603892E-5</v>
      </c>
      <c r="BG177" s="24">
        <f t="shared" si="88"/>
        <v>-2.8294292428111636E-6</v>
      </c>
      <c r="BH177" s="24">
        <f t="shared" si="88"/>
        <v>-6.2368048261612256E-6</v>
      </c>
      <c r="BI177" s="24">
        <f t="shared" si="88"/>
        <v>-8.4115051552621194E-6</v>
      </c>
      <c r="BJ177" s="24">
        <f t="shared" si="88"/>
        <v>6.0279136244336914E-4</v>
      </c>
      <c r="BK177" s="24">
        <f t="shared" si="88"/>
        <v>9.6029709501272819E-4</v>
      </c>
      <c r="BL177" s="24">
        <f t="shared" si="88"/>
        <v>1.2622482111800425E-3</v>
      </c>
      <c r="BM177" s="24">
        <f t="shared" si="88"/>
        <v>1.5674934755758063E-3</v>
      </c>
      <c r="BN177" s="24">
        <f t="shared" si="88"/>
        <v>-5.7864466038767612E-6</v>
      </c>
      <c r="BO177" s="24">
        <f t="shared" si="88"/>
        <v>3.0587431259906348E-4</v>
      </c>
      <c r="BP177" s="24">
        <f t="shared" si="88"/>
        <v>2.2177758016850239E-4</v>
      </c>
      <c r="BQ177" s="24">
        <f t="shared" si="86"/>
        <v>1.5548163854775358E-4</v>
      </c>
      <c r="BR177" s="24">
        <f t="shared" si="86"/>
        <v>4.6047305968833404E-7</v>
      </c>
      <c r="BS177" s="24">
        <f t="shared" si="86"/>
        <v>-5.0640756354797861E-5</v>
      </c>
      <c r="BT177" s="24">
        <f t="shared" si="86"/>
        <v>3.0280483010647964E-4</v>
      </c>
      <c r="BU177" s="24">
        <f t="shared" si="86"/>
        <v>-1.5605774576139835E-5</v>
      </c>
      <c r="BV177" s="24">
        <f t="shared" si="86"/>
        <v>-1.5701256304760096E-3</v>
      </c>
      <c r="BW177" s="24">
        <f t="shared" si="86"/>
        <v>1.4938935821035596E-2</v>
      </c>
      <c r="BX177" s="24">
        <f t="shared" si="86"/>
        <v>3.2353371082379004E-3</v>
      </c>
      <c r="BY177" s="24">
        <f t="shared" si="86"/>
        <v>2.5326800019906609E-3</v>
      </c>
      <c r="BZ177" s="24">
        <f t="shared" si="86"/>
        <v>3.4288698824789527E-5</v>
      </c>
      <c r="CA177" s="24">
        <f t="shared" si="86"/>
        <v>8.7032234961003426E-3</v>
      </c>
      <c r="CB177" s="24">
        <f t="shared" si="86"/>
        <v>-1.9561473250464222E-5</v>
      </c>
      <c r="CC177" s="24">
        <f t="shared" si="86"/>
        <v>2.3469136316532245E-7</v>
      </c>
      <c r="CD177" s="24">
        <f t="shared" si="86"/>
        <v>3.8868094515866595E-6</v>
      </c>
      <c r="CE177" s="24">
        <f t="shared" si="86"/>
        <v>4.0302242456820816E-5</v>
      </c>
      <c r="CF177" s="24">
        <f t="shared" si="86"/>
        <v>3.3339989448568766E-5</v>
      </c>
      <c r="CG177" s="24">
        <f t="shared" si="86"/>
        <v>1.599450386894927E-4</v>
      </c>
      <c r="CH177" s="24">
        <f t="shared" si="86"/>
        <v>8.7645785170862385E-4</v>
      </c>
      <c r="CI177" s="24">
        <f t="shared" si="86"/>
        <v>1.1697424844184755E-3</v>
      </c>
      <c r="CJ177" s="24">
        <f t="shared" si="86"/>
        <v>1.0206501853411326E-4</v>
      </c>
      <c r="CK177" s="24">
        <f t="shared" si="86"/>
        <v>2.3270546409038533E-3</v>
      </c>
      <c r="CL177" s="24">
        <f t="shared" si="86"/>
        <v>1.6540412096461371E-2</v>
      </c>
      <c r="CM177" s="24">
        <f t="shared" si="86"/>
        <v>1.3253660819324894E-3</v>
      </c>
      <c r="CN177" s="24">
        <f t="shared" si="86"/>
        <v>5.9892584896576286E-4</v>
      </c>
      <c r="CO177" s="24">
        <f t="shared" si="86"/>
        <v>-7.9971546052988779E-6</v>
      </c>
      <c r="CP177" s="24">
        <f t="shared" si="86"/>
        <v>-1.861403251505638E-8</v>
      </c>
      <c r="CQ177" s="24">
        <f t="shared" si="86"/>
        <v>-9.6296097517539275E-6</v>
      </c>
      <c r="CR177" s="24">
        <f t="shared" si="86"/>
        <v>9.989762005958064E-4</v>
      </c>
      <c r="CS177" s="24">
        <f t="shared" si="86"/>
        <v>2.6138276667644867E-4</v>
      </c>
      <c r="CT177" s="24">
        <f t="shared" si="86"/>
        <v>8.5014747847086654E-4</v>
      </c>
      <c r="CU177" s="24">
        <f t="shared" si="86"/>
        <v>2.9390696682771323E-5</v>
      </c>
      <c r="CV177" s="24">
        <f t="shared" si="86"/>
        <v>-8.4673544746308636E-6</v>
      </c>
    </row>
    <row r="178" spans="2:101">
      <c r="B178" s="140"/>
      <c r="C178" t="s">
        <v>2</v>
      </c>
      <c r="D178" s="24">
        <f t="shared" si="87"/>
        <v>9.6546185295782617E-3</v>
      </c>
      <c r="E178" s="24">
        <f t="shared" si="88"/>
        <v>-5.2406889539208397E-4</v>
      </c>
      <c r="F178" s="24">
        <f t="shared" si="88"/>
        <v>4.9793883639419871E-5</v>
      </c>
      <c r="G178" s="24">
        <f t="shared" si="88"/>
        <v>-1.4100925806937009E-4</v>
      </c>
      <c r="H178" s="24">
        <f t="shared" si="88"/>
        <v>1.6809592920291846E-4</v>
      </c>
      <c r="I178" s="24">
        <f t="shared" si="88"/>
        <v>1.0172703559837475E-2</v>
      </c>
      <c r="J178" s="24">
        <f t="shared" si="88"/>
        <v>5.1242541447823163E-5</v>
      </c>
      <c r="K178" s="24">
        <f t="shared" si="88"/>
        <v>3.6354305128087224E-3</v>
      </c>
      <c r="L178" s="24">
        <f t="shared" si="88"/>
        <v>6.302182348141934E-2</v>
      </c>
      <c r="M178" s="24">
        <f t="shared" si="88"/>
        <v>-2.7446021317058593E-5</v>
      </c>
      <c r="N178" s="24">
        <f t="shared" si="88"/>
        <v>4.7166628483483296E-5</v>
      </c>
      <c r="O178" s="24">
        <f t="shared" si="88"/>
        <v>2.0039183618711064E-4</v>
      </c>
      <c r="P178" s="24">
        <f t="shared" si="88"/>
        <v>8.585934919354812E-5</v>
      </c>
      <c r="Q178" s="24">
        <f t="shared" si="88"/>
        <v>2.9597086338062145E-5</v>
      </c>
      <c r="R178" s="24">
        <f t="shared" si="88"/>
        <v>2.1597562040971175E-2</v>
      </c>
      <c r="S178" s="24">
        <f t="shared" si="88"/>
        <v>-1.1594923037810075E-4</v>
      </c>
      <c r="T178" s="24">
        <f t="shared" si="88"/>
        <v>8.8265432550649579E-3</v>
      </c>
      <c r="U178" s="24">
        <f t="shared" si="88"/>
        <v>5.2870475966378764E-5</v>
      </c>
      <c r="V178" s="24">
        <f t="shared" si="88"/>
        <v>1.7571895073605849E-3</v>
      </c>
      <c r="W178" s="24">
        <f t="shared" si="88"/>
        <v>6.4127854299623414E-4</v>
      </c>
      <c r="X178" s="24">
        <f t="shared" si="88"/>
        <v>4.0553813683219374E-3</v>
      </c>
      <c r="Y178" s="24">
        <f t="shared" si="88"/>
        <v>6.5480706719222345E-4</v>
      </c>
      <c r="Z178" s="24">
        <f t="shared" si="88"/>
        <v>1.4729142419630135E-3</v>
      </c>
      <c r="AA178" s="24">
        <f t="shared" si="88"/>
        <v>-5.0850076252103687E-5</v>
      </c>
      <c r="AB178" s="24">
        <f t="shared" si="88"/>
        <v>1.8881181599933531E-4</v>
      </c>
      <c r="AC178" s="24">
        <f t="shared" si="88"/>
        <v>4.6074661827702143E-4</v>
      </c>
      <c r="AD178" s="24">
        <f t="shared" si="88"/>
        <v>0.60447488856036924</v>
      </c>
      <c r="AE178" s="24">
        <f t="shared" si="88"/>
        <v>3.725628994629855E-3</v>
      </c>
      <c r="AF178" s="24">
        <f t="shared" si="88"/>
        <v>2.6015445466553229E-3</v>
      </c>
      <c r="AG178" s="24">
        <f t="shared" si="88"/>
        <v>1.3674566563511249E-3</v>
      </c>
      <c r="AH178" s="24">
        <f t="shared" si="88"/>
        <v>2.0299022655358907E-3</v>
      </c>
      <c r="AI178" s="24">
        <f t="shared" si="88"/>
        <v>4.7221438206651481E-4</v>
      </c>
      <c r="AJ178" s="24">
        <f t="shared" si="88"/>
        <v>2.6725942339055654E-3</v>
      </c>
      <c r="AK178" s="24">
        <f t="shared" si="88"/>
        <v>2.6661073886398256E-3</v>
      </c>
      <c r="AL178" s="24">
        <f t="shared" si="88"/>
        <v>5.5924932491089474E-5</v>
      </c>
      <c r="AM178" s="24">
        <f t="shared" si="88"/>
        <v>-2.27647887254521E-7</v>
      </c>
      <c r="AN178" s="24">
        <f t="shared" si="88"/>
        <v>-5.2193529637800842E-7</v>
      </c>
      <c r="AO178" s="24">
        <f t="shared" si="88"/>
        <v>2.037387591086362E-3</v>
      </c>
      <c r="AP178" s="24">
        <f t="shared" si="88"/>
        <v>-5.0428686427927342E-5</v>
      </c>
      <c r="AQ178" s="24">
        <f t="shared" si="88"/>
        <v>9.4173979075133998E-4</v>
      </c>
      <c r="AR178" s="24">
        <f t="shared" si="88"/>
        <v>-1.5622386340073362E-4</v>
      </c>
      <c r="AS178" s="24">
        <f t="shared" si="88"/>
        <v>3.2750760688249586E-4</v>
      </c>
      <c r="AT178" s="24">
        <f t="shared" si="88"/>
        <v>2.0642668106914722E-5</v>
      </c>
      <c r="AU178" s="24">
        <f t="shared" si="88"/>
        <v>-4.6690060123816186E-5</v>
      </c>
      <c r="AV178" s="24">
        <f t="shared" si="88"/>
        <v>7.9762830494019034E-7</v>
      </c>
      <c r="AW178" s="24">
        <f t="shared" si="88"/>
        <v>3.6266038207250374E-6</v>
      </c>
      <c r="AX178" s="24">
        <f t="shared" si="88"/>
        <v>6.884545458675643E-5</v>
      </c>
      <c r="AY178" s="24">
        <f t="shared" si="88"/>
        <v>5.0022780638464444E-3</v>
      </c>
      <c r="AZ178" s="24">
        <f t="shared" si="88"/>
        <v>7.9794528469095675E-6</v>
      </c>
      <c r="BA178" s="24">
        <f t="shared" si="88"/>
        <v>0</v>
      </c>
      <c r="BB178" s="24">
        <f t="shared" si="88"/>
        <v>7.7599690449264772E-6</v>
      </c>
      <c r="BC178" s="24">
        <f t="shared" si="88"/>
        <v>5.1024374801019042E-4</v>
      </c>
      <c r="BD178" s="24">
        <f t="shared" si="88"/>
        <v>-8.8052181964640922E-6</v>
      </c>
      <c r="BE178" s="24">
        <f t="shared" si="88"/>
        <v>3.8785500127584661E-4</v>
      </c>
      <c r="BF178" s="24">
        <f t="shared" si="88"/>
        <v>1.2101247010929582E-4</v>
      </c>
      <c r="BG178" s="24">
        <f t="shared" si="88"/>
        <v>4.3676692720094706E-5</v>
      </c>
      <c r="BH178" s="24">
        <f t="shared" si="88"/>
        <v>4.1122209567958946E-6</v>
      </c>
      <c r="BI178" s="24">
        <f t="shared" si="88"/>
        <v>7.5695326989395914E-5</v>
      </c>
      <c r="BJ178" s="24">
        <f t="shared" si="88"/>
        <v>4.4621255850900942E-4</v>
      </c>
      <c r="BK178" s="24">
        <f t="shared" si="88"/>
        <v>3.7229392610025843E-4</v>
      </c>
      <c r="BL178" s="24">
        <f t="shared" si="88"/>
        <v>1.2254702275857449E-3</v>
      </c>
      <c r="BM178" s="24">
        <f t="shared" si="88"/>
        <v>6.5313097882143355E-4</v>
      </c>
      <c r="BN178" s="24">
        <f t="shared" si="88"/>
        <v>-3.237618942366379E-5</v>
      </c>
      <c r="BO178" s="24">
        <f t="shared" si="88"/>
        <v>4.3480659935151849E-4</v>
      </c>
      <c r="BP178" s="24">
        <f t="shared" ref="BP178:CV181" si="89">+BP152*BP125</f>
        <v>1.8709696724229408E-4</v>
      </c>
      <c r="BQ178" s="24">
        <f t="shared" si="89"/>
        <v>7.74075175838876E-5</v>
      </c>
      <c r="BR178" s="24">
        <f t="shared" si="89"/>
        <v>6.8239391972239172E-7</v>
      </c>
      <c r="BS178" s="24">
        <f t="shared" si="89"/>
        <v>1.8760441562034406E-4</v>
      </c>
      <c r="BT178" s="24">
        <f t="shared" si="89"/>
        <v>5.2345247646151606E-4</v>
      </c>
      <c r="BU178" s="24">
        <f t="shared" si="89"/>
        <v>3.458346081027325E-4</v>
      </c>
      <c r="BV178" s="24">
        <f t="shared" si="89"/>
        <v>-7.0214125624479947E-3</v>
      </c>
      <c r="BW178" s="24">
        <f t="shared" si="89"/>
        <v>5.3938235355976437E-2</v>
      </c>
      <c r="BX178" s="24">
        <f t="shared" si="89"/>
        <v>2.5593044774843295E-3</v>
      </c>
      <c r="BY178" s="24">
        <f t="shared" si="89"/>
        <v>4.6942595313684918E-3</v>
      </c>
      <c r="BZ178" s="24">
        <f t="shared" si="89"/>
        <v>2.9933384264127252E-5</v>
      </c>
      <c r="CA178" s="24">
        <f t="shared" si="89"/>
        <v>6.7381340043707692E-3</v>
      </c>
      <c r="CB178" s="24">
        <f t="shared" si="89"/>
        <v>-1.3521808497664278E-5</v>
      </c>
      <c r="CC178" s="24">
        <f t="shared" si="89"/>
        <v>-1.4758496531329947E-7</v>
      </c>
      <c r="CD178" s="24">
        <f t="shared" si="89"/>
        <v>-2.4368670383425443E-7</v>
      </c>
      <c r="CE178" s="24">
        <f t="shared" si="89"/>
        <v>7.9165390655740834E-6</v>
      </c>
      <c r="CF178" s="24">
        <f t="shared" si="89"/>
        <v>2.4100117742379391E-4</v>
      </c>
      <c r="CG178" s="24">
        <f t="shared" si="89"/>
        <v>3.0730906947529777E-4</v>
      </c>
      <c r="CH178" s="24">
        <f t="shared" si="89"/>
        <v>3.5201457480202539E-3</v>
      </c>
      <c r="CI178" s="24">
        <f t="shared" si="89"/>
        <v>4.7737435861430807E-3</v>
      </c>
      <c r="CJ178" s="24">
        <f t="shared" si="89"/>
        <v>7.6460612186254228E-5</v>
      </c>
      <c r="CK178" s="24">
        <f t="shared" si="89"/>
        <v>3.7611869208013962E-3</v>
      </c>
      <c r="CL178" s="24">
        <f t="shared" si="89"/>
        <v>6.2695178147407005E-5</v>
      </c>
      <c r="CM178" s="24">
        <f t="shared" si="89"/>
        <v>-4.381083879873284E-5</v>
      </c>
      <c r="CN178" s="24">
        <f t="shared" si="89"/>
        <v>8.3208589739870243E-4</v>
      </c>
      <c r="CO178" s="24">
        <f t="shared" si="89"/>
        <v>-7.0749452906853797E-6</v>
      </c>
      <c r="CP178" s="24">
        <f t="shared" si="89"/>
        <v>-1.0821897907637424E-7</v>
      </c>
      <c r="CQ178" s="24">
        <f t="shared" si="89"/>
        <v>1.4745247673911537E-4</v>
      </c>
      <c r="CR178" s="24">
        <f t="shared" si="89"/>
        <v>2.1918954577009901E-3</v>
      </c>
      <c r="CS178" s="24">
        <f t="shared" si="89"/>
        <v>4.7675963424314915E-4</v>
      </c>
      <c r="CT178" s="24">
        <f t="shared" si="89"/>
        <v>1.5377581079780627E-3</v>
      </c>
      <c r="CU178" s="24">
        <f t="shared" si="89"/>
        <v>1.6959659433627087E-4</v>
      </c>
      <c r="CV178" s="24">
        <f t="shared" si="89"/>
        <v>2.8417300529050899E-6</v>
      </c>
    </row>
    <row r="179" spans="2:101">
      <c r="B179" s="140"/>
      <c r="C179" t="s">
        <v>3</v>
      </c>
      <c r="D179" s="24">
        <f t="shared" si="87"/>
        <v>2.9460826255622028E-3</v>
      </c>
      <c r="E179" s="24">
        <f t="shared" ref="E179:BP182" si="90">+E153*E126</f>
        <v>-7.8665376200931286E-4</v>
      </c>
      <c r="F179" s="24">
        <f t="shared" si="90"/>
        <v>7.9464016530399792E-4</v>
      </c>
      <c r="G179" s="24">
        <f t="shared" si="90"/>
        <v>-8.2926830223198659E-5</v>
      </c>
      <c r="H179" s="24">
        <f t="shared" si="90"/>
        <v>2.1375362141157951E-4</v>
      </c>
      <c r="I179" s="24">
        <f t="shared" si="90"/>
        <v>8.2363760826011725E-3</v>
      </c>
      <c r="J179" s="24">
        <f t="shared" si="90"/>
        <v>-1.3320631880460841E-5</v>
      </c>
      <c r="K179" s="24">
        <f t="shared" si="90"/>
        <v>7.878683731273612E-4</v>
      </c>
      <c r="L179" s="24">
        <f t="shared" si="90"/>
        <v>1.2284326958037871E-2</v>
      </c>
      <c r="M179" s="24">
        <f t="shared" si="90"/>
        <v>-1.102231570879311E-5</v>
      </c>
      <c r="N179" s="24">
        <f t="shared" si="90"/>
        <v>6.170300139792267E-4</v>
      </c>
      <c r="O179" s="24">
        <f t="shared" si="90"/>
        <v>1.8076232123152015E-4</v>
      </c>
      <c r="P179" s="24">
        <f t="shared" si="90"/>
        <v>-1.0317628549114647E-5</v>
      </c>
      <c r="Q179" s="24">
        <f t="shared" si="90"/>
        <v>1.5662991919209324E-6</v>
      </c>
      <c r="R179" s="24">
        <f t="shared" si="90"/>
        <v>4.0513950876273136E-3</v>
      </c>
      <c r="S179" s="24">
        <f t="shared" si="90"/>
        <v>1.8054935735293499E-4</v>
      </c>
      <c r="T179" s="24">
        <f t="shared" si="90"/>
        <v>1.3871551793680503E-3</v>
      </c>
      <c r="U179" s="24">
        <f t="shared" si="90"/>
        <v>1.0948285846543904E-4</v>
      </c>
      <c r="V179" s="24">
        <f t="shared" si="90"/>
        <v>6.1137140723145319E-4</v>
      </c>
      <c r="W179" s="24">
        <f t="shared" si="90"/>
        <v>1.3994633331355639E-4</v>
      </c>
      <c r="X179" s="24">
        <f t="shared" si="90"/>
        <v>1.9722842094981622E-3</v>
      </c>
      <c r="Y179" s="24">
        <f t="shared" si="90"/>
        <v>3.774151309542343E-4</v>
      </c>
      <c r="Z179" s="24">
        <f t="shared" si="90"/>
        <v>8.4695417537666796E-4</v>
      </c>
      <c r="AA179" s="24">
        <f t="shared" si="90"/>
        <v>6.3420927090886906E-6</v>
      </c>
      <c r="AB179" s="24">
        <f t="shared" si="90"/>
        <v>1.475855488755801E-4</v>
      </c>
      <c r="AC179" s="24">
        <f t="shared" si="90"/>
        <v>4.7111495207283072E-3</v>
      </c>
      <c r="AD179" s="24">
        <f t="shared" si="90"/>
        <v>0.43213635332113975</v>
      </c>
      <c r="AE179" s="24">
        <f t="shared" si="90"/>
        <v>1.5392460217833134E-3</v>
      </c>
      <c r="AF179" s="24">
        <f t="shared" si="90"/>
        <v>1.9598491221866389E-3</v>
      </c>
      <c r="AG179" s="24">
        <f t="shared" si="90"/>
        <v>-2.9078918277558385E-4</v>
      </c>
      <c r="AH179" s="24">
        <f t="shared" si="90"/>
        <v>2.0704906396437918E-3</v>
      </c>
      <c r="AI179" s="24">
        <f t="shared" si="90"/>
        <v>1.5153018667674406E-4</v>
      </c>
      <c r="AJ179" s="24">
        <f t="shared" si="90"/>
        <v>8.5914236750249807E-4</v>
      </c>
      <c r="AK179" s="24">
        <f t="shared" si="90"/>
        <v>1.4646793279448696E-3</v>
      </c>
      <c r="AL179" s="24">
        <f t="shared" si="90"/>
        <v>6.0528506898288972E-4</v>
      </c>
      <c r="AM179" s="24">
        <f t="shared" si="90"/>
        <v>-8.2572437962940415E-7</v>
      </c>
      <c r="AN179" s="24">
        <f t="shared" si="90"/>
        <v>1.2830714983849511E-5</v>
      </c>
      <c r="AO179" s="24">
        <f t="shared" si="90"/>
        <v>8.8646669716230242E-4</v>
      </c>
      <c r="AP179" s="24">
        <f t="shared" si="90"/>
        <v>4.8355808302262097E-3</v>
      </c>
      <c r="AQ179" s="24">
        <f t="shared" si="90"/>
        <v>5.4238911437354579E-4</v>
      </c>
      <c r="AR179" s="24">
        <f t="shared" si="90"/>
        <v>-3.4941102448830374E-4</v>
      </c>
      <c r="AS179" s="24">
        <f t="shared" si="90"/>
        <v>9.535655864265526E-5</v>
      </c>
      <c r="AT179" s="24">
        <f t="shared" si="90"/>
        <v>-2.1453526494379482E-5</v>
      </c>
      <c r="AU179" s="24">
        <f t="shared" si="90"/>
        <v>3.9672578439982872E-5</v>
      </c>
      <c r="AV179" s="24">
        <f t="shared" si="90"/>
        <v>-1.8435750743528306E-7</v>
      </c>
      <c r="AW179" s="24">
        <f t="shared" si="90"/>
        <v>3.7884530501136938E-6</v>
      </c>
      <c r="AX179" s="24">
        <f t="shared" si="90"/>
        <v>-1.191392218786507E-6</v>
      </c>
      <c r="AY179" s="24">
        <f t="shared" si="90"/>
        <v>2.2688088588239132E-3</v>
      </c>
      <c r="AZ179" s="24">
        <f t="shared" si="90"/>
        <v>4.1136504295920609E-5</v>
      </c>
      <c r="BA179" s="24">
        <f t="shared" si="90"/>
        <v>0</v>
      </c>
      <c r="BB179" s="24" t="e">
        <f t="shared" si="90"/>
        <v>#DIV/0!</v>
      </c>
      <c r="BC179" s="24">
        <f t="shared" si="90"/>
        <v>1.1070292448791541E-4</v>
      </c>
      <c r="BD179" s="24">
        <f t="shared" si="90"/>
        <v>-1.4572695183774265E-5</v>
      </c>
      <c r="BE179" s="24">
        <f t="shared" si="90"/>
        <v>7.9033774886566751E-5</v>
      </c>
      <c r="BF179" s="24">
        <f t="shared" si="90"/>
        <v>-4.3337898068526367E-5</v>
      </c>
      <c r="BG179" s="24">
        <f t="shared" si="90"/>
        <v>-3.3156556635528366E-5</v>
      </c>
      <c r="BH179" s="24">
        <f t="shared" si="90"/>
        <v>-1.1239624429400805E-5</v>
      </c>
      <c r="BI179" s="24">
        <f t="shared" si="90"/>
        <v>-6.4701952192337642E-6</v>
      </c>
      <c r="BJ179" s="24">
        <f t="shared" si="90"/>
        <v>7.3128820093687141E-5</v>
      </c>
      <c r="BK179" s="24">
        <f t="shared" si="90"/>
        <v>-7.5099665088781582E-5</v>
      </c>
      <c r="BL179" s="24">
        <f t="shared" si="90"/>
        <v>8.0011852286054682E-5</v>
      </c>
      <c r="BM179" s="24">
        <f t="shared" si="90"/>
        <v>-7.5535806590444458E-4</v>
      </c>
      <c r="BN179" s="24">
        <f t="shared" si="90"/>
        <v>1.5091186295967788E-4</v>
      </c>
      <c r="BO179" s="24">
        <f t="shared" si="90"/>
        <v>2.4568335623480431E-4</v>
      </c>
      <c r="BP179" s="24">
        <f t="shared" si="90"/>
        <v>9.9449575548501425E-5</v>
      </c>
      <c r="BQ179" s="24">
        <f t="shared" si="89"/>
        <v>-3.6618894493224479E-6</v>
      </c>
      <c r="BR179" s="24">
        <f t="shared" si="89"/>
        <v>6.9741793825420799E-6</v>
      </c>
      <c r="BS179" s="24">
        <f t="shared" si="89"/>
        <v>-1.2129867696023171E-6</v>
      </c>
      <c r="BT179" s="24">
        <f t="shared" si="89"/>
        <v>9.5821773640160916E-5</v>
      </c>
      <c r="BU179" s="24">
        <f t="shared" si="89"/>
        <v>9.6526585347690908E-5</v>
      </c>
      <c r="BV179" s="24">
        <f t="shared" si="89"/>
        <v>3.6502636968109288E-4</v>
      </c>
      <c r="BW179" s="24">
        <f t="shared" si="89"/>
        <v>3.6173805270572194E-3</v>
      </c>
      <c r="BX179" s="24">
        <f t="shared" si="89"/>
        <v>-9.1969262590108281E-5</v>
      </c>
      <c r="BY179" s="24">
        <f t="shared" si="89"/>
        <v>-8.4202896226532697E-4</v>
      </c>
      <c r="BZ179" s="24">
        <f t="shared" si="89"/>
        <v>-2.3286478782070486E-6</v>
      </c>
      <c r="CA179" s="24">
        <f t="shared" si="89"/>
        <v>5.8573031716893991E-3</v>
      </c>
      <c r="CB179" s="24">
        <f t="shared" si="89"/>
        <v>-2.1363934901229768E-5</v>
      </c>
      <c r="CC179" s="24">
        <f t="shared" si="89"/>
        <v>-2.1616934831603388E-6</v>
      </c>
      <c r="CD179" s="24">
        <f t="shared" si="89"/>
        <v>-1.3902096506068905E-6</v>
      </c>
      <c r="CE179" s="24">
        <f t="shared" si="89"/>
        <v>-4.0759372959078403E-6</v>
      </c>
      <c r="CF179" s="24">
        <f t="shared" si="89"/>
        <v>-7.4792237354496637E-5</v>
      </c>
      <c r="CG179" s="24">
        <f t="shared" si="89"/>
        <v>1.4363269824755134E-4</v>
      </c>
      <c r="CH179" s="24">
        <f t="shared" si="89"/>
        <v>2.328687770921229E-5</v>
      </c>
      <c r="CI179" s="24">
        <f t="shared" si="89"/>
        <v>3.9510670097277971E-4</v>
      </c>
      <c r="CJ179" s="24">
        <f t="shared" si="89"/>
        <v>1.7895972197324493E-4</v>
      </c>
      <c r="CK179" s="24">
        <f t="shared" si="89"/>
        <v>-3.6069792838897382E-5</v>
      </c>
      <c r="CL179" s="24">
        <f t="shared" si="89"/>
        <v>-6.3630947846216902E-4</v>
      </c>
      <c r="CM179" s="24">
        <f t="shared" si="89"/>
        <v>1.6243476662207321E-5</v>
      </c>
      <c r="CN179" s="24">
        <f t="shared" si="89"/>
        <v>9.0288547483333313E-5</v>
      </c>
      <c r="CO179" s="24">
        <f t="shared" si="89"/>
        <v>-4.8527687658654022E-6</v>
      </c>
      <c r="CP179" s="24">
        <f t="shared" si="89"/>
        <v>6.6593056113364095E-5</v>
      </c>
      <c r="CQ179" s="24">
        <f t="shared" si="89"/>
        <v>-2.2279929498604931E-5</v>
      </c>
      <c r="CR179" s="24">
        <f t="shared" si="89"/>
        <v>-1.1502795217610457E-4</v>
      </c>
      <c r="CS179" s="24">
        <f t="shared" si="89"/>
        <v>-4.7040658481711388E-5</v>
      </c>
      <c r="CT179" s="24">
        <f t="shared" si="89"/>
        <v>7.399399055041762E-4</v>
      </c>
      <c r="CU179" s="24">
        <f t="shared" si="89"/>
        <v>4.8895728199809499E-5</v>
      </c>
      <c r="CV179" s="24">
        <f t="shared" si="89"/>
        <v>-4.0250750614546819E-5</v>
      </c>
    </row>
    <row r="180" spans="2:101">
      <c r="B180" s="140"/>
      <c r="C180" t="s">
        <v>4</v>
      </c>
      <c r="D180" s="24">
        <f t="shared" si="87"/>
        <v>2.5199439607934797E-3</v>
      </c>
      <c r="E180" s="24">
        <f t="shared" si="90"/>
        <v>-1.1839828987902107E-3</v>
      </c>
      <c r="F180" s="24">
        <f t="shared" si="90"/>
        <v>8.4939669658109335E-4</v>
      </c>
      <c r="G180" s="24">
        <f t="shared" si="90"/>
        <v>2.1581676713302076E-4</v>
      </c>
      <c r="H180" s="24">
        <f t="shared" si="90"/>
        <v>3.2452562077044724E-4</v>
      </c>
      <c r="I180" s="24">
        <f t="shared" si="90"/>
        <v>-2.147038467205601E-3</v>
      </c>
      <c r="J180" s="24">
        <f t="shared" si="90"/>
        <v>1.451095993977281E-4</v>
      </c>
      <c r="K180" s="24">
        <f t="shared" si="90"/>
        <v>1.8190706092908204E-3</v>
      </c>
      <c r="L180" s="24">
        <f t="shared" si="90"/>
        <v>-3.9227748424591046E-3</v>
      </c>
      <c r="M180" s="24">
        <f t="shared" si="90"/>
        <v>-1.6699867277695898E-5</v>
      </c>
      <c r="N180" s="24">
        <f t="shared" si="90"/>
        <v>-1.5848484933201688E-4</v>
      </c>
      <c r="O180" s="24">
        <f t="shared" si="90"/>
        <v>2.8707232157902431E-5</v>
      </c>
      <c r="P180" s="24">
        <f t="shared" si="90"/>
        <v>3.0651849821526276E-5</v>
      </c>
      <c r="Q180" s="24">
        <f t="shared" si="90"/>
        <v>4.5385360637541972E-5</v>
      </c>
      <c r="R180" s="24">
        <f t="shared" si="90"/>
        <v>-1.4236568656213042E-3</v>
      </c>
      <c r="S180" s="24">
        <f t="shared" si="90"/>
        <v>-9.9163743175224972E-5</v>
      </c>
      <c r="T180" s="24">
        <f t="shared" si="90"/>
        <v>3.4478521487839664E-3</v>
      </c>
      <c r="U180" s="24">
        <f t="shared" si="90"/>
        <v>-3.0493995668202672E-5</v>
      </c>
      <c r="V180" s="24">
        <f t="shared" si="90"/>
        <v>5.717978858043039E-4</v>
      </c>
      <c r="W180" s="24">
        <f t="shared" si="90"/>
        <v>3.4892253790312633E-4</v>
      </c>
      <c r="X180" s="24">
        <f t="shared" si="90"/>
        <v>4.6302234148755074E-3</v>
      </c>
      <c r="Y180" s="24">
        <f t="shared" si="90"/>
        <v>3.8200449077666353E-4</v>
      </c>
      <c r="Z180" s="24">
        <f t="shared" si="90"/>
        <v>5.2505040861681724E-4</v>
      </c>
      <c r="AA180" s="24">
        <f t="shared" si="90"/>
        <v>2.6303365771629113E-3</v>
      </c>
      <c r="AB180" s="24">
        <f t="shared" si="90"/>
        <v>1.4353450934084618E-4</v>
      </c>
      <c r="AC180" s="24">
        <f t="shared" si="90"/>
        <v>3.7142863258001336E-4</v>
      </c>
      <c r="AD180" s="24">
        <f t="shared" si="90"/>
        <v>8.0027880015881597E-2</v>
      </c>
      <c r="AE180" s="24">
        <f t="shared" si="90"/>
        <v>1.3274573882606953E-3</v>
      </c>
      <c r="AF180" s="24">
        <f t="shared" si="90"/>
        <v>2.8034003352307073E-4</v>
      </c>
      <c r="AG180" s="24">
        <f t="shared" si="90"/>
        <v>-2.8153645677021403E-4</v>
      </c>
      <c r="AH180" s="24">
        <f t="shared" si="90"/>
        <v>2.1084106901726409E-4</v>
      </c>
      <c r="AI180" s="24">
        <f t="shared" si="90"/>
        <v>5.6248215867190027E-4</v>
      </c>
      <c r="AJ180" s="24">
        <f t="shared" si="90"/>
        <v>-5.4486183478425127E-4</v>
      </c>
      <c r="AK180" s="24">
        <f t="shared" si="90"/>
        <v>1.6925223160666981E-3</v>
      </c>
      <c r="AL180" s="24">
        <f t="shared" si="90"/>
        <v>7.1681663185812832E-4</v>
      </c>
      <c r="AM180" s="24">
        <f t="shared" si="90"/>
        <v>2.0351041414762802E-3</v>
      </c>
      <c r="AN180" s="24">
        <f t="shared" si="90"/>
        <v>8.925879026812071E-5</v>
      </c>
      <c r="AO180" s="24">
        <f t="shared" si="90"/>
        <v>-3.1620662014554389E-4</v>
      </c>
      <c r="AP180" s="24">
        <f t="shared" si="90"/>
        <v>-8.1859949663862595E-3</v>
      </c>
      <c r="AQ180" s="24">
        <f t="shared" si="90"/>
        <v>1.280062704789145E-4</v>
      </c>
      <c r="AR180" s="24">
        <f t="shared" si="90"/>
        <v>-3.978077974759166E-4</v>
      </c>
      <c r="AS180" s="24">
        <f t="shared" si="90"/>
        <v>-2.2455068024373413E-4</v>
      </c>
      <c r="AT180" s="24">
        <f t="shared" si="90"/>
        <v>-3.2717231057050472E-5</v>
      </c>
      <c r="AU180" s="24">
        <f t="shared" si="90"/>
        <v>-2.8584964672390752E-5</v>
      </c>
      <c r="AV180" s="24">
        <f t="shared" si="90"/>
        <v>1.9765182389905643E-6</v>
      </c>
      <c r="AW180" s="24">
        <f t="shared" si="90"/>
        <v>-2.8042780368739372E-6</v>
      </c>
      <c r="AX180" s="24">
        <f t="shared" si="90"/>
        <v>-9.3178760834013479E-6</v>
      </c>
      <c r="AY180" s="24">
        <f t="shared" si="90"/>
        <v>2.231700370319513E-3</v>
      </c>
      <c r="AZ180" s="24">
        <f t="shared" si="90"/>
        <v>-1.0063291127266188E-4</v>
      </c>
      <c r="BA180" s="24" t="e">
        <f t="shared" si="90"/>
        <v>#DIV/0!</v>
      </c>
      <c r="BB180" s="24">
        <f t="shared" si="90"/>
        <v>-5.2486474666262454E-8</v>
      </c>
      <c r="BC180" s="24">
        <f t="shared" si="90"/>
        <v>-8.8793884096282052E-5</v>
      </c>
      <c r="BD180" s="24">
        <f t="shared" si="90"/>
        <v>-1.4590972799835355E-5</v>
      </c>
      <c r="BE180" s="24">
        <f t="shared" si="90"/>
        <v>1.7349628274309564E-6</v>
      </c>
      <c r="BF180" s="24">
        <f t="shared" si="90"/>
        <v>1.0002713441433417E-4</v>
      </c>
      <c r="BG180" s="24">
        <f t="shared" si="90"/>
        <v>-3.0123699540516819E-6</v>
      </c>
      <c r="BH180" s="24">
        <f t="shared" si="90"/>
        <v>-2.6075099061784875E-7</v>
      </c>
      <c r="BI180" s="24">
        <f t="shared" si="90"/>
        <v>-4.5677740067505206E-5</v>
      </c>
      <c r="BJ180" s="24">
        <f t="shared" si="90"/>
        <v>-1.0192289622300819E-4</v>
      </c>
      <c r="BK180" s="24">
        <f t="shared" si="90"/>
        <v>-3.6605134399073498E-4</v>
      </c>
      <c r="BL180" s="24">
        <f t="shared" si="90"/>
        <v>5.3475973043758326E-5</v>
      </c>
      <c r="BM180" s="24">
        <f t="shared" si="90"/>
        <v>-9.1804931894558901E-4</v>
      </c>
      <c r="BN180" s="24">
        <f t="shared" si="90"/>
        <v>2.1480309795629817E-4</v>
      </c>
      <c r="BO180" s="24">
        <f t="shared" si="90"/>
        <v>1.7333338485738458E-4</v>
      </c>
      <c r="BP180" s="24">
        <f t="shared" si="90"/>
        <v>5.914107072567729E-5</v>
      </c>
      <c r="BQ180" s="24">
        <f t="shared" si="89"/>
        <v>-3.0634823377148325E-6</v>
      </c>
      <c r="BR180" s="24">
        <f t="shared" si="89"/>
        <v>3.0255190131786328E-7</v>
      </c>
      <c r="BS180" s="24">
        <f t="shared" si="89"/>
        <v>-5.760950360450205E-5</v>
      </c>
      <c r="BT180" s="24">
        <f t="shared" si="89"/>
        <v>-2.7798939034089338E-5</v>
      </c>
      <c r="BU180" s="24">
        <f t="shared" si="89"/>
        <v>-1.4317013043711055E-4</v>
      </c>
      <c r="BV180" s="24">
        <f t="shared" si="89"/>
        <v>-3.7876466184657452E-3</v>
      </c>
      <c r="BW180" s="24">
        <f t="shared" si="89"/>
        <v>8.4640427483854215E-4</v>
      </c>
      <c r="BX180" s="24">
        <f t="shared" si="89"/>
        <v>7.2715299551091514E-4</v>
      </c>
      <c r="BY180" s="24">
        <f t="shared" si="89"/>
        <v>-4.7332047718341193E-4</v>
      </c>
      <c r="BZ180" s="24">
        <f t="shared" si="89"/>
        <v>5.1883627884881132E-6</v>
      </c>
      <c r="CA180" s="24">
        <f t="shared" si="89"/>
        <v>5.5807775829291237E-3</v>
      </c>
      <c r="CB180" s="24">
        <f t="shared" si="89"/>
        <v>-4.00493679888795E-6</v>
      </c>
      <c r="CC180" s="24">
        <f t="shared" si="89"/>
        <v>2.0417823111059469E-2</v>
      </c>
      <c r="CD180" s="24">
        <f t="shared" si="89"/>
        <v>-1.0354657030412821E-6</v>
      </c>
      <c r="CE180" s="24">
        <f t="shared" si="89"/>
        <v>-5.3256062975632538E-6</v>
      </c>
      <c r="CF180" s="24">
        <f t="shared" si="89"/>
        <v>-1.2836128800498131E-4</v>
      </c>
      <c r="CG180" s="24">
        <f t="shared" si="89"/>
        <v>1.6309385398864439E-5</v>
      </c>
      <c r="CH180" s="24">
        <f t="shared" si="89"/>
        <v>2.3990478721062011E-3</v>
      </c>
      <c r="CI180" s="24">
        <f t="shared" si="89"/>
        <v>1.7066144264570964E-5</v>
      </c>
      <c r="CJ180" s="24">
        <f t="shared" si="89"/>
        <v>-2.184278339701748E-6</v>
      </c>
      <c r="CK180" s="24">
        <f t="shared" si="89"/>
        <v>2.0316380420803285E-3</v>
      </c>
      <c r="CL180" s="24">
        <f t="shared" si="89"/>
        <v>1.1340311840590902E-3</v>
      </c>
      <c r="CM180" s="24">
        <f t="shared" si="89"/>
        <v>-3.6100395511261291E-5</v>
      </c>
      <c r="CN180" s="24">
        <f t="shared" si="89"/>
        <v>9.0326673748721191E-5</v>
      </c>
      <c r="CO180" s="24">
        <f t="shared" si="89"/>
        <v>-2.1808105304739198E-6</v>
      </c>
      <c r="CP180" s="24">
        <f t="shared" si="89"/>
        <v>7.3963566619710073E-7</v>
      </c>
      <c r="CQ180" s="24">
        <f t="shared" si="89"/>
        <v>1.3167335079523996E-3</v>
      </c>
      <c r="CR180" s="24">
        <f t="shared" si="89"/>
        <v>2.7943935776866683E-4</v>
      </c>
      <c r="CS180" s="24">
        <f t="shared" si="89"/>
        <v>7.6826534179187902E-6</v>
      </c>
      <c r="CT180" s="24">
        <f t="shared" si="89"/>
        <v>3.3919788529366993E-4</v>
      </c>
      <c r="CU180" s="24">
        <f t="shared" si="89"/>
        <v>1.3352504830008787E-4</v>
      </c>
      <c r="CV180" s="24">
        <f t="shared" si="89"/>
        <v>3.5697349805836167E-5</v>
      </c>
    </row>
    <row r="181" spans="2:101">
      <c r="B181" s="140">
        <v>2023</v>
      </c>
      <c r="C181" t="s">
        <v>1</v>
      </c>
      <c r="D181" s="24">
        <f t="shared" si="87"/>
        <v>-2.3743043903785301E-3</v>
      </c>
      <c r="E181" s="24">
        <f t="shared" si="90"/>
        <v>-4.8686177238133998E-4</v>
      </c>
      <c r="F181" s="24">
        <f t="shared" si="90"/>
        <v>2.420342798405825E-4</v>
      </c>
      <c r="G181" s="24">
        <f t="shared" si="90"/>
        <v>4.850031488457181E-4</v>
      </c>
      <c r="H181" s="24">
        <f t="shared" si="90"/>
        <v>1.7241431121135185E-4</v>
      </c>
      <c r="I181" s="24">
        <f t="shared" si="90"/>
        <v>-1.9216267448224614E-3</v>
      </c>
      <c r="J181" s="24">
        <f t="shared" si="90"/>
        <v>2.682109852295439E-4</v>
      </c>
      <c r="K181" s="24">
        <f t="shared" si="90"/>
        <v>-3.6704625822038769E-3</v>
      </c>
      <c r="L181" s="24">
        <f t="shared" si="90"/>
        <v>-1.8556946840029957E-2</v>
      </c>
      <c r="M181" s="24">
        <f t="shared" si="90"/>
        <v>-1.835698478165579E-5</v>
      </c>
      <c r="N181" s="24">
        <f t="shared" si="90"/>
        <v>4.0523229673294697E-6</v>
      </c>
      <c r="O181" s="24">
        <f t="shared" si="90"/>
        <v>6.8774864073985271E-5</v>
      </c>
      <c r="P181" s="24">
        <f t="shared" si="90"/>
        <v>-3.9169007128838024E-5</v>
      </c>
      <c r="Q181" s="24">
        <f t="shared" si="90"/>
        <v>-8.1147986501561547E-7</v>
      </c>
      <c r="R181" s="24">
        <f t="shared" si="90"/>
        <v>3.5920060888291778E-4</v>
      </c>
      <c r="S181" s="24">
        <f t="shared" si="90"/>
        <v>1.7595762048559861E-4</v>
      </c>
      <c r="T181" s="24">
        <f t="shared" si="90"/>
        <v>1.4675797601567087E-3</v>
      </c>
      <c r="U181" s="24">
        <f t="shared" si="90"/>
        <v>-2.8187347456625557E-4</v>
      </c>
      <c r="V181" s="24">
        <f t="shared" si="90"/>
        <v>6.6587736846157402E-4</v>
      </c>
      <c r="W181" s="24">
        <f t="shared" si="90"/>
        <v>6.3536090233307226E-4</v>
      </c>
      <c r="X181" s="24">
        <f t="shared" si="90"/>
        <v>2.1539159613673379E-3</v>
      </c>
      <c r="Y181" s="24">
        <f t="shared" si="90"/>
        <v>5.0132977323736336E-4</v>
      </c>
      <c r="Z181" s="24">
        <f t="shared" si="90"/>
        <v>6.4704939071414877E-4</v>
      </c>
      <c r="AA181" s="24">
        <f t="shared" si="90"/>
        <v>1.8353532188489528E-4</v>
      </c>
      <c r="AB181" s="24">
        <f t="shared" si="90"/>
        <v>-4.5281264414142131E-6</v>
      </c>
      <c r="AC181" s="24">
        <f t="shared" si="90"/>
        <v>6.6250371993391733E-4</v>
      </c>
      <c r="AD181" s="24">
        <f t="shared" si="90"/>
        <v>-2.9251452508223378E-4</v>
      </c>
      <c r="AE181" s="24">
        <f t="shared" si="90"/>
        <v>1.2788317794946259E-4</v>
      </c>
      <c r="AF181" s="24">
        <f t="shared" si="90"/>
        <v>1.4940728596223119E-4</v>
      </c>
      <c r="AG181" s="24">
        <f t="shared" si="90"/>
        <v>5.2898749498650715E-4</v>
      </c>
      <c r="AH181" s="24">
        <f t="shared" si="90"/>
        <v>2.8068892269180953E-3</v>
      </c>
      <c r="AI181" s="24">
        <f t="shared" si="90"/>
        <v>1.0901697445033156E-5</v>
      </c>
      <c r="AJ181" s="24">
        <f t="shared" si="90"/>
        <v>1.4532581571984581E-3</v>
      </c>
      <c r="AK181" s="24">
        <f t="shared" si="90"/>
        <v>6.4490725509808308E-4</v>
      </c>
      <c r="AL181" s="24">
        <f t="shared" si="90"/>
        <v>9.1522136679120171E-4</v>
      </c>
      <c r="AM181" s="24">
        <f t="shared" si="90"/>
        <v>4.4889145106060194E-3</v>
      </c>
      <c r="AN181" s="24">
        <f t="shared" si="90"/>
        <v>1.2797554126501525E-6</v>
      </c>
      <c r="AO181" s="24">
        <f t="shared" si="90"/>
        <v>-9.4690480077600653E-4</v>
      </c>
      <c r="AP181" s="24">
        <f t="shared" si="90"/>
        <v>-9.437156022601402E-3</v>
      </c>
      <c r="AQ181" s="24">
        <f t="shared" si="90"/>
        <v>5.1381008188058983E-5</v>
      </c>
      <c r="AR181" s="24">
        <f t="shared" si="90"/>
        <v>-2.7213981356156655E-4</v>
      </c>
      <c r="AS181" s="24">
        <f t="shared" si="90"/>
        <v>-1.8422787688726782E-4</v>
      </c>
      <c r="AT181" s="24">
        <f t="shared" si="90"/>
        <v>-1.4223543635486934E-5</v>
      </c>
      <c r="AU181" s="24">
        <f t="shared" si="90"/>
        <v>2.0226457964127827E-4</v>
      </c>
      <c r="AV181" s="24">
        <f t="shared" si="90"/>
        <v>-1.6620795269597743E-6</v>
      </c>
      <c r="AW181" s="24">
        <f t="shared" si="90"/>
        <v>2.8387985612547028E-7</v>
      </c>
      <c r="AX181" s="24">
        <f t="shared" si="90"/>
        <v>-9.7341497116301037E-6</v>
      </c>
      <c r="AY181" s="24">
        <f t="shared" si="90"/>
        <v>1.2263930462348143E-3</v>
      </c>
      <c r="AZ181" s="24">
        <f t="shared" si="90"/>
        <v>7.8350895907199265E-5</v>
      </c>
      <c r="BA181" s="24">
        <f t="shared" si="90"/>
        <v>1.1191254105802207E-7</v>
      </c>
      <c r="BB181" s="24">
        <f t="shared" si="90"/>
        <v>-2.5642344978089575E-7</v>
      </c>
      <c r="BC181" s="24">
        <f t="shared" si="90"/>
        <v>-4.8209851420088707E-5</v>
      </c>
      <c r="BD181" s="24">
        <f t="shared" si="90"/>
        <v>-7.0009761465246582E-6</v>
      </c>
      <c r="BE181" s="24">
        <f t="shared" si="90"/>
        <v>-1.2324019579470615E-4</v>
      </c>
      <c r="BF181" s="24">
        <f t="shared" si="90"/>
        <v>8.4575856564872459E-7</v>
      </c>
      <c r="BG181" s="24">
        <f t="shared" si="90"/>
        <v>-1.035133726502866E-5</v>
      </c>
      <c r="BH181" s="24">
        <f t="shared" si="90"/>
        <v>4.8890964490499661E-5</v>
      </c>
      <c r="BI181" s="24">
        <f t="shared" si="90"/>
        <v>-4.9738341264298413E-5</v>
      </c>
      <c r="BJ181" s="24">
        <f t="shared" si="90"/>
        <v>-1.6954218190916201E-4</v>
      </c>
      <c r="BK181" s="24">
        <f t="shared" si="90"/>
        <v>-2.4635291431093082E-4</v>
      </c>
      <c r="BL181" s="24">
        <f t="shared" si="90"/>
        <v>-4.1271044451978258E-4</v>
      </c>
      <c r="BM181" s="24">
        <f t="shared" si="90"/>
        <v>-9.4429137029117998E-4</v>
      </c>
      <c r="BN181" s="24">
        <f t="shared" si="90"/>
        <v>-2.0772119033586148E-4</v>
      </c>
      <c r="BO181" s="24">
        <f t="shared" si="90"/>
        <v>-6.4261177495810652E-5</v>
      </c>
      <c r="BP181" s="24">
        <f t="shared" si="90"/>
        <v>-2.5415791363786424E-5</v>
      </c>
      <c r="BQ181" s="24">
        <f t="shared" si="89"/>
        <v>-7.3016450568136129E-6</v>
      </c>
      <c r="BR181" s="24">
        <f t="shared" si="89"/>
        <v>-2.8590443213033886E-7</v>
      </c>
      <c r="BS181" s="24">
        <f t="shared" si="89"/>
        <v>2.7778766925545322E-5</v>
      </c>
      <c r="BT181" s="24">
        <f t="shared" si="89"/>
        <v>1.41956283236066E-4</v>
      </c>
      <c r="BU181" s="24">
        <f t="shared" si="89"/>
        <v>2.4459088687999218E-4</v>
      </c>
      <c r="BV181" s="24">
        <f t="shared" si="89"/>
        <v>1.2816309881736727E-2</v>
      </c>
      <c r="BW181" s="24">
        <f t="shared" si="89"/>
        <v>2.1203157536696933E-3</v>
      </c>
      <c r="BX181" s="24">
        <f t="shared" si="89"/>
        <v>-6.7308424072528E-4</v>
      </c>
      <c r="BY181" s="24">
        <f t="shared" si="89"/>
        <v>2.5949534216847297E-4</v>
      </c>
      <c r="BZ181" s="24">
        <f t="shared" si="89"/>
        <v>-1.1656846444901929E-6</v>
      </c>
      <c r="CA181" s="24">
        <f t="shared" si="89"/>
        <v>1.0167736965791589E-2</v>
      </c>
      <c r="CB181" s="24">
        <f t="shared" si="89"/>
        <v>4.6550213511744356E-5</v>
      </c>
      <c r="CC181" s="24">
        <f t="shared" si="89"/>
        <v>2.6064650735074459E-3</v>
      </c>
      <c r="CD181" s="24">
        <f t="shared" si="89"/>
        <v>-9.404407670908789E-7</v>
      </c>
      <c r="CE181" s="24">
        <f t="shared" si="89"/>
        <v>1.6477017435254145E-6</v>
      </c>
      <c r="CF181" s="24">
        <f t="shared" si="89"/>
        <v>-2.056821031264979E-4</v>
      </c>
      <c r="CG181" s="24">
        <f t="shared" si="89"/>
        <v>-3.1284613021774612E-5</v>
      </c>
      <c r="CH181" s="24">
        <f t="shared" si="89"/>
        <v>-2.5633055034580938E-4</v>
      </c>
      <c r="CI181" s="24">
        <f t="shared" si="89"/>
        <v>1.4877196586194365E-3</v>
      </c>
      <c r="CJ181" s="24">
        <f t="shared" si="89"/>
        <v>-7.5700576997376672E-6</v>
      </c>
      <c r="CK181" s="24">
        <f t="shared" si="89"/>
        <v>-7.7602500802540365E-4</v>
      </c>
      <c r="CL181" s="24">
        <f t="shared" si="89"/>
        <v>-9.4416765658806713E-5</v>
      </c>
      <c r="CM181" s="24">
        <f t="shared" si="89"/>
        <v>-5.8235840319613217E-5</v>
      </c>
      <c r="CN181" s="24">
        <f t="shared" si="89"/>
        <v>-4.3294519881845216E-4</v>
      </c>
      <c r="CO181" s="24">
        <f t="shared" si="89"/>
        <v>-5.7852751003772712E-6</v>
      </c>
      <c r="CP181" s="24">
        <f t="shared" si="89"/>
        <v>5.3273196275520901E-6</v>
      </c>
      <c r="CQ181" s="24">
        <f t="shared" si="89"/>
        <v>4.3932053531142165E-3</v>
      </c>
      <c r="CR181" s="24">
        <f t="shared" si="89"/>
        <v>7.6287375451521567E-4</v>
      </c>
      <c r="CS181" s="24">
        <f t="shared" si="89"/>
        <v>-1.4553568253941355E-4</v>
      </c>
      <c r="CT181" s="24">
        <f t="shared" si="89"/>
        <v>-1.9267957202918429E-4</v>
      </c>
      <c r="CU181" s="24">
        <f t="shared" si="89"/>
        <v>2.2978970961251575E-7</v>
      </c>
      <c r="CV181" s="24">
        <f t="shared" si="89"/>
        <v>8.4654417704415144E-5</v>
      </c>
    </row>
    <row r="182" spans="2:101">
      <c r="B182" s="140"/>
      <c r="C182" t="s">
        <v>2</v>
      </c>
      <c r="D182" s="24">
        <f t="shared" si="87"/>
        <v>-9.6921386465632464E-4</v>
      </c>
      <c r="E182" s="24">
        <f t="shared" si="90"/>
        <v>-9.3010763398512433E-5</v>
      </c>
      <c r="F182" s="24">
        <f t="shared" si="90"/>
        <v>2.2569578835436028E-3</v>
      </c>
      <c r="G182" s="24">
        <f t="shared" si="90"/>
        <v>2.5235341551735341E-4</v>
      </c>
      <c r="H182" s="24">
        <f t="shared" si="90"/>
        <v>-6.9480084143689526E-5</v>
      </c>
      <c r="I182" s="24">
        <f t="shared" si="90"/>
        <v>-5.0510714413469562E-3</v>
      </c>
      <c r="J182" s="24">
        <f t="shared" si="90"/>
        <v>1.5003293800356973E-4</v>
      </c>
      <c r="K182" s="24">
        <f t="shared" si="90"/>
        <v>-3.6952267955015143E-3</v>
      </c>
      <c r="L182" s="24">
        <f t="shared" si="90"/>
        <v>-1.6360143494653472E-2</v>
      </c>
      <c r="M182" s="24">
        <f t="shared" si="90"/>
        <v>2.6077135583253068E-4</v>
      </c>
      <c r="N182" s="24">
        <f t="shared" si="90"/>
        <v>-5.5060977529262195E-6</v>
      </c>
      <c r="O182" s="24">
        <f t="shared" si="90"/>
        <v>7.4336256623894553E-5</v>
      </c>
      <c r="P182" s="24">
        <f t="shared" si="90"/>
        <v>-2.3660417246880025E-5</v>
      </c>
      <c r="Q182" s="24">
        <f t="shared" si="90"/>
        <v>5.8778295417832456E-6</v>
      </c>
      <c r="R182" s="24">
        <f t="shared" si="90"/>
        <v>-9.0215547151415026E-3</v>
      </c>
      <c r="S182" s="24">
        <f t="shared" si="90"/>
        <v>1.2959096401012456E-4</v>
      </c>
      <c r="T182" s="24">
        <f t="shared" si="90"/>
        <v>9.8988413107903772E-4</v>
      </c>
      <c r="U182" s="24">
        <f t="shared" si="90"/>
        <v>-1.5589213589131231E-5</v>
      </c>
      <c r="V182" s="24">
        <f t="shared" si="90"/>
        <v>1.335378397552393E-3</v>
      </c>
      <c r="W182" s="24">
        <f t="shared" si="90"/>
        <v>5.4634632607325874E-4</v>
      </c>
      <c r="X182" s="24">
        <f t="shared" si="90"/>
        <v>3.6725954621792884E-4</v>
      </c>
      <c r="Y182" s="24">
        <f t="shared" si="90"/>
        <v>1.5830191643437041E-4</v>
      </c>
      <c r="Z182" s="24">
        <f t="shared" si="90"/>
        <v>2.1952748797130162E-4</v>
      </c>
      <c r="AA182" s="24">
        <f t="shared" si="90"/>
        <v>3.6279636595726987E-6</v>
      </c>
      <c r="AB182" s="24">
        <f t="shared" si="90"/>
        <v>2.137385053019692E-4</v>
      </c>
      <c r="AC182" s="24">
        <f t="shared" si="90"/>
        <v>3.0027732336758237E-2</v>
      </c>
      <c r="AD182" s="24">
        <f t="shared" si="90"/>
        <v>-0.16169110574714704</v>
      </c>
      <c r="AE182" s="24">
        <f t="shared" si="90"/>
        <v>-5.572633857349376E-4</v>
      </c>
      <c r="AF182" s="24">
        <f t="shared" si="90"/>
        <v>1.1354250648762202E-4</v>
      </c>
      <c r="AG182" s="24">
        <f t="shared" si="90"/>
        <v>9.5390857094375609E-4</v>
      </c>
      <c r="AH182" s="24">
        <f t="shared" si="90"/>
        <v>-2.3207840421480264E-4</v>
      </c>
      <c r="AI182" s="24">
        <f t="shared" si="90"/>
        <v>1.6487847461887564E-4</v>
      </c>
      <c r="AJ182" s="24">
        <f t="shared" si="90"/>
        <v>2.0100165508403671E-3</v>
      </c>
      <c r="AK182" s="24">
        <f t="shared" si="90"/>
        <v>3.8197106910298586E-4</v>
      </c>
      <c r="AL182" s="24">
        <f t="shared" si="90"/>
        <v>2.079970475641444E-4</v>
      </c>
      <c r="AM182" s="24">
        <f t="shared" si="90"/>
        <v>0</v>
      </c>
      <c r="AN182" s="24">
        <f t="shared" si="90"/>
        <v>1.6704707824565718E-6</v>
      </c>
      <c r="AO182" s="24">
        <f t="shared" si="90"/>
        <v>1.3460458035503542E-3</v>
      </c>
      <c r="AP182" s="24">
        <f t="shared" si="90"/>
        <v>-6.3449844964235773E-3</v>
      </c>
      <c r="AQ182" s="24">
        <f t="shared" si="90"/>
        <v>2.278854854453422E-4</v>
      </c>
      <c r="AR182" s="24">
        <f t="shared" si="90"/>
        <v>-2.3309199046638778E-4</v>
      </c>
      <c r="AS182" s="24">
        <f t="shared" si="90"/>
        <v>-2.8476011631457021E-5</v>
      </c>
      <c r="AT182" s="24">
        <f t="shared" si="90"/>
        <v>-2.9416024247138617E-5</v>
      </c>
      <c r="AU182" s="24">
        <f t="shared" si="90"/>
        <v>9.4661527294604092E-5</v>
      </c>
      <c r="AV182" s="24">
        <f t="shared" si="90"/>
        <v>1.2235578192125809E-6</v>
      </c>
      <c r="AW182" s="24">
        <f t="shared" si="90"/>
        <v>5.883530279711576E-7</v>
      </c>
      <c r="AX182" s="24">
        <f t="shared" si="90"/>
        <v>1.2771667248065207E-8</v>
      </c>
      <c r="AY182" s="24">
        <f t="shared" si="90"/>
        <v>8.1331385397157496E-4</v>
      </c>
      <c r="AZ182" s="24">
        <f t="shared" si="90"/>
        <v>2.4412273806839629E-4</v>
      </c>
      <c r="BA182" s="24" t="e">
        <f t="shared" si="90"/>
        <v>#DIV/0!</v>
      </c>
      <c r="BB182" s="24">
        <f t="shared" si="90"/>
        <v>-1.0728967160031373E-7</v>
      </c>
      <c r="BC182" s="24">
        <f t="shared" si="90"/>
        <v>-6.2023847048045311E-5</v>
      </c>
      <c r="BD182" s="24">
        <f t="shared" si="90"/>
        <v>6.7129203767336601E-6</v>
      </c>
      <c r="BE182" s="24">
        <f t="shared" si="90"/>
        <v>-1.2257233386762096E-4</v>
      </c>
      <c r="BF182" s="24">
        <f t="shared" si="90"/>
        <v>4.482396203342339E-8</v>
      </c>
      <c r="BG182" s="24">
        <f t="shared" si="90"/>
        <v>2.1096502478817394E-5</v>
      </c>
      <c r="BH182" s="24">
        <f t="shared" si="90"/>
        <v>-6.585059603877687E-6</v>
      </c>
      <c r="BI182" s="24">
        <f t="shared" si="90"/>
        <v>-6.0267854196435445E-5</v>
      </c>
      <c r="BJ182" s="24">
        <f t="shared" si="90"/>
        <v>-2.0690612737907514E-4</v>
      </c>
      <c r="BK182" s="24">
        <f t="shared" si="90"/>
        <v>-8.1618542328817194E-5</v>
      </c>
      <c r="BL182" s="24">
        <f t="shared" si="90"/>
        <v>-1.2459933335326638E-4</v>
      </c>
      <c r="BM182" s="24">
        <f t="shared" si="90"/>
        <v>-9.4890198136419936E-4</v>
      </c>
      <c r="BN182" s="24">
        <f t="shared" si="90"/>
        <v>1.3855866349392037E-4</v>
      </c>
      <c r="BO182" s="24">
        <f t="shared" si="90"/>
        <v>6.8418243528967833E-5</v>
      </c>
      <c r="BP182" s="24">
        <f t="shared" ref="BP182:CV185" si="91">+BP156*BP129</f>
        <v>3.9585387242150294E-5</v>
      </c>
      <c r="BQ182" s="24">
        <f t="shared" si="91"/>
        <v>-3.6600205388553918E-6</v>
      </c>
      <c r="BR182" s="24">
        <f t="shared" si="91"/>
        <v>1.8756311638302964E-7</v>
      </c>
      <c r="BS182" s="24">
        <f t="shared" si="91"/>
        <v>2.0815530725947832E-4</v>
      </c>
      <c r="BT182" s="24">
        <f t="shared" si="91"/>
        <v>1.3385107409964679E-4</v>
      </c>
      <c r="BU182" s="24">
        <f t="shared" si="91"/>
        <v>6.2130483992753273E-4</v>
      </c>
      <c r="BV182" s="24">
        <f t="shared" si="91"/>
        <v>1.4699519381039663E-2</v>
      </c>
      <c r="BW182" s="24">
        <f t="shared" si="91"/>
        <v>-7.1725292111270338E-3</v>
      </c>
      <c r="BX182" s="24">
        <f t="shared" si="91"/>
        <v>-9.5544071206691769E-4</v>
      </c>
      <c r="BY182" s="24">
        <f t="shared" si="91"/>
        <v>-1.5853071739667232E-3</v>
      </c>
      <c r="BZ182" s="24">
        <f t="shared" si="91"/>
        <v>-1.2743594451710587E-6</v>
      </c>
      <c r="CA182" s="24">
        <f t="shared" si="91"/>
        <v>5.5448635825312165E-3</v>
      </c>
      <c r="CB182" s="24">
        <f t="shared" si="91"/>
        <v>3.8309030836248083E-4</v>
      </c>
      <c r="CC182" s="24">
        <f t="shared" si="91"/>
        <v>5.8496037453869046E-4</v>
      </c>
      <c r="CD182" s="24">
        <f t="shared" si="91"/>
        <v>-3.2715371065278561E-7</v>
      </c>
      <c r="CE182" s="24">
        <f t="shared" si="91"/>
        <v>-7.7365288978245439E-6</v>
      </c>
      <c r="CF182" s="24">
        <f t="shared" si="91"/>
        <v>-1.252913339924857E-5</v>
      </c>
      <c r="CG182" s="24">
        <f t="shared" si="91"/>
        <v>-4.7515148038801881E-5</v>
      </c>
      <c r="CH182" s="24">
        <f t="shared" si="91"/>
        <v>1.0314475216348898E-3</v>
      </c>
      <c r="CI182" s="24">
        <f t="shared" si="91"/>
        <v>3.1065861690818364E-3</v>
      </c>
      <c r="CJ182" s="24">
        <f t="shared" si="91"/>
        <v>-2.3717149326088355E-6</v>
      </c>
      <c r="CK182" s="24">
        <f t="shared" si="91"/>
        <v>1.4571641032841021E-2</v>
      </c>
      <c r="CL182" s="24">
        <f t="shared" si="91"/>
        <v>2.5467883307869196E-5</v>
      </c>
      <c r="CM182" s="24">
        <f t="shared" si="91"/>
        <v>-3.7501735835857448E-5</v>
      </c>
      <c r="CN182" s="24">
        <f t="shared" si="91"/>
        <v>-2.6536461507940213E-5</v>
      </c>
      <c r="CO182" s="24">
        <f t="shared" si="91"/>
        <v>-3.5032007759901961E-6</v>
      </c>
      <c r="CP182" s="24">
        <f t="shared" si="91"/>
        <v>7.2482695540759725E-4</v>
      </c>
      <c r="CQ182" s="24">
        <f t="shared" si="91"/>
        <v>-6.0465366029863603E-5</v>
      </c>
      <c r="CR182" s="24">
        <f t="shared" si="91"/>
        <v>1.181890408821579E-4</v>
      </c>
      <c r="CS182" s="24">
        <f t="shared" si="91"/>
        <v>-1.0677478703088326E-4</v>
      </c>
      <c r="CT182" s="24">
        <f t="shared" si="91"/>
        <v>-3.4381192949953986E-4</v>
      </c>
      <c r="CU182" s="24">
        <f t="shared" si="91"/>
        <v>-2.0420763661329588E-5</v>
      </c>
      <c r="CV182" s="24">
        <f t="shared" si="91"/>
        <v>3.256626113792003E-5</v>
      </c>
    </row>
    <row r="183" spans="2:101">
      <c r="B183" s="140"/>
      <c r="C183" t="s">
        <v>3</v>
      </c>
      <c r="D183" s="24">
        <f t="shared" si="87"/>
        <v>-5.6372130943301067E-4</v>
      </c>
      <c r="E183" s="24">
        <f t="shared" ref="E183:BP186" si="92">+E157*E130</f>
        <v>-1.0157621618811982E-3</v>
      </c>
      <c r="F183" s="24">
        <f t="shared" si="92"/>
        <v>7.2617004203815667E-5</v>
      </c>
      <c r="G183" s="24">
        <f t="shared" si="92"/>
        <v>-9.7641890307061522E-5</v>
      </c>
      <c r="H183" s="24">
        <f t="shared" si="92"/>
        <v>-4.678368677595541E-5</v>
      </c>
      <c r="I183" s="24">
        <f t="shared" si="92"/>
        <v>7.0390916617157498E-3</v>
      </c>
      <c r="J183" s="24">
        <f t="shared" si="92"/>
        <v>2.6477545197089612E-4</v>
      </c>
      <c r="K183" s="24">
        <f t="shared" si="92"/>
        <v>-4.0432279096326781E-3</v>
      </c>
      <c r="L183" s="24">
        <f t="shared" si="92"/>
        <v>-1.9549422964427566E-2</v>
      </c>
      <c r="M183" s="24">
        <f t="shared" si="92"/>
        <v>2.1387923780883501E-4</v>
      </c>
      <c r="N183" s="24">
        <f t="shared" si="92"/>
        <v>4.0181276015985453E-4</v>
      </c>
      <c r="O183" s="24">
        <f t="shared" si="92"/>
        <v>-6.5687913799175458E-5</v>
      </c>
      <c r="P183" s="24">
        <f t="shared" si="92"/>
        <v>1.9655608027657537E-5</v>
      </c>
      <c r="Q183" s="24">
        <f t="shared" si="92"/>
        <v>3.0170062087328843E-5</v>
      </c>
      <c r="R183" s="24">
        <f t="shared" si="92"/>
        <v>-4.3878707468291952E-3</v>
      </c>
      <c r="S183" s="24">
        <f t="shared" si="92"/>
        <v>-1.8949484715454599E-4</v>
      </c>
      <c r="T183" s="24">
        <f t="shared" si="92"/>
        <v>6.5413684322140533E-3</v>
      </c>
      <c r="U183" s="24">
        <f t="shared" si="92"/>
        <v>1.80468095862944E-4</v>
      </c>
      <c r="V183" s="24">
        <f t="shared" si="92"/>
        <v>8.9337628512176602E-4</v>
      </c>
      <c r="W183" s="24">
        <f t="shared" si="92"/>
        <v>1.1619643699545663E-3</v>
      </c>
      <c r="X183" s="24">
        <f t="shared" si="92"/>
        <v>-8.8497991905867686E-4</v>
      </c>
      <c r="Y183" s="24">
        <f t="shared" si="92"/>
        <v>1.7970087735505407E-5</v>
      </c>
      <c r="Z183" s="24">
        <f t="shared" si="92"/>
        <v>-2.4901961903707465E-4</v>
      </c>
      <c r="AA183" s="24">
        <f t="shared" si="92"/>
        <v>-2.0477450123598544E-5</v>
      </c>
      <c r="AB183" s="24">
        <f t="shared" si="92"/>
        <v>1.7357224759498939E-4</v>
      </c>
      <c r="AC183" s="24">
        <f t="shared" si="92"/>
        <v>8.493537114824163E-3</v>
      </c>
      <c r="AD183" s="24">
        <f t="shared" si="92"/>
        <v>-0.13483230933198995</v>
      </c>
      <c r="AE183" s="24">
        <f t="shared" si="92"/>
        <v>-9.2813212818935748E-4</v>
      </c>
      <c r="AF183" s="24">
        <f t="shared" si="92"/>
        <v>-3.5578237138448671E-4</v>
      </c>
      <c r="AG183" s="24">
        <f t="shared" si="92"/>
        <v>2.4918122609143974E-4</v>
      </c>
      <c r="AH183" s="24">
        <f t="shared" si="92"/>
        <v>-5.4636225917720617E-4</v>
      </c>
      <c r="AI183" s="24">
        <f t="shared" si="92"/>
        <v>8.0663038205438498E-5</v>
      </c>
      <c r="AJ183" s="24">
        <f t="shared" si="92"/>
        <v>7.1475643705787111E-4</v>
      </c>
      <c r="AK183" s="24">
        <f t="shared" si="92"/>
        <v>-1.3767274210621863E-4</v>
      </c>
      <c r="AL183" s="24">
        <f t="shared" si="92"/>
        <v>9.4567371122146582E-5</v>
      </c>
      <c r="AM183" s="24">
        <f t="shared" si="92"/>
        <v>1.3953976406812235E-4</v>
      </c>
      <c r="AN183" s="24">
        <f t="shared" si="92"/>
        <v>-3.275513594112645E-6</v>
      </c>
      <c r="AO183" s="24">
        <f t="shared" si="92"/>
        <v>-7.9690886409470327E-4</v>
      </c>
      <c r="AP183" s="24">
        <f t="shared" si="92"/>
        <v>-1.0516364040643407E-2</v>
      </c>
      <c r="AQ183" s="24">
        <f t="shared" si="92"/>
        <v>-6.5091174877867232E-4</v>
      </c>
      <c r="AR183" s="24">
        <f t="shared" si="92"/>
        <v>-1.788693997212776E-4</v>
      </c>
      <c r="AS183" s="24">
        <f t="shared" si="92"/>
        <v>3.2603662750885275E-6</v>
      </c>
      <c r="AT183" s="24">
        <f t="shared" si="92"/>
        <v>-2.6137643381853616E-6</v>
      </c>
      <c r="AU183" s="24">
        <f t="shared" si="92"/>
        <v>-1.9965555530664503E-5</v>
      </c>
      <c r="AV183" s="24">
        <f t="shared" si="92"/>
        <v>2.9269315854098085E-6</v>
      </c>
      <c r="AW183" s="24">
        <f t="shared" si="92"/>
        <v>1.013939307996822E-5</v>
      </c>
      <c r="AX183" s="24">
        <f t="shared" si="92"/>
        <v>-9.9523241600464894E-6</v>
      </c>
      <c r="AY183" s="24">
        <f t="shared" si="92"/>
        <v>-3.3949379492417841E-4</v>
      </c>
      <c r="AZ183" s="24">
        <f t="shared" si="92"/>
        <v>1.9533695224394535E-4</v>
      </c>
      <c r="BA183" s="24" t="e">
        <f t="shared" si="92"/>
        <v>#DIV/0!</v>
      </c>
      <c r="BB183" s="24">
        <f t="shared" si="92"/>
        <v>5.6892113886028064E-7</v>
      </c>
      <c r="BC183" s="24">
        <f t="shared" si="92"/>
        <v>-9.2840848230496312E-5</v>
      </c>
      <c r="BD183" s="24">
        <f t="shared" si="92"/>
        <v>5.3211389578522907E-5</v>
      </c>
      <c r="BE183" s="24">
        <f t="shared" si="92"/>
        <v>-1.3637198355951005E-4</v>
      </c>
      <c r="BF183" s="24">
        <f t="shared" si="92"/>
        <v>1.8705407406578547E-5</v>
      </c>
      <c r="BG183" s="24">
        <f t="shared" si="92"/>
        <v>-1.1795722064239517E-5</v>
      </c>
      <c r="BH183" s="24">
        <f t="shared" si="92"/>
        <v>-9.1160843179438967E-6</v>
      </c>
      <c r="BI183" s="24">
        <f t="shared" si="92"/>
        <v>-5.4050203170752187E-5</v>
      </c>
      <c r="BJ183" s="24">
        <f t="shared" si="92"/>
        <v>-1.8743265045871528E-4</v>
      </c>
      <c r="BK183" s="24">
        <f t="shared" si="92"/>
        <v>-1.0012521248592153E-4</v>
      </c>
      <c r="BL183" s="24">
        <f t="shared" si="92"/>
        <v>2.9856081237814337E-5</v>
      </c>
      <c r="BM183" s="24">
        <f t="shared" si="92"/>
        <v>-7.8985913297269477E-4</v>
      </c>
      <c r="BN183" s="24">
        <f t="shared" si="92"/>
        <v>-1.48767867992018E-4</v>
      </c>
      <c r="BO183" s="24">
        <f t="shared" si="92"/>
        <v>-3.7647278216142331E-5</v>
      </c>
      <c r="BP183" s="24">
        <f t="shared" si="92"/>
        <v>2.6104841679153792E-5</v>
      </c>
      <c r="BQ183" s="24">
        <f t="shared" si="91"/>
        <v>-3.9357185671180435E-7</v>
      </c>
      <c r="BR183" s="24">
        <f t="shared" si="91"/>
        <v>-1.1119888021349535E-6</v>
      </c>
      <c r="BS183" s="24">
        <f t="shared" si="91"/>
        <v>3.9917750876369314E-4</v>
      </c>
      <c r="BT183" s="24">
        <f t="shared" si="91"/>
        <v>8.3138175400259464E-5</v>
      </c>
      <c r="BU183" s="24">
        <f t="shared" si="91"/>
        <v>-1.1559696185243847E-4</v>
      </c>
      <c r="BV183" s="24">
        <f t="shared" si="91"/>
        <v>1.0762694464701399E-2</v>
      </c>
      <c r="BW183" s="24">
        <f t="shared" si="91"/>
        <v>-5.0624998715333089E-3</v>
      </c>
      <c r="BX183" s="24">
        <f t="shared" si="91"/>
        <v>-5.7076888049890158E-4</v>
      </c>
      <c r="BY183" s="24">
        <f t="shared" si="91"/>
        <v>-1.9208583088800124E-4</v>
      </c>
      <c r="BZ183" s="24">
        <f t="shared" si="91"/>
        <v>9.9765035946158745E-7</v>
      </c>
      <c r="CA183" s="24">
        <f t="shared" si="91"/>
        <v>1.722864212639712E-4</v>
      </c>
      <c r="CB183" s="24">
        <f t="shared" si="91"/>
        <v>7.7987010623550856E-4</v>
      </c>
      <c r="CC183" s="24">
        <f t="shared" si="91"/>
        <v>7.526904272746935E-5</v>
      </c>
      <c r="CD183" s="24">
        <f t="shared" si="91"/>
        <v>-5.3995177432781318E-7</v>
      </c>
      <c r="CE183" s="24">
        <f t="shared" si="91"/>
        <v>-3.9890482795926128E-6</v>
      </c>
      <c r="CF183" s="24">
        <f t="shared" si="91"/>
        <v>-2.0310214005806407E-5</v>
      </c>
      <c r="CG183" s="24">
        <f t="shared" si="91"/>
        <v>-7.4143304786185366E-6</v>
      </c>
      <c r="CH183" s="24">
        <f t="shared" si="91"/>
        <v>1.332317349511935E-3</v>
      </c>
      <c r="CI183" s="24">
        <f t="shared" si="91"/>
        <v>3.2764231283670107E-3</v>
      </c>
      <c r="CJ183" s="24">
        <f t="shared" si="91"/>
        <v>-1.6908138799686237E-5</v>
      </c>
      <c r="CK183" s="24">
        <f t="shared" si="91"/>
        <v>5.1832828752801461E-3</v>
      </c>
      <c r="CL183" s="24">
        <f t="shared" si="91"/>
        <v>-2.8065327054986751E-4</v>
      </c>
      <c r="CM183" s="24">
        <f t="shared" si="91"/>
        <v>-1.1610176624449677E-4</v>
      </c>
      <c r="CN183" s="24">
        <f t="shared" si="91"/>
        <v>-1.8582522814527628E-4</v>
      </c>
      <c r="CO183" s="24">
        <f t="shared" si="91"/>
        <v>2.1997350819872399E-5</v>
      </c>
      <c r="CP183" s="24">
        <f t="shared" si="91"/>
        <v>-7.1297213333621524E-7</v>
      </c>
      <c r="CQ183" s="24">
        <f t="shared" si="91"/>
        <v>2.0953980353841917E-4</v>
      </c>
      <c r="CR183" s="24">
        <f t="shared" si="91"/>
        <v>2.0800721333047377E-4</v>
      </c>
      <c r="CS183" s="24">
        <f t="shared" si="91"/>
        <v>-4.1692542729856811E-5</v>
      </c>
      <c r="CT183" s="24">
        <f t="shared" si="91"/>
        <v>-3.7465105257558987E-4</v>
      </c>
      <c r="CU183" s="24">
        <f t="shared" si="91"/>
        <v>-2.7947651014489924E-5</v>
      </c>
      <c r="CV183" s="24">
        <f t="shared" si="91"/>
        <v>1.8921905684386266E-5</v>
      </c>
    </row>
    <row r="184" spans="2:101">
      <c r="B184" s="140"/>
      <c r="C184" t="s">
        <v>4</v>
      </c>
      <c r="D184" s="24">
        <f t="shared" si="87"/>
        <v>8.9053257893974844E-4</v>
      </c>
      <c r="E184" s="24">
        <f t="shared" si="92"/>
        <v>-9.6179939845464086E-4</v>
      </c>
      <c r="F184" s="24">
        <f t="shared" si="92"/>
        <v>-6.317483181029394E-4</v>
      </c>
      <c r="G184" s="24">
        <f t="shared" si="92"/>
        <v>-1.0263859544959226E-4</v>
      </c>
      <c r="H184" s="24">
        <f t="shared" si="92"/>
        <v>-3.5058305964296124E-5</v>
      </c>
      <c r="I184" s="24">
        <f t="shared" si="92"/>
        <v>4.7156084248091024E-3</v>
      </c>
      <c r="J184" s="24">
        <f t="shared" si="92"/>
        <v>1.8898909899286152E-4</v>
      </c>
      <c r="K184" s="24">
        <f t="shared" si="92"/>
        <v>3.524817138747853E-3</v>
      </c>
      <c r="L184" s="24">
        <f t="shared" si="92"/>
        <v>-1.3243098108707413E-2</v>
      </c>
      <c r="M184" s="24">
        <f t="shared" si="92"/>
        <v>-3.2864409102164717E-7</v>
      </c>
      <c r="N184" s="24">
        <f t="shared" si="92"/>
        <v>1.7233207643749983E-4</v>
      </c>
      <c r="O184" s="24">
        <f t="shared" si="92"/>
        <v>2.3164254792645584E-4</v>
      </c>
      <c r="P184" s="24">
        <f t="shared" si="92"/>
        <v>-1.6698769168875359E-5</v>
      </c>
      <c r="Q184" s="24">
        <f t="shared" si="92"/>
        <v>1.6021782909223506E-5</v>
      </c>
      <c r="R184" s="24">
        <f t="shared" si="92"/>
        <v>1.6276531375418253E-3</v>
      </c>
      <c r="S184" s="24">
        <f t="shared" si="92"/>
        <v>-9.9452549016498424E-5</v>
      </c>
      <c r="T184" s="24">
        <f t="shared" si="92"/>
        <v>1.1414927140864304E-3</v>
      </c>
      <c r="U184" s="24">
        <f t="shared" si="92"/>
        <v>-2.4827558194489452E-5</v>
      </c>
      <c r="V184" s="24">
        <f t="shared" si="92"/>
        <v>-1.9411847384370146E-4</v>
      </c>
      <c r="W184" s="24">
        <f t="shared" si="92"/>
        <v>1.3420733207040886E-3</v>
      </c>
      <c r="X184" s="24">
        <f t="shared" si="92"/>
        <v>-1.8960240998435675E-3</v>
      </c>
      <c r="Y184" s="24">
        <f t="shared" si="92"/>
        <v>2.6929971969726633E-4</v>
      </c>
      <c r="Z184" s="24">
        <f t="shared" si="92"/>
        <v>2.4622273663148437E-4</v>
      </c>
      <c r="AA184" s="24">
        <f t="shared" si="92"/>
        <v>6.1936620282542911E-5</v>
      </c>
      <c r="AB184" s="24">
        <f t="shared" si="92"/>
        <v>2.7375096112451549E-5</v>
      </c>
      <c r="AC184" s="24">
        <f t="shared" si="92"/>
        <v>-4.7139139627695433E-4</v>
      </c>
      <c r="AD184" s="24">
        <f t="shared" si="92"/>
        <v>-3.8947460975082344E-2</v>
      </c>
      <c r="AE184" s="24">
        <f t="shared" si="92"/>
        <v>-5.5993221754705965E-4</v>
      </c>
      <c r="AF184" s="24">
        <f t="shared" si="92"/>
        <v>3.8956741807599841E-4</v>
      </c>
      <c r="AG184" s="24">
        <f t="shared" si="92"/>
        <v>7.1360988333623037E-4</v>
      </c>
      <c r="AH184" s="24">
        <f t="shared" si="92"/>
        <v>-2.1716985428599128E-4</v>
      </c>
      <c r="AI184" s="24">
        <f t="shared" si="92"/>
        <v>-3.1734174923582563E-4</v>
      </c>
      <c r="AJ184" s="24">
        <f t="shared" si="92"/>
        <v>2.6081294935728261E-3</v>
      </c>
      <c r="AK184" s="24">
        <f t="shared" si="92"/>
        <v>-4.974961316510535E-4</v>
      </c>
      <c r="AL184" s="24">
        <f t="shared" si="92"/>
        <v>-2.3148743307882253E-4</v>
      </c>
      <c r="AM184" s="24">
        <f t="shared" si="92"/>
        <v>-6.3512647597194434E-7</v>
      </c>
      <c r="AN184" s="24">
        <f t="shared" si="92"/>
        <v>-4.1455998314685486E-6</v>
      </c>
      <c r="AO184" s="24">
        <f t="shared" si="92"/>
        <v>-4.7065741899915257E-4</v>
      </c>
      <c r="AP184" s="24">
        <f t="shared" si="92"/>
        <v>1.3721035863933162E-3</v>
      </c>
      <c r="AQ184" s="24">
        <f t="shared" si="92"/>
        <v>-4.3963116417779008E-4</v>
      </c>
      <c r="AR184" s="24">
        <f t="shared" si="92"/>
        <v>-6.3165073850655798E-5</v>
      </c>
      <c r="AS184" s="24">
        <f t="shared" si="92"/>
        <v>2.5773279055608993E-4</v>
      </c>
      <c r="AT184" s="24">
        <f t="shared" si="92"/>
        <v>-4.3458434003850246E-6</v>
      </c>
      <c r="AU184" s="24">
        <f t="shared" si="92"/>
        <v>-8.6375128791250639E-5</v>
      </c>
      <c r="AV184" s="24">
        <f t="shared" si="92"/>
        <v>1.0477828107933117E-5</v>
      </c>
      <c r="AW184" s="24">
        <f t="shared" si="92"/>
        <v>4.592417261100227E-6</v>
      </c>
      <c r="AX184" s="24">
        <f t="shared" si="92"/>
        <v>9.7454446217036539E-6</v>
      </c>
      <c r="AY184" s="24">
        <f t="shared" si="92"/>
        <v>-4.5139379865287855E-4</v>
      </c>
      <c r="AZ184" s="24">
        <f t="shared" si="92"/>
        <v>-3.604033077595782E-5</v>
      </c>
      <c r="BA184" s="24">
        <f t="shared" si="92"/>
        <v>1.0332451771707992E-7</v>
      </c>
      <c r="BB184" s="24">
        <f t="shared" si="92"/>
        <v>1.2594753517662242E-4</v>
      </c>
      <c r="BC184" s="24">
        <f t="shared" si="92"/>
        <v>-9.4872542514070054E-5</v>
      </c>
      <c r="BD184" s="24">
        <f t="shared" si="92"/>
        <v>9.3999694115231867E-6</v>
      </c>
      <c r="BE184" s="24">
        <f t="shared" si="92"/>
        <v>5.3978696105976948E-5</v>
      </c>
      <c r="BF184" s="24">
        <f t="shared" si="92"/>
        <v>-7.1899737557016096E-5</v>
      </c>
      <c r="BG184" s="24">
        <f t="shared" si="92"/>
        <v>8.9646038118255268E-6</v>
      </c>
      <c r="BH184" s="24">
        <f t="shared" si="92"/>
        <v>1.0709006149917901E-4</v>
      </c>
      <c r="BI184" s="24">
        <f t="shared" si="92"/>
        <v>-2.6485104183190647E-5</v>
      </c>
      <c r="BJ184" s="24">
        <f t="shared" si="92"/>
        <v>-8.4993406400327092E-5</v>
      </c>
      <c r="BK184" s="24">
        <f t="shared" si="92"/>
        <v>-1.2595666086942042E-4</v>
      </c>
      <c r="BL184" s="24">
        <f t="shared" si="92"/>
        <v>-6.0911204823312667E-4</v>
      </c>
      <c r="BM184" s="24">
        <f t="shared" si="92"/>
        <v>-6.1297411884368171E-4</v>
      </c>
      <c r="BN184" s="24">
        <f t="shared" si="92"/>
        <v>2.2228762888829731E-4</v>
      </c>
      <c r="BO184" s="24">
        <f t="shared" si="92"/>
        <v>1.83383014176413E-5</v>
      </c>
      <c r="BP184" s="24">
        <f t="shared" si="92"/>
        <v>8.4378944918006305E-5</v>
      </c>
      <c r="BQ184" s="24">
        <f t="shared" si="91"/>
        <v>4.3238020769674475E-5</v>
      </c>
      <c r="BR184" s="24">
        <f t="shared" si="91"/>
        <v>5.3156985380681967E-7</v>
      </c>
      <c r="BS184" s="24">
        <f t="shared" si="91"/>
        <v>1.1788962040129504E-4</v>
      </c>
      <c r="BT184" s="24">
        <f t="shared" si="91"/>
        <v>1.4088216018510151E-4</v>
      </c>
      <c r="BU184" s="24">
        <f t="shared" si="91"/>
        <v>4.4327467033138058E-4</v>
      </c>
      <c r="BV184" s="24">
        <f t="shared" si="91"/>
        <v>6.3902666582252906E-3</v>
      </c>
      <c r="BW184" s="24">
        <f t="shared" si="91"/>
        <v>-2.8941940379546469E-3</v>
      </c>
      <c r="BX184" s="24">
        <f t="shared" si="91"/>
        <v>-8.2995325025933336E-4</v>
      </c>
      <c r="BY184" s="24">
        <f t="shared" si="91"/>
        <v>-9.7309575877256604E-4</v>
      </c>
      <c r="BZ184" s="24">
        <f t="shared" si="91"/>
        <v>1.852160095456609E-5</v>
      </c>
      <c r="CA184" s="24">
        <f t="shared" si="91"/>
        <v>-1.7069362457742593E-3</v>
      </c>
      <c r="CB184" s="24">
        <f t="shared" si="91"/>
        <v>3.9532321111024572E-3</v>
      </c>
      <c r="CC184" s="24">
        <f t="shared" si="91"/>
        <v>-8.7358746949672392E-6</v>
      </c>
      <c r="CD184" s="24">
        <f t="shared" si="91"/>
        <v>1.3781146436965074E-7</v>
      </c>
      <c r="CE184" s="24">
        <f t="shared" si="91"/>
        <v>4.3703536391623289E-5</v>
      </c>
      <c r="CF184" s="24">
        <f t="shared" si="91"/>
        <v>1.0094322163695454E-4</v>
      </c>
      <c r="CG184" s="24">
        <f t="shared" si="91"/>
        <v>2.6776120597422442E-5</v>
      </c>
      <c r="CH184" s="24">
        <f t="shared" si="91"/>
        <v>3.891902344242346E-3</v>
      </c>
      <c r="CI184" s="24">
        <f t="shared" si="91"/>
        <v>5.0876266844779808E-3</v>
      </c>
      <c r="CJ184" s="24">
        <f t="shared" si="91"/>
        <v>-2.5596088777401509E-6</v>
      </c>
      <c r="CK184" s="24">
        <f t="shared" si="91"/>
        <v>1.8604803784974946E-5</v>
      </c>
      <c r="CL184" s="24">
        <f t="shared" si="91"/>
        <v>1.2939311120599812E-3</v>
      </c>
      <c r="CM184" s="24">
        <f t="shared" si="91"/>
        <v>-1.3179302120000308E-5</v>
      </c>
      <c r="CN184" s="24">
        <f t="shared" si="91"/>
        <v>-2.4720948716396593E-4</v>
      </c>
      <c r="CO184" s="24">
        <f t="shared" si="91"/>
        <v>-3.447221265983715E-6</v>
      </c>
      <c r="CP184" s="24">
        <f t="shared" si="91"/>
        <v>-3.9124121340837921E-6</v>
      </c>
      <c r="CQ184" s="24">
        <f t="shared" si="91"/>
        <v>-9.1080714565974021E-5</v>
      </c>
      <c r="CR184" s="24">
        <f t="shared" si="91"/>
        <v>-2.8498333498820215E-4</v>
      </c>
      <c r="CS184" s="24">
        <f t="shared" si="91"/>
        <v>-3.4221615850153803E-6</v>
      </c>
      <c r="CT184" s="24">
        <f t="shared" si="91"/>
        <v>-4.7842843241860259E-4</v>
      </c>
      <c r="CU184" s="24">
        <f t="shared" si="91"/>
        <v>-2.9488245851733295E-5</v>
      </c>
      <c r="CV184" s="24">
        <f t="shared" si="91"/>
        <v>1.300030990226373E-5</v>
      </c>
    </row>
    <row r="185" spans="2:101">
      <c r="B185" s="140">
        <v>2024</v>
      </c>
      <c r="C185" t="s">
        <v>1</v>
      </c>
      <c r="D185" s="24">
        <f t="shared" si="87"/>
        <v>3.3734085103127856E-3</v>
      </c>
      <c r="E185" s="24">
        <f t="shared" si="92"/>
        <v>-8.3984502727884637E-4</v>
      </c>
      <c r="F185" s="24">
        <f t="shared" si="92"/>
        <v>8.5699776984293741E-4</v>
      </c>
      <c r="G185" s="24">
        <f t="shared" si="92"/>
        <v>7.443887230182475E-4</v>
      </c>
      <c r="H185" s="24">
        <f t="shared" si="92"/>
        <v>-1.5958274649184909E-4</v>
      </c>
      <c r="I185" s="24">
        <f t="shared" si="92"/>
        <v>4.4589373814641437E-3</v>
      </c>
      <c r="J185" s="24">
        <f t="shared" si="92"/>
        <v>2.1176906037649731E-4</v>
      </c>
      <c r="K185" s="24">
        <f t="shared" si="92"/>
        <v>2.4080374358149869E-2</v>
      </c>
      <c r="L185" s="24">
        <f t="shared" si="92"/>
        <v>-6.0769764680101354E-3</v>
      </c>
      <c r="M185" s="24">
        <f t="shared" si="92"/>
        <v>8.9900113657364841E-5</v>
      </c>
      <c r="N185" s="24">
        <f t="shared" si="92"/>
        <v>2.0708521042180121E-4</v>
      </c>
      <c r="O185" s="24">
        <f t="shared" si="92"/>
        <v>4.4838435344652955E-4</v>
      </c>
      <c r="P185" s="24">
        <f t="shared" si="92"/>
        <v>3.124552534844025E-5</v>
      </c>
      <c r="Q185" s="24">
        <f t="shared" si="92"/>
        <v>2.1864193127859702E-5</v>
      </c>
      <c r="R185" s="24">
        <f t="shared" si="92"/>
        <v>-4.1191586250311999E-3</v>
      </c>
      <c r="S185" s="24">
        <f t="shared" si="92"/>
        <v>-2.1669915296052198E-4</v>
      </c>
      <c r="T185" s="24">
        <f t="shared" si="92"/>
        <v>1.2932493440396952E-3</v>
      </c>
      <c r="U185" s="24">
        <f t="shared" si="92"/>
        <v>4.2665496460571493E-3</v>
      </c>
      <c r="V185" s="24">
        <f t="shared" si="92"/>
        <v>-4.7232281546711886E-4</v>
      </c>
      <c r="W185" s="24">
        <f t="shared" si="92"/>
        <v>1.1522604174226995E-3</v>
      </c>
      <c r="X185" s="24">
        <f t="shared" si="92"/>
        <v>-1.9384920560708632E-3</v>
      </c>
      <c r="Y185" s="24">
        <f t="shared" si="92"/>
        <v>6.9990490064491387E-5</v>
      </c>
      <c r="Z185" s="24">
        <f t="shared" si="92"/>
        <v>-1.7032025831505978E-4</v>
      </c>
      <c r="AA185" s="24">
        <f t="shared" si="92"/>
        <v>4.8167690348072778E-6</v>
      </c>
      <c r="AB185" s="24">
        <f t="shared" si="92"/>
        <v>6.9546590170040871E-4</v>
      </c>
      <c r="AC185" s="24">
        <f t="shared" si="92"/>
        <v>-3.8288389359233618E-4</v>
      </c>
      <c r="AD185" s="24">
        <f t="shared" si="92"/>
        <v>-7.9701532621108392E-2</v>
      </c>
      <c r="AE185" s="24">
        <f t="shared" si="92"/>
        <v>-3.7328713124959684E-4</v>
      </c>
      <c r="AF185" s="24">
        <f t="shared" si="92"/>
        <v>1.9594314266719649E-4</v>
      </c>
      <c r="AG185" s="24">
        <f t="shared" si="92"/>
        <v>-5.8719780393564648E-4</v>
      </c>
      <c r="AH185" s="24">
        <f t="shared" si="92"/>
        <v>-6.8928193900189439E-4</v>
      </c>
      <c r="AI185" s="24">
        <f t="shared" si="92"/>
        <v>6.7985970975646508E-4</v>
      </c>
      <c r="AJ185" s="24">
        <f t="shared" si="92"/>
        <v>1.8158444911256331E-3</v>
      </c>
      <c r="AK185" s="24">
        <f t="shared" si="92"/>
        <v>5.4995526480035604E-5</v>
      </c>
      <c r="AL185" s="24">
        <f t="shared" si="92"/>
        <v>-3.3073143445101516E-4</v>
      </c>
      <c r="AM185" s="24">
        <f t="shared" si="92"/>
        <v>4.1053693583390704E-6</v>
      </c>
      <c r="AN185" s="24">
        <f t="shared" si="92"/>
        <v>-2.1150812458105355E-6</v>
      </c>
      <c r="AO185" s="24">
        <f t="shared" si="92"/>
        <v>2.2942232556547236E-5</v>
      </c>
      <c r="AP185" s="24">
        <f t="shared" si="92"/>
        <v>3.0083400570291946E-4</v>
      </c>
      <c r="AQ185" s="24">
        <f t="shared" si="92"/>
        <v>-2.2331160339617958E-4</v>
      </c>
      <c r="AR185" s="24">
        <f t="shared" si="92"/>
        <v>-1.2421552096959911E-4</v>
      </c>
      <c r="AS185" s="24">
        <f t="shared" si="92"/>
        <v>-2.3193070845033321E-5</v>
      </c>
      <c r="AT185" s="24">
        <f t="shared" si="92"/>
        <v>-2.816197648037991E-5</v>
      </c>
      <c r="AU185" s="24">
        <f t="shared" si="92"/>
        <v>3.3292644522150019E-5</v>
      </c>
      <c r="AV185" s="24">
        <f t="shared" si="92"/>
        <v>3.847817625025983E-7</v>
      </c>
      <c r="AW185" s="24">
        <f t="shared" si="92"/>
        <v>-4.9290250809693141E-6</v>
      </c>
      <c r="AX185" s="24">
        <f t="shared" si="92"/>
        <v>-2.5459593003254682E-6</v>
      </c>
      <c r="AY185" s="24">
        <f t="shared" si="92"/>
        <v>-2.8868581342546366E-4</v>
      </c>
      <c r="AZ185" s="24">
        <f t="shared" si="92"/>
        <v>1.1164590268120742E-4</v>
      </c>
      <c r="BA185" s="24">
        <f t="shared" si="92"/>
        <v>0</v>
      </c>
      <c r="BB185" s="24">
        <f t="shared" si="92"/>
        <v>-6.1742969730469004E-8</v>
      </c>
      <c r="BC185" s="24">
        <f t="shared" si="92"/>
        <v>-6.7255412898030903E-5</v>
      </c>
      <c r="BD185" s="24">
        <f t="shared" si="92"/>
        <v>3.3715654887037386E-5</v>
      </c>
      <c r="BE185" s="24">
        <f t="shared" si="92"/>
        <v>-3.3029398503788296E-5</v>
      </c>
      <c r="BF185" s="24">
        <f t="shared" si="92"/>
        <v>-4.0982196580132613E-5</v>
      </c>
      <c r="BG185" s="24">
        <f t="shared" si="92"/>
        <v>2.8430660081850668E-6</v>
      </c>
      <c r="BH185" s="24">
        <f t="shared" si="92"/>
        <v>4.4427348443750571E-5</v>
      </c>
      <c r="BI185" s="24">
        <f t="shared" si="92"/>
        <v>-9.6094750147105923E-6</v>
      </c>
      <c r="BJ185" s="24">
        <f t="shared" si="92"/>
        <v>-2.1065709195205071E-4</v>
      </c>
      <c r="BK185" s="24">
        <f t="shared" si="92"/>
        <v>1.6256229740374209E-4</v>
      </c>
      <c r="BL185" s="24">
        <f t="shared" si="92"/>
        <v>-2.4703786536565118E-4</v>
      </c>
      <c r="BM185" s="24">
        <f t="shared" si="92"/>
        <v>-8.6102051446078495E-4</v>
      </c>
      <c r="BN185" s="24">
        <f t="shared" si="92"/>
        <v>1.0523013860095528E-4</v>
      </c>
      <c r="BO185" s="24">
        <f t="shared" si="92"/>
        <v>1.0058399399999232E-4</v>
      </c>
      <c r="BP185" s="24">
        <f t="shared" si="92"/>
        <v>3.878110212384365E-5</v>
      </c>
      <c r="BQ185" s="24">
        <f t="shared" si="91"/>
        <v>8.3949859165559341E-5</v>
      </c>
      <c r="BR185" s="24">
        <f t="shared" si="91"/>
        <v>1.8776357233015308E-7</v>
      </c>
      <c r="BS185" s="24">
        <f t="shared" si="91"/>
        <v>1.9476051946441198E-4</v>
      </c>
      <c r="BT185" s="24">
        <f t="shared" si="91"/>
        <v>-2.3193546587255684E-5</v>
      </c>
      <c r="BU185" s="24">
        <f t="shared" si="91"/>
        <v>-1.7427569465950545E-4</v>
      </c>
      <c r="BV185" s="24">
        <f t="shared" si="91"/>
        <v>-6.0582545775732131E-3</v>
      </c>
      <c r="BW185" s="24">
        <f t="shared" si="91"/>
        <v>-4.9861561589306779E-3</v>
      </c>
      <c r="BX185" s="24">
        <f t="shared" si="91"/>
        <v>1.2101366643853546E-3</v>
      </c>
      <c r="BY185" s="24">
        <f t="shared" si="91"/>
        <v>-3.1838918816357823E-4</v>
      </c>
      <c r="BZ185" s="24">
        <f t="shared" si="91"/>
        <v>1.4768752877934694E-6</v>
      </c>
      <c r="CA185" s="24">
        <f t="shared" si="91"/>
        <v>-4.7627886160912262E-3</v>
      </c>
      <c r="CB185" s="24">
        <f t="shared" si="91"/>
        <v>-1.6498539473878398E-5</v>
      </c>
      <c r="CC185" s="24">
        <f t="shared" si="91"/>
        <v>-3.47119355235125E-6</v>
      </c>
      <c r="CD185" s="24">
        <f t="shared" si="91"/>
        <v>-5.3782073397604411E-7</v>
      </c>
      <c r="CE185" s="24">
        <f t="shared" si="91"/>
        <v>3.3649040517474263E-6</v>
      </c>
      <c r="CF185" s="24">
        <f t="shared" si="91"/>
        <v>9.2386520457842736E-5</v>
      </c>
      <c r="CG185" s="24">
        <f t="shared" si="91"/>
        <v>-5.8417662629089633E-6</v>
      </c>
      <c r="CH185" s="24">
        <f t="shared" si="91"/>
        <v>3.9138947438861049E-3</v>
      </c>
      <c r="CI185" s="24">
        <f t="shared" si="91"/>
        <v>5.4912250689613425E-3</v>
      </c>
      <c r="CJ185" s="24">
        <f t="shared" si="91"/>
        <v>4.6808976597762604E-6</v>
      </c>
      <c r="CK185" s="24">
        <f t="shared" si="91"/>
        <v>5.6892660976239134E-3</v>
      </c>
      <c r="CL185" s="24">
        <f t="shared" si="91"/>
        <v>6.1310028927106868E-4</v>
      </c>
      <c r="CM185" s="24">
        <f t="shared" si="91"/>
        <v>1.6726531178158134E-4</v>
      </c>
      <c r="CN185" s="24">
        <f t="shared" si="91"/>
        <v>6.7531749561008567E-4</v>
      </c>
      <c r="CO185" s="24">
        <f t="shared" si="91"/>
        <v>-1.9630295681240143E-6</v>
      </c>
      <c r="CP185" s="24">
        <f t="shared" si="91"/>
        <v>-1.6337015933343715E-7</v>
      </c>
      <c r="CQ185" s="24">
        <f t="shared" si="91"/>
        <v>-6.0922359210992098E-5</v>
      </c>
      <c r="CR185" s="24">
        <f t="shared" si="91"/>
        <v>-7.8701835191289185E-4</v>
      </c>
      <c r="CS185" s="24">
        <f t="shared" si="91"/>
        <v>-1.3677403476442451E-4</v>
      </c>
      <c r="CT185" s="24">
        <f t="shared" si="91"/>
        <v>-4.1686427615189527E-4</v>
      </c>
      <c r="CU185" s="24">
        <f t="shared" si="91"/>
        <v>-3.2565599502922691E-5</v>
      </c>
      <c r="CV185" s="24">
        <f t="shared" si="91"/>
        <v>-4.9848710931436091E-5</v>
      </c>
    </row>
    <row r="186" spans="2:101">
      <c r="B186" s="140"/>
      <c r="C186" t="s">
        <v>2</v>
      </c>
      <c r="D186" s="24">
        <f t="shared" si="87"/>
        <v>-1.3000923591354012E-3</v>
      </c>
      <c r="E186" s="24">
        <f t="shared" si="92"/>
        <v>-6.5498097429336386E-4</v>
      </c>
      <c r="F186" s="24">
        <f t="shared" si="92"/>
        <v>-9.3287986485020812E-4</v>
      </c>
      <c r="G186" s="24">
        <f t="shared" si="92"/>
        <v>1.8573229232356945E-3</v>
      </c>
      <c r="H186" s="24">
        <f t="shared" si="92"/>
        <v>1.6175083956484682E-4</v>
      </c>
      <c r="I186" s="24">
        <f t="shared" si="92"/>
        <v>8.7515944334757376E-3</v>
      </c>
      <c r="J186" s="24">
        <f t="shared" si="92"/>
        <v>1.3927116751191049E-4</v>
      </c>
      <c r="K186" s="24">
        <f t="shared" si="92"/>
        <v>1.6064694327784377E-2</v>
      </c>
      <c r="L186" s="24">
        <f t="shared" si="92"/>
        <v>1.1631879544488109E-2</v>
      </c>
      <c r="M186" s="24">
        <f t="shared" si="92"/>
        <v>-3.0955214713085322E-5</v>
      </c>
      <c r="N186" s="24">
        <f t="shared" si="92"/>
        <v>-3.0511259777383007E-4</v>
      </c>
      <c r="O186" s="24">
        <f t="shared" si="92"/>
        <v>1.4827982753282581E-4</v>
      </c>
      <c r="P186" s="24">
        <f t="shared" si="92"/>
        <v>-1.5522990440280699E-5</v>
      </c>
      <c r="Q186" s="24">
        <f t="shared" si="92"/>
        <v>5.8282958024191623E-6</v>
      </c>
      <c r="R186" s="24">
        <f t="shared" si="92"/>
        <v>-1.8025395221252147E-3</v>
      </c>
      <c r="S186" s="24">
        <f t="shared" si="92"/>
        <v>-7.376565698236163E-5</v>
      </c>
      <c r="T186" s="24">
        <f t="shared" si="92"/>
        <v>-5.2875432327113034E-4</v>
      </c>
      <c r="U186" s="24">
        <f t="shared" si="92"/>
        <v>6.6935749180253613E-3</v>
      </c>
      <c r="V186" s="24">
        <f t="shared" si="92"/>
        <v>-5.4121894628737083E-4</v>
      </c>
      <c r="W186" s="24">
        <f t="shared" si="92"/>
        <v>6.5625046086509721E-4</v>
      </c>
      <c r="X186" s="24">
        <f t="shared" si="92"/>
        <v>-2.9632744911875481E-4</v>
      </c>
      <c r="Y186" s="24">
        <f t="shared" si="92"/>
        <v>-2.8960368119763761E-5</v>
      </c>
      <c r="Z186" s="24">
        <f t="shared" si="92"/>
        <v>-4.1716439323039175E-5</v>
      </c>
      <c r="AA186" s="24">
        <f t="shared" si="92"/>
        <v>7.7188545149958169E-5</v>
      </c>
      <c r="AB186" s="24">
        <f t="shared" si="92"/>
        <v>3.4920606709006227E-5</v>
      </c>
      <c r="AC186" s="24">
        <f t="shared" si="92"/>
        <v>-2.2534840819523967E-3</v>
      </c>
      <c r="AD186" s="24">
        <f t="shared" si="92"/>
        <v>-2.6618596284348306E-4</v>
      </c>
      <c r="AE186" s="24">
        <f t="shared" si="92"/>
        <v>5.5028778727385852E-4</v>
      </c>
      <c r="AF186" s="24">
        <f t="shared" si="92"/>
        <v>7.7576458374147819E-4</v>
      </c>
      <c r="AG186" s="24">
        <f t="shared" si="92"/>
        <v>-1.1258274198545841E-3</v>
      </c>
      <c r="AH186" s="24">
        <f t="shared" si="92"/>
        <v>-2.413979908548119E-4</v>
      </c>
      <c r="AI186" s="24">
        <f t="shared" si="92"/>
        <v>1.8321607713116426E-4</v>
      </c>
      <c r="AJ186" s="24">
        <f t="shared" si="92"/>
        <v>4.380191031493774E-3</v>
      </c>
      <c r="AK186" s="24">
        <f t="shared" si="92"/>
        <v>2.7611100381559915E-4</v>
      </c>
      <c r="AL186" s="24">
        <f t="shared" si="92"/>
        <v>2.6037246249944166E-4</v>
      </c>
      <c r="AM186" s="24" t="e">
        <f t="shared" si="92"/>
        <v>#DIV/0!</v>
      </c>
      <c r="AN186" s="24">
        <f t="shared" si="92"/>
        <v>2.3451662024947699E-5</v>
      </c>
      <c r="AO186" s="24">
        <f t="shared" si="92"/>
        <v>-1.3349819227225388E-3</v>
      </c>
      <c r="AP186" s="24">
        <f t="shared" si="92"/>
        <v>5.9268979629165585E-3</v>
      </c>
      <c r="AQ186" s="24">
        <f t="shared" si="92"/>
        <v>-3.0241073842822956E-4</v>
      </c>
      <c r="AR186" s="24">
        <f t="shared" si="92"/>
        <v>-8.879293375705185E-5</v>
      </c>
      <c r="AS186" s="24">
        <f t="shared" si="92"/>
        <v>-1.9096631797645199E-4</v>
      </c>
      <c r="AT186" s="24">
        <f t="shared" si="92"/>
        <v>-2.6811916982286528E-5</v>
      </c>
      <c r="AU186" s="24">
        <f t="shared" si="92"/>
        <v>-1.223553451384425E-4</v>
      </c>
      <c r="AV186" s="24">
        <f t="shared" si="92"/>
        <v>3.5245316886723295E-6</v>
      </c>
      <c r="AW186" s="24">
        <f t="shared" si="92"/>
        <v>-2.2898189648986196E-6</v>
      </c>
      <c r="AX186" s="24">
        <f t="shared" si="92"/>
        <v>1.4998715695096211E-5</v>
      </c>
      <c r="AY186" s="24">
        <f t="shared" si="92"/>
        <v>-1.5014938796650449E-4</v>
      </c>
      <c r="AZ186" s="24">
        <f t="shared" si="92"/>
        <v>9.2914179818394521E-5</v>
      </c>
      <c r="BA186" s="24">
        <f t="shared" si="92"/>
        <v>-1.5924581222278282E-9</v>
      </c>
      <c r="BB186" s="24">
        <f t="shared" si="92"/>
        <v>-6.2151008168933935E-9</v>
      </c>
      <c r="BC186" s="24">
        <f t="shared" si="92"/>
        <v>-9.1138705586362104E-5</v>
      </c>
      <c r="BD186" s="24">
        <f t="shared" si="92"/>
        <v>7.2555671937098625E-7</v>
      </c>
      <c r="BE186" s="24">
        <f t="shared" si="92"/>
        <v>-4.2745811597205665E-5</v>
      </c>
      <c r="BF186" s="24">
        <f t="shared" si="92"/>
        <v>-7.8533954427979671E-6</v>
      </c>
      <c r="BG186" s="24">
        <f t="shared" si="92"/>
        <v>9.2304489679872364E-6</v>
      </c>
      <c r="BH186" s="24">
        <f t="shared" si="92"/>
        <v>1.5537476333198953E-4</v>
      </c>
      <c r="BI186" s="24">
        <f t="shared" si="92"/>
        <v>-1.8195229837085993E-5</v>
      </c>
      <c r="BJ186" s="24">
        <f t="shared" si="92"/>
        <v>-6.748861405478082E-5</v>
      </c>
      <c r="BK186" s="24">
        <f t="shared" si="92"/>
        <v>1.5275414724766554E-4</v>
      </c>
      <c r="BL186" s="24">
        <f t="shared" si="92"/>
        <v>-4.6136304287183033E-4</v>
      </c>
      <c r="BM186" s="24">
        <f t="shared" si="92"/>
        <v>-4.8362567861048319E-4</v>
      </c>
      <c r="BN186" s="24">
        <f t="shared" si="92"/>
        <v>1.59939628532687E-4</v>
      </c>
      <c r="BO186" s="24">
        <f t="shared" si="92"/>
        <v>-6.9616402737029048E-5</v>
      </c>
      <c r="BP186" s="24">
        <f t="shared" ref="BP186:CV189" si="93">+BP160*BP133</f>
        <v>1.6207041739993276E-4</v>
      </c>
      <c r="BQ186" s="24">
        <f t="shared" si="93"/>
        <v>2.1910497863390709E-6</v>
      </c>
      <c r="BR186" s="24">
        <f t="shared" si="93"/>
        <v>-2.2491734612206162E-7</v>
      </c>
      <c r="BS186" s="24">
        <f t="shared" si="93"/>
        <v>1.3529509211090756E-4</v>
      </c>
      <c r="BT186" s="24">
        <f t="shared" si="93"/>
        <v>2.3446200487287313E-4</v>
      </c>
      <c r="BU186" s="24">
        <f t="shared" si="93"/>
        <v>-7.0399196993773793E-4</v>
      </c>
      <c r="BV186" s="24">
        <f t="shared" si="93"/>
        <v>1.2932525522030433E-2</v>
      </c>
      <c r="BW186" s="24">
        <f t="shared" si="93"/>
        <v>-1.6888910204676602E-3</v>
      </c>
      <c r="BX186" s="24">
        <f t="shared" si="93"/>
        <v>2.4120274288969806E-3</v>
      </c>
      <c r="BY186" s="24">
        <f t="shared" si="93"/>
        <v>4.3021186218706667E-3</v>
      </c>
      <c r="BZ186" s="24">
        <f t="shared" si="93"/>
        <v>6.6141817835434189E-6</v>
      </c>
      <c r="CA186" s="24">
        <f t="shared" si="93"/>
        <v>-1.3009939393147046E-3</v>
      </c>
      <c r="CB186" s="24">
        <f t="shared" si="93"/>
        <v>-4.9055888848415454E-5</v>
      </c>
      <c r="CC186" s="24">
        <f t="shared" si="93"/>
        <v>1.1777494371405201E-5</v>
      </c>
      <c r="CD186" s="24">
        <f t="shared" si="93"/>
        <v>1.086002344152444E-5</v>
      </c>
      <c r="CE186" s="24">
        <f t="shared" si="93"/>
        <v>2.0975128852540296E-5</v>
      </c>
      <c r="CF186" s="24">
        <f t="shared" si="93"/>
        <v>-3.8497760853916147E-5</v>
      </c>
      <c r="CG186" s="24">
        <f t="shared" si="93"/>
        <v>8.0681443907623017E-5</v>
      </c>
      <c r="CH186" s="24">
        <f t="shared" si="93"/>
        <v>1.2870561753578961E-3</v>
      </c>
      <c r="CI186" s="24">
        <f t="shared" si="93"/>
        <v>5.4507712567225608E-3</v>
      </c>
      <c r="CJ186" s="24">
        <f t="shared" si="93"/>
        <v>1.0269037899749756E-4</v>
      </c>
      <c r="CK186" s="24">
        <f t="shared" si="93"/>
        <v>-3.0785027019926635E-3</v>
      </c>
      <c r="CL186" s="24">
        <f t="shared" si="93"/>
        <v>2.4168342343705972E-3</v>
      </c>
      <c r="CM186" s="24">
        <f t="shared" si="93"/>
        <v>-1.399695692647859E-5</v>
      </c>
      <c r="CN186" s="24">
        <f t="shared" si="93"/>
        <v>2.2975562130290498E-4</v>
      </c>
      <c r="CO186" s="24">
        <f t="shared" si="93"/>
        <v>4.8788585420490324E-5</v>
      </c>
      <c r="CP186" s="24">
        <f t="shared" si="93"/>
        <v>-2.4412207283593438E-6</v>
      </c>
      <c r="CQ186" s="24">
        <f t="shared" si="93"/>
        <v>4.3503720469140097E-4</v>
      </c>
      <c r="CR186" s="24">
        <f t="shared" si="93"/>
        <v>6.1352678537974633E-5</v>
      </c>
      <c r="CS186" s="24">
        <f t="shared" si="93"/>
        <v>-1.8748069892230367E-4</v>
      </c>
      <c r="CT186" s="24">
        <f t="shared" si="93"/>
        <v>6.3046107842360793E-5</v>
      </c>
      <c r="CU186" s="24">
        <f t="shared" si="93"/>
        <v>8.9481733835560629E-5</v>
      </c>
      <c r="CV186" s="24">
        <f t="shared" si="93"/>
        <v>-1.4078105372326441E-5</v>
      </c>
    </row>
    <row r="187" spans="2:101">
      <c r="B187" s="140"/>
      <c r="C187" t="s">
        <v>3</v>
      </c>
      <c r="D187" s="24">
        <f t="shared" si="87"/>
        <v>-4.640862479833275E-4</v>
      </c>
      <c r="E187" s="24">
        <f t="shared" ref="E187:BP190" si="94">+E161*E134</f>
        <v>2.1922391562064214E-3</v>
      </c>
      <c r="F187" s="24">
        <f t="shared" si="94"/>
        <v>3.0820556731959375E-5</v>
      </c>
      <c r="G187" s="24">
        <f t="shared" si="94"/>
        <v>2.4404775313605024E-3</v>
      </c>
      <c r="H187" s="24">
        <f t="shared" si="94"/>
        <v>2.9914309879810428E-4</v>
      </c>
      <c r="I187" s="24">
        <f t="shared" si="94"/>
        <v>4.8386591585947479E-3</v>
      </c>
      <c r="J187" s="24">
        <f t="shared" si="94"/>
        <v>-9.1471434969220973E-6</v>
      </c>
      <c r="K187" s="24">
        <f t="shared" si="94"/>
        <v>1.1798503686478055E-2</v>
      </c>
      <c r="L187" s="24">
        <f t="shared" si="94"/>
        <v>2.1013085040552031E-2</v>
      </c>
      <c r="M187" s="24">
        <f t="shared" si="94"/>
        <v>1.1097373242404165E-2</v>
      </c>
      <c r="N187" s="24">
        <f t="shared" si="94"/>
        <v>-4.6993346584286755E-4</v>
      </c>
      <c r="O187" s="24">
        <f t="shared" si="94"/>
        <v>1.4518688612180294E-4</v>
      </c>
      <c r="P187" s="24">
        <f t="shared" si="94"/>
        <v>1.5051674482651194E-4</v>
      </c>
      <c r="Q187" s="24">
        <f t="shared" si="94"/>
        <v>1.2762728006128884E-6</v>
      </c>
      <c r="R187" s="24">
        <f t="shared" si="94"/>
        <v>-6.1509797512773604E-4</v>
      </c>
      <c r="S187" s="24">
        <f t="shared" si="94"/>
        <v>-1.4116562747560843E-4</v>
      </c>
      <c r="T187" s="24">
        <f t="shared" si="94"/>
        <v>-2.1695880468704984E-3</v>
      </c>
      <c r="U187" s="24">
        <f t="shared" si="94"/>
        <v>5.6259522502615823E-3</v>
      </c>
      <c r="V187" s="24">
        <f t="shared" si="94"/>
        <v>-6.5281209136805202E-4</v>
      </c>
      <c r="W187" s="24">
        <f t="shared" si="94"/>
        <v>3.7532612165408204E-4</v>
      </c>
      <c r="X187" s="24">
        <f t="shared" si="94"/>
        <v>1.421677265942156E-4</v>
      </c>
      <c r="Y187" s="24">
        <f t="shared" si="94"/>
        <v>2.1328016113514523E-4</v>
      </c>
      <c r="Z187" s="24">
        <f t="shared" si="94"/>
        <v>2.3523200534108235E-4</v>
      </c>
      <c r="AA187" s="24">
        <f t="shared" si="94"/>
        <v>1.6330488802227639E-4</v>
      </c>
      <c r="AB187" s="24">
        <f t="shared" si="94"/>
        <v>-1.388919675542919E-4</v>
      </c>
      <c r="AC187" s="24">
        <f t="shared" si="94"/>
        <v>-2.6850481917364438E-3</v>
      </c>
      <c r="AD187" s="24">
        <f t="shared" si="94"/>
        <v>-3.8523226210279669E-2</v>
      </c>
      <c r="AE187" s="24">
        <f t="shared" si="94"/>
        <v>1.1242649233298417E-3</v>
      </c>
      <c r="AF187" s="24">
        <f t="shared" si="94"/>
        <v>3.9577900557770629E-4</v>
      </c>
      <c r="AG187" s="24">
        <f t="shared" si="94"/>
        <v>-5.8759151181093038E-4</v>
      </c>
      <c r="AH187" s="24">
        <f t="shared" si="94"/>
        <v>1.3910498024240198E-4</v>
      </c>
      <c r="AI187" s="24">
        <f t="shared" si="94"/>
        <v>2.6677604909942996E-4</v>
      </c>
      <c r="AJ187" s="24">
        <f t="shared" si="94"/>
        <v>2.5734338047350884E-3</v>
      </c>
      <c r="AK187" s="24">
        <f t="shared" si="94"/>
        <v>3.7204056047278247E-4</v>
      </c>
      <c r="AL187" s="24">
        <f t="shared" si="94"/>
        <v>-1.934055484070857E-4</v>
      </c>
      <c r="AM187" s="24">
        <f t="shared" si="94"/>
        <v>0</v>
      </c>
      <c r="AN187" s="24">
        <f t="shared" si="94"/>
        <v>2.4728502289180857E-5</v>
      </c>
      <c r="AO187" s="24">
        <f t="shared" si="94"/>
        <v>3.0522298776279417E-3</v>
      </c>
      <c r="AP187" s="24">
        <f t="shared" si="94"/>
        <v>4.688844377260846E-3</v>
      </c>
      <c r="AQ187" s="24">
        <f t="shared" si="94"/>
        <v>3.9183698692242969E-4</v>
      </c>
      <c r="AR187" s="24">
        <f t="shared" si="94"/>
        <v>-4.4960999888261303E-5</v>
      </c>
      <c r="AS187" s="24">
        <f t="shared" si="94"/>
        <v>-1.6538269868119574E-4</v>
      </c>
      <c r="AT187" s="24">
        <f t="shared" si="94"/>
        <v>9.5900664212127153E-6</v>
      </c>
      <c r="AU187" s="24">
        <f t="shared" si="94"/>
        <v>-5.5367220316425133E-6</v>
      </c>
      <c r="AV187" s="24">
        <f t="shared" si="94"/>
        <v>-9.2923458680201519E-7</v>
      </c>
      <c r="AW187" s="24">
        <f t="shared" si="94"/>
        <v>-4.5851972823665483E-6</v>
      </c>
      <c r="AX187" s="24">
        <f t="shared" si="94"/>
        <v>5.7515375075396029E-5</v>
      </c>
      <c r="AY187" s="24">
        <f t="shared" si="94"/>
        <v>7.2972542564319405E-4</v>
      </c>
      <c r="AZ187" s="24">
        <f t="shared" si="94"/>
        <v>4.2736197646843515E-4</v>
      </c>
      <c r="BA187" s="24">
        <f t="shared" si="94"/>
        <v>-9.2570933166858368E-8</v>
      </c>
      <c r="BB187" s="24">
        <f t="shared" si="94"/>
        <v>-7.2823626834793305E-8</v>
      </c>
      <c r="BC187" s="24">
        <f t="shared" si="94"/>
        <v>-6.6196949467521072E-5</v>
      </c>
      <c r="BD187" s="24">
        <f t="shared" si="94"/>
        <v>-1.1808469500980822E-5</v>
      </c>
      <c r="BE187" s="24">
        <f t="shared" si="94"/>
        <v>1.4767745162256677E-5</v>
      </c>
      <c r="BF187" s="24">
        <f t="shared" si="94"/>
        <v>-5.7064039880051601E-5</v>
      </c>
      <c r="BG187" s="24">
        <f t="shared" si="94"/>
        <v>3.0457718160999253E-6</v>
      </c>
      <c r="BH187" s="24">
        <f t="shared" si="94"/>
        <v>2.3603625434955918E-5</v>
      </c>
      <c r="BI187" s="24">
        <f t="shared" si="94"/>
        <v>1.785372559391956E-5</v>
      </c>
      <c r="BJ187" s="24">
        <f t="shared" si="94"/>
        <v>8.9976252176995598E-6</v>
      </c>
      <c r="BK187" s="24">
        <f t="shared" si="94"/>
        <v>1.6549172252025459E-5</v>
      </c>
      <c r="BL187" s="24">
        <f t="shared" si="94"/>
        <v>-4.4035215047300979E-4</v>
      </c>
      <c r="BM187" s="24">
        <f t="shared" si="94"/>
        <v>-5.0350374382574555E-4</v>
      </c>
      <c r="BN187" s="24">
        <f t="shared" si="94"/>
        <v>4.204799028648678E-4</v>
      </c>
      <c r="BO187" s="24">
        <f t="shared" si="94"/>
        <v>-6.5952720763752998E-5</v>
      </c>
      <c r="BP187" s="24">
        <f t="shared" si="94"/>
        <v>4.2687617230235198E-5</v>
      </c>
      <c r="BQ187" s="24">
        <f t="shared" si="93"/>
        <v>1.4034821291909945E-5</v>
      </c>
      <c r="BR187" s="24">
        <f t="shared" si="93"/>
        <v>-4.3471142529053636E-7</v>
      </c>
      <c r="BS187" s="24">
        <f t="shared" si="93"/>
        <v>6.2887859366129184E-5</v>
      </c>
      <c r="BT187" s="24">
        <f t="shared" si="93"/>
        <v>2.4382234310812978E-5</v>
      </c>
      <c r="BU187" s="24">
        <f t="shared" si="93"/>
        <v>-2.0740664376940452E-4</v>
      </c>
      <c r="BV187" s="24">
        <f t="shared" si="93"/>
        <v>2.4919053290735974E-2</v>
      </c>
      <c r="BW187" s="24">
        <f t="shared" si="93"/>
        <v>2.6040277349226541E-3</v>
      </c>
      <c r="BX187" s="24">
        <f t="shared" si="93"/>
        <v>4.3967425376694461E-4</v>
      </c>
      <c r="BY187" s="24">
        <f t="shared" si="93"/>
        <v>5.9788215410044665E-3</v>
      </c>
      <c r="BZ187" s="24">
        <f t="shared" si="93"/>
        <v>8.1812323798211742E-6</v>
      </c>
      <c r="CA187" s="24">
        <f t="shared" si="93"/>
        <v>4.8432531117609924E-3</v>
      </c>
      <c r="CB187" s="24">
        <f t="shared" si="93"/>
        <v>-4.0859259893967454E-5</v>
      </c>
      <c r="CC187" s="24">
        <f t="shared" si="93"/>
        <v>8.7394092983403058E-6</v>
      </c>
      <c r="CD187" s="24">
        <f t="shared" si="93"/>
        <v>-2.8826375425146898E-10</v>
      </c>
      <c r="CE187" s="24">
        <f t="shared" si="93"/>
        <v>8.8412748193311515E-6</v>
      </c>
      <c r="CF187" s="24">
        <f t="shared" si="93"/>
        <v>-1.2938145312785279E-4</v>
      </c>
      <c r="CG187" s="24">
        <f t="shared" si="93"/>
        <v>-2.1262015806881618E-4</v>
      </c>
      <c r="CH187" s="24">
        <f t="shared" si="93"/>
        <v>5.3992787798535754E-4</v>
      </c>
      <c r="CI187" s="24">
        <f t="shared" si="93"/>
        <v>7.2416152659980091E-3</v>
      </c>
      <c r="CJ187" s="24">
        <f t="shared" si="93"/>
        <v>-4.9304001028642641E-6</v>
      </c>
      <c r="CK187" s="24">
        <f t="shared" si="93"/>
        <v>-2.1336758147836037E-3</v>
      </c>
      <c r="CL187" s="24">
        <f t="shared" si="93"/>
        <v>1.3976856450395897E-3</v>
      </c>
      <c r="CM187" s="24">
        <f t="shared" si="93"/>
        <v>-9.7258679648876644E-5</v>
      </c>
      <c r="CN187" s="24">
        <f t="shared" si="93"/>
        <v>1.9600951829053677E-3</v>
      </c>
      <c r="CO187" s="24">
        <f t="shared" si="93"/>
        <v>9.8965093525680008E-4</v>
      </c>
      <c r="CP187" s="24">
        <f t="shared" si="93"/>
        <v>8.7700483467833324E-6</v>
      </c>
      <c r="CQ187" s="24">
        <f t="shared" si="93"/>
        <v>6.7150994818546977E-5</v>
      </c>
      <c r="CR187" s="24">
        <f t="shared" si="93"/>
        <v>9.089273059960433E-5</v>
      </c>
      <c r="CS187" s="24">
        <f t="shared" si="93"/>
        <v>-1.2961334779766601E-4</v>
      </c>
      <c r="CT187" s="24">
        <f t="shared" si="93"/>
        <v>1.4469351047575221E-4</v>
      </c>
      <c r="CU187" s="24">
        <f t="shared" si="93"/>
        <v>2.6260866976728455E-4</v>
      </c>
      <c r="CV187" s="24">
        <f t="shared" si="93"/>
        <v>-4.5716852604319862E-5</v>
      </c>
    </row>
    <row r="188" spans="2:101">
      <c r="B188" s="140"/>
      <c r="C188" t="s">
        <v>4</v>
      </c>
      <c r="D188" s="24">
        <f t="shared" si="87"/>
        <v>-1.1060691485122467E-3</v>
      </c>
      <c r="E188" s="24">
        <f t="shared" si="94"/>
        <v>3.0999746199528418E-3</v>
      </c>
      <c r="F188" s="24">
        <f t="shared" si="94"/>
        <v>-5.3073611170230016E-4</v>
      </c>
      <c r="G188" s="24">
        <f t="shared" si="94"/>
        <v>1.5040081948263209E-3</v>
      </c>
      <c r="H188" s="24">
        <f t="shared" si="94"/>
        <v>-2.7045646223768457E-4</v>
      </c>
      <c r="I188" s="24">
        <f t="shared" si="94"/>
        <v>6.6320692424806284E-3</v>
      </c>
      <c r="J188" s="24">
        <f t="shared" si="94"/>
        <v>1.0710046362612299E-4</v>
      </c>
      <c r="K188" s="24">
        <f t="shared" si="94"/>
        <v>4.0613220029678066E-3</v>
      </c>
      <c r="L188" s="24">
        <f t="shared" si="94"/>
        <v>4.4432721784941571E-2</v>
      </c>
      <c r="M188" s="24">
        <f t="shared" si="94"/>
        <v>2.8761060686933442E-2</v>
      </c>
      <c r="N188" s="24">
        <f t="shared" si="94"/>
        <v>2.9823879126531743E-5</v>
      </c>
      <c r="O188" s="24">
        <f t="shared" si="94"/>
        <v>-5.0450231815348777E-5</v>
      </c>
      <c r="P188" s="24">
        <f t="shared" si="94"/>
        <v>2.3970107077467081E-4</v>
      </c>
      <c r="Q188" s="24">
        <f t="shared" si="94"/>
        <v>-9.5440461021921072E-6</v>
      </c>
      <c r="R188" s="24">
        <f t="shared" si="94"/>
        <v>2.3244692537436476E-3</v>
      </c>
      <c r="S188" s="24">
        <f t="shared" si="94"/>
        <v>9.8550436413866806E-5</v>
      </c>
      <c r="T188" s="24">
        <f t="shared" si="94"/>
        <v>-2.4525074653750171E-4</v>
      </c>
      <c r="U188" s="24">
        <f t="shared" si="94"/>
        <v>6.1047142599459439E-3</v>
      </c>
      <c r="V188" s="24">
        <f t="shared" si="94"/>
        <v>5.9385466835982256E-4</v>
      </c>
      <c r="W188" s="24">
        <f t="shared" si="94"/>
        <v>3.7850013134106035E-4</v>
      </c>
      <c r="X188" s="24">
        <f t="shared" si="94"/>
        <v>-1.120713316876881E-4</v>
      </c>
      <c r="Y188" s="24">
        <f t="shared" si="94"/>
        <v>7.9556293701277204E-4</v>
      </c>
      <c r="Z188" s="24">
        <f t="shared" si="94"/>
        <v>5.2261428890322341E-4</v>
      </c>
      <c r="AA188" s="24">
        <f t="shared" si="94"/>
        <v>-2.2266075083862691E-5</v>
      </c>
      <c r="AB188" s="24">
        <f t="shared" si="94"/>
        <v>-1.2983941660370606E-5</v>
      </c>
      <c r="AC188" s="24">
        <f t="shared" si="94"/>
        <v>3.1039089936615066E-3</v>
      </c>
      <c r="AD188" s="24">
        <f t="shared" si="94"/>
        <v>-7.4728406399871286E-2</v>
      </c>
      <c r="AE188" s="24">
        <f t="shared" si="94"/>
        <v>4.4949980413519562E-4</v>
      </c>
      <c r="AF188" s="24">
        <f t="shared" si="94"/>
        <v>8.7368405767217658E-6</v>
      </c>
      <c r="AG188" s="24">
        <f t="shared" si="94"/>
        <v>-4.7732090605404369E-4</v>
      </c>
      <c r="AH188" s="24">
        <f t="shared" si="94"/>
        <v>-9.6407555661272732E-5</v>
      </c>
      <c r="AI188" s="24">
        <f t="shared" si="94"/>
        <v>8.3244004357459136E-4</v>
      </c>
      <c r="AJ188" s="24">
        <f t="shared" si="94"/>
        <v>1.8084920389822522E-3</v>
      </c>
      <c r="AK188" s="24">
        <f t="shared" si="94"/>
        <v>1.5456899786161265E-3</v>
      </c>
      <c r="AL188" s="24">
        <f t="shared" si="94"/>
        <v>3.9399876810582987E-4</v>
      </c>
      <c r="AM188" s="24">
        <f t="shared" si="94"/>
        <v>2.3398570734111474E-7</v>
      </c>
      <c r="AN188" s="24">
        <f t="shared" si="94"/>
        <v>4.6619088364319483E-6</v>
      </c>
      <c r="AO188" s="24">
        <f t="shared" si="94"/>
        <v>3.7010876849887801E-3</v>
      </c>
      <c r="AP188" s="24">
        <f t="shared" si="94"/>
        <v>4.4577664608529908E-4</v>
      </c>
      <c r="AQ188" s="24">
        <f t="shared" si="94"/>
        <v>6.5164751385722011E-4</v>
      </c>
      <c r="AR188" s="24">
        <f t="shared" si="94"/>
        <v>5.6559475132002832E-5</v>
      </c>
      <c r="AS188" s="24">
        <f t="shared" si="94"/>
        <v>-1.0160720604859924E-4</v>
      </c>
      <c r="AT188" s="24">
        <f t="shared" si="94"/>
        <v>-2.3820981310836673E-5</v>
      </c>
      <c r="AU188" s="24">
        <f t="shared" si="94"/>
        <v>-1.0060875915808967E-4</v>
      </c>
      <c r="AV188" s="24">
        <f t="shared" si="94"/>
        <v>-1.6900328027534382E-6</v>
      </c>
      <c r="AW188" s="24">
        <f t="shared" si="94"/>
        <v>-5.6641816143020591E-6</v>
      </c>
      <c r="AX188" s="24">
        <f t="shared" si="94"/>
        <v>1.315262135279395E-4</v>
      </c>
      <c r="AY188" s="24">
        <f t="shared" si="94"/>
        <v>2.1623716132739054E-3</v>
      </c>
      <c r="AZ188" s="24">
        <f t="shared" si="94"/>
        <v>7.6924745054468872E-4</v>
      </c>
      <c r="BA188" s="24">
        <f t="shared" si="94"/>
        <v>1.0631970799949297E-6</v>
      </c>
      <c r="BB188" s="24">
        <f t="shared" si="94"/>
        <v>-2.6508818696702452E-7</v>
      </c>
      <c r="BC188" s="24">
        <f t="shared" si="94"/>
        <v>-4.6482409127021242E-5</v>
      </c>
      <c r="BD188" s="24">
        <f t="shared" si="94"/>
        <v>-6.616026673858741E-6</v>
      </c>
      <c r="BE188" s="24">
        <f t="shared" si="94"/>
        <v>-2.166298614411575E-4</v>
      </c>
      <c r="BF188" s="24">
        <f t="shared" si="94"/>
        <v>7.7877991338734477E-5</v>
      </c>
      <c r="BG188" s="24">
        <f t="shared" si="94"/>
        <v>8.7738416982356683E-6</v>
      </c>
      <c r="BH188" s="24">
        <f t="shared" si="94"/>
        <v>2.210603840669576E-5</v>
      </c>
      <c r="BI188" s="24">
        <f t="shared" si="94"/>
        <v>-1.7817134486841313E-5</v>
      </c>
      <c r="BJ188" s="24">
        <f t="shared" si="94"/>
        <v>-6.9243063449941808E-5</v>
      </c>
      <c r="BK188" s="24">
        <f t="shared" si="94"/>
        <v>1.732903879466793E-4</v>
      </c>
      <c r="BL188" s="24">
        <f t="shared" si="94"/>
        <v>1.9655138365518883E-4</v>
      </c>
      <c r="BM188" s="24">
        <f t="shared" si="94"/>
        <v>-5.181456887583749E-4</v>
      </c>
      <c r="BN188" s="24">
        <f t="shared" si="94"/>
        <v>4.0180839350396376E-4</v>
      </c>
      <c r="BO188" s="24">
        <f t="shared" si="94"/>
        <v>-8.8943573988396464E-5</v>
      </c>
      <c r="BP188" s="24">
        <f t="shared" si="94"/>
        <v>1.14045887634445E-5</v>
      </c>
      <c r="BQ188" s="24">
        <f t="shared" si="93"/>
        <v>-5.3451741744000374E-6</v>
      </c>
      <c r="BR188" s="24">
        <f t="shared" si="93"/>
        <v>-6.4066666487091453E-9</v>
      </c>
      <c r="BS188" s="24">
        <f t="shared" si="93"/>
        <v>-4.1015162177394987E-5</v>
      </c>
      <c r="BT188" s="24">
        <f t="shared" si="93"/>
        <v>-4.3635005604262983E-5</v>
      </c>
      <c r="BU188" s="24">
        <f t="shared" si="93"/>
        <v>-3.9461690100250327E-4</v>
      </c>
      <c r="BV188" s="24">
        <f t="shared" si="93"/>
        <v>4.2223457826174829E-2</v>
      </c>
      <c r="BW188" s="24">
        <f t="shared" si="93"/>
        <v>2.5471740344290028E-3</v>
      </c>
      <c r="BX188" s="24">
        <f t="shared" si="93"/>
        <v>7.2013629179817451E-4</v>
      </c>
      <c r="BY188" s="24">
        <f t="shared" si="93"/>
        <v>6.4568553058668232E-3</v>
      </c>
      <c r="BZ188" s="24">
        <f t="shared" si="93"/>
        <v>-1.9560491230913106E-6</v>
      </c>
      <c r="CA188" s="24">
        <f t="shared" si="93"/>
        <v>2.7548405685460025E-3</v>
      </c>
      <c r="CB188" s="24">
        <f t="shared" si="93"/>
        <v>3.142710340226505E-4</v>
      </c>
      <c r="CC188" s="24">
        <f t="shared" si="93"/>
        <v>-8.4106612631699764E-8</v>
      </c>
      <c r="CD188" s="24">
        <f t="shared" si="93"/>
        <v>4.5698685311266665E-6</v>
      </c>
      <c r="CE188" s="24">
        <f t="shared" si="93"/>
        <v>-1.0104082076407271E-5</v>
      </c>
      <c r="CF188" s="24">
        <f t="shared" si="93"/>
        <v>8.2088280065816855E-5</v>
      </c>
      <c r="CG188" s="24">
        <f t="shared" si="93"/>
        <v>-8.0516061841814899E-5</v>
      </c>
      <c r="CH188" s="24">
        <f t="shared" si="93"/>
        <v>6.1952913653108986E-5</v>
      </c>
      <c r="CI188" s="24">
        <f t="shared" si="93"/>
        <v>4.4022083855024489E-3</v>
      </c>
      <c r="CJ188" s="24">
        <f t="shared" si="93"/>
        <v>1.4858996723708158E-4</v>
      </c>
      <c r="CK188" s="24">
        <f t="shared" si="93"/>
        <v>6.4869559856070471E-4</v>
      </c>
      <c r="CL188" s="24">
        <f t="shared" si="93"/>
        <v>-4.0308870301853468E-4</v>
      </c>
      <c r="CM188" s="24">
        <f t="shared" si="93"/>
        <v>1.0630371801640847E-2</v>
      </c>
      <c r="CN188" s="24">
        <f t="shared" si="93"/>
        <v>6.9045757325835063E-4</v>
      </c>
      <c r="CO188" s="24">
        <f t="shared" si="93"/>
        <v>5.1501583782547523E-3</v>
      </c>
      <c r="CP188" s="24">
        <f t="shared" si="93"/>
        <v>-2.2320961472422217E-6</v>
      </c>
      <c r="CQ188" s="24">
        <f t="shared" si="93"/>
        <v>-3.5804931078041758E-5</v>
      </c>
      <c r="CR188" s="24">
        <f t="shared" si="93"/>
        <v>6.1209640277780418E-4</v>
      </c>
      <c r="CS188" s="24">
        <f t="shared" si="93"/>
        <v>-1.8993571797399625E-4</v>
      </c>
      <c r="CT188" s="24">
        <f t="shared" si="93"/>
        <v>1.2354940576850081E-4</v>
      </c>
      <c r="CU188" s="24">
        <f t="shared" si="93"/>
        <v>-1.6634452295773046E-5</v>
      </c>
      <c r="CV188" s="24">
        <f t="shared" si="93"/>
        <v>-8.0287617226277259E-6</v>
      </c>
    </row>
    <row r="189" spans="2:101">
      <c r="B189" s="140">
        <v>2025</v>
      </c>
      <c r="C189" t="s">
        <v>1</v>
      </c>
      <c r="D189" s="24">
        <f t="shared" si="87"/>
        <v>-6.2320132738643435E-4</v>
      </c>
      <c r="E189" s="24">
        <f t="shared" si="94"/>
        <v>5.2584379339271035E-3</v>
      </c>
      <c r="F189" s="24">
        <f t="shared" si="94"/>
        <v>-4.3731053808258912E-4</v>
      </c>
      <c r="G189" s="24">
        <f t="shared" si="94"/>
        <v>9.249333234516452E-4</v>
      </c>
      <c r="H189" s="24">
        <f t="shared" si="94"/>
        <v>-1.7211860167305838E-4</v>
      </c>
      <c r="I189" s="24">
        <f t="shared" si="94"/>
        <v>5.6740415244638017E-3</v>
      </c>
      <c r="J189" s="24">
        <f t="shared" si="94"/>
        <v>-1.0619627025496822E-4</v>
      </c>
      <c r="K189" s="24">
        <f t="shared" si="94"/>
        <v>9.5413782306958111E-3</v>
      </c>
      <c r="L189" s="24">
        <f t="shared" si="94"/>
        <v>0.12133236542948524</v>
      </c>
      <c r="M189" s="24">
        <f t="shared" si="94"/>
        <v>7.4763338121070226E-4</v>
      </c>
      <c r="N189" s="24">
        <f t="shared" si="94"/>
        <v>-1.4549742232929718E-4</v>
      </c>
      <c r="O189" s="24">
        <f t="shared" si="94"/>
        <v>-1.3776595767341546E-4</v>
      </c>
      <c r="P189" s="24">
        <f t="shared" si="94"/>
        <v>-2.16049502330286E-5</v>
      </c>
      <c r="Q189" s="24">
        <f t="shared" si="94"/>
        <v>9.7025113618514154E-6</v>
      </c>
      <c r="R189" s="24">
        <f t="shared" si="94"/>
        <v>2.529807755004131E-2</v>
      </c>
      <c r="S189" s="24">
        <f t="shared" si="94"/>
        <v>9.5931349048842849E-5</v>
      </c>
      <c r="T189" s="24">
        <f t="shared" si="94"/>
        <v>1.1183354752896816E-3</v>
      </c>
      <c r="U189" s="24">
        <f t="shared" si="94"/>
        <v>1.6970378582158722E-2</v>
      </c>
      <c r="V189" s="24">
        <f t="shared" si="94"/>
        <v>1.4454201255143491E-3</v>
      </c>
      <c r="W189" s="24">
        <f t="shared" si="94"/>
        <v>5.2358140380482396E-4</v>
      </c>
      <c r="X189" s="24">
        <f t="shared" si="94"/>
        <v>3.5266295286672422E-3</v>
      </c>
      <c r="Y189" s="24">
        <f t="shared" si="94"/>
        <v>9.9898398074353364E-4</v>
      </c>
      <c r="Z189" s="24">
        <f t="shared" si="94"/>
        <v>1.4531001799167405E-3</v>
      </c>
      <c r="AA189" s="24">
        <f t="shared" si="94"/>
        <v>1.7631210666916168E-4</v>
      </c>
      <c r="AB189" s="24">
        <f t="shared" si="94"/>
        <v>-1.433517052048422E-4</v>
      </c>
      <c r="AC189" s="24">
        <f t="shared" si="94"/>
        <v>1.3482772655668931E-2</v>
      </c>
      <c r="AD189" s="24">
        <f t="shared" si="94"/>
        <v>-6.5342076673933588E-2</v>
      </c>
      <c r="AE189" s="24">
        <f t="shared" si="94"/>
        <v>1.1391939946989256E-3</v>
      </c>
      <c r="AF189" s="24">
        <f t="shared" si="94"/>
        <v>5.4293508711198465E-4</v>
      </c>
      <c r="AG189" s="24">
        <f t="shared" si="94"/>
        <v>9.8279104111036295E-4</v>
      </c>
      <c r="AH189" s="24">
        <f t="shared" si="94"/>
        <v>5.0924025689227871E-4</v>
      </c>
      <c r="AI189" s="24">
        <f t="shared" si="94"/>
        <v>6.663319956330165E-4</v>
      </c>
      <c r="AJ189" s="24">
        <f t="shared" si="94"/>
        <v>3.9026025779430097E-3</v>
      </c>
      <c r="AK189" s="24">
        <f t="shared" si="94"/>
        <v>2.0403467669414012E-3</v>
      </c>
      <c r="AL189" s="24">
        <f t="shared" si="94"/>
        <v>1.7259363364461884E-4</v>
      </c>
      <c r="AM189" s="24">
        <f t="shared" si="94"/>
        <v>-4.5675657022666481E-6</v>
      </c>
      <c r="AN189" s="24">
        <f t="shared" si="94"/>
        <v>1.6964989076048344E-6</v>
      </c>
      <c r="AO189" s="24">
        <f t="shared" si="94"/>
        <v>1.9932502073924767E-3</v>
      </c>
      <c r="AP189" s="24">
        <f t="shared" si="94"/>
        <v>5.6600429325113612E-3</v>
      </c>
      <c r="AQ189" s="24">
        <f t="shared" si="94"/>
        <v>-2.5212604202455249E-4</v>
      </c>
      <c r="AR189" s="24">
        <f t="shared" si="94"/>
        <v>4.4497306301943107E-4</v>
      </c>
      <c r="AS189" s="24">
        <f t="shared" si="94"/>
        <v>2.2882825059808123E-4</v>
      </c>
      <c r="AT189" s="24">
        <f t="shared" si="94"/>
        <v>2.816121364190546E-5</v>
      </c>
      <c r="AU189" s="24">
        <f t="shared" si="94"/>
        <v>7.5379258007328273E-6</v>
      </c>
      <c r="AV189" s="24">
        <f t="shared" si="94"/>
        <v>1.5751027580988287E-5</v>
      </c>
      <c r="AW189" s="24">
        <f t="shared" si="94"/>
        <v>6.0902957167786487E-6</v>
      </c>
      <c r="AX189" s="24">
        <f t="shared" si="94"/>
        <v>9.9486444793358718E-4</v>
      </c>
      <c r="AY189" s="24">
        <f t="shared" si="94"/>
        <v>3.4818368088005563E-3</v>
      </c>
      <c r="AZ189" s="24">
        <f t="shared" si="94"/>
        <v>1.0948007122081613E-4</v>
      </c>
      <c r="BA189" s="24" t="e">
        <f t="shared" si="94"/>
        <v>#DIV/0!</v>
      </c>
      <c r="BB189" s="24">
        <f t="shared" si="94"/>
        <v>5.5832030849085483E-8</v>
      </c>
      <c r="BC189" s="24">
        <f t="shared" si="94"/>
        <v>1.3774359065212504E-4</v>
      </c>
      <c r="BD189" s="24">
        <f t="shared" si="94"/>
        <v>-6.2357277227314755E-6</v>
      </c>
      <c r="BE189" s="24">
        <f t="shared" si="94"/>
        <v>-9.0909201794876141E-6</v>
      </c>
      <c r="BF189" s="24">
        <f t="shared" si="94"/>
        <v>2.43068715253097E-4</v>
      </c>
      <c r="BG189" s="24">
        <f t="shared" si="94"/>
        <v>2.1863888587786957E-5</v>
      </c>
      <c r="BH189" s="24">
        <f t="shared" si="94"/>
        <v>-7.0035020216043753E-6</v>
      </c>
      <c r="BI189" s="24">
        <f t="shared" si="94"/>
        <v>3.5720130363498212E-5</v>
      </c>
      <c r="BJ189" s="24">
        <f t="shared" si="94"/>
        <v>5.3872181222703729E-5</v>
      </c>
      <c r="BK189" s="24">
        <f t="shared" si="94"/>
        <v>3.5779000195761319E-5</v>
      </c>
      <c r="BL189" s="24">
        <f t="shared" si="94"/>
        <v>6.0582149685880723E-4</v>
      </c>
      <c r="BM189" s="24">
        <f t="shared" si="94"/>
        <v>5.4762533708859113E-4</v>
      </c>
      <c r="BN189" s="24">
        <f t="shared" si="94"/>
        <v>3.1031209454854942E-4</v>
      </c>
      <c r="BO189" s="24">
        <f t="shared" si="94"/>
        <v>6.3033892335089776E-5</v>
      </c>
      <c r="BP189" s="24">
        <f t="shared" si="94"/>
        <v>2.6996456616695379E-4</v>
      </c>
      <c r="BQ189" s="24">
        <f t="shared" si="93"/>
        <v>-2.024360869517307E-6</v>
      </c>
      <c r="BR189" s="24">
        <f t="shared" si="93"/>
        <v>2.2903728698324461E-5</v>
      </c>
      <c r="BS189" s="24">
        <f t="shared" si="93"/>
        <v>3.0372485601603741E-4</v>
      </c>
      <c r="BT189" s="24">
        <f t="shared" si="93"/>
        <v>5.4791677537237152E-4</v>
      </c>
      <c r="BU189" s="24">
        <f t="shared" si="93"/>
        <v>-2.0482374220780447E-4</v>
      </c>
      <c r="BV189" s="24">
        <f t="shared" si="93"/>
        <v>3.3888409827033644E-2</v>
      </c>
      <c r="BW189" s="24">
        <f t="shared" si="93"/>
        <v>2.8641754789845916E-3</v>
      </c>
      <c r="BX189" s="24">
        <f t="shared" si="93"/>
        <v>-7.3262329002484242E-4</v>
      </c>
      <c r="BY189" s="24">
        <f t="shared" si="93"/>
        <v>9.4761232588631633E-4</v>
      </c>
      <c r="BZ189" s="24">
        <f t="shared" si="93"/>
        <v>1.4242437928334731E-4</v>
      </c>
      <c r="CA189" s="24">
        <f t="shared" si="93"/>
        <v>6.4514981951072168E-4</v>
      </c>
      <c r="CB189" s="24">
        <f t="shared" si="93"/>
        <v>5.8151147904370157E-4</v>
      </c>
      <c r="CC189" s="24">
        <f t="shared" si="93"/>
        <v>9.8702484907408136E-5</v>
      </c>
      <c r="CD189" s="24">
        <f t="shared" si="93"/>
        <v>8.8251894707411568E-3</v>
      </c>
      <c r="CE189" s="24">
        <f t="shared" si="93"/>
        <v>-6.3440649717641822E-6</v>
      </c>
      <c r="CF189" s="24">
        <f t="shared" si="93"/>
        <v>2.4564157378657945E-4</v>
      </c>
      <c r="CG189" s="24">
        <f t="shared" si="93"/>
        <v>1.807126667183103E-6</v>
      </c>
      <c r="CH189" s="24">
        <f t="shared" si="93"/>
        <v>2.55565207611327E-3</v>
      </c>
      <c r="CI189" s="24">
        <f t="shared" si="93"/>
        <v>7.3902558030016514E-3</v>
      </c>
      <c r="CJ189" s="24">
        <f t="shared" si="93"/>
        <v>6.0541787292429541E-5</v>
      </c>
      <c r="CK189" s="24">
        <f t="shared" si="93"/>
        <v>-1.735852125043417E-3</v>
      </c>
      <c r="CL189" s="24">
        <f t="shared" si="93"/>
        <v>1.2514122526373155E-3</v>
      </c>
      <c r="CM189" s="24">
        <f t="shared" si="93"/>
        <v>5.7499255741260324E-4</v>
      </c>
      <c r="CN189" s="24">
        <f t="shared" si="93"/>
        <v>-1.1448339379269422E-4</v>
      </c>
      <c r="CO189" s="24">
        <f t="shared" si="93"/>
        <v>6.4804463768971992E-3</v>
      </c>
      <c r="CP189" s="24">
        <f t="shared" si="93"/>
        <v>1.8290487428427654E-6</v>
      </c>
      <c r="CQ189" s="24">
        <f t="shared" si="93"/>
        <v>-2.2172138329504905E-5</v>
      </c>
      <c r="CR189" s="24">
        <f t="shared" si="93"/>
        <v>1.3508017869623778E-4</v>
      </c>
      <c r="CS189" s="24">
        <f t="shared" si="93"/>
        <v>-6.4148409502359061E-5</v>
      </c>
      <c r="CT189" s="24">
        <f t="shared" si="93"/>
        <v>9.0480071749319396E-4</v>
      </c>
      <c r="CU189" s="24">
        <f t="shared" si="93"/>
        <v>-1.2103429867346477E-5</v>
      </c>
      <c r="CV189" s="24">
        <f t="shared" si="93"/>
        <v>-2.9658381798855121E-5</v>
      </c>
    </row>
    <row r="190" spans="2:101">
      <c r="B190" s="140"/>
      <c r="C190" t="s">
        <v>2</v>
      </c>
      <c r="D190" s="24">
        <f t="shared" si="87"/>
        <v>1.5589383985353687E-3</v>
      </c>
      <c r="E190" s="24">
        <f t="shared" si="94"/>
        <v>1.8286656593316116E-3</v>
      </c>
      <c r="F190" s="24">
        <f t="shared" si="94"/>
        <v>2.2101145528127869E-3</v>
      </c>
      <c r="G190" s="24">
        <f t="shared" si="94"/>
        <v>-2.1580496634970687E-4</v>
      </c>
      <c r="H190" s="24">
        <f t="shared" si="94"/>
        <v>4.6989979880188742E-5</v>
      </c>
      <c r="I190" s="24">
        <f t="shared" si="94"/>
        <v>6.1861750624498824E-3</v>
      </c>
      <c r="J190" s="24">
        <f t="shared" si="94"/>
        <v>-7.1671884239841394E-5</v>
      </c>
      <c r="K190" s="24">
        <f t="shared" si="94"/>
        <v>1.0285683213582163E-2</v>
      </c>
      <c r="L190" s="24">
        <f t="shared" si="94"/>
        <v>6.7884837263954514E-2</v>
      </c>
      <c r="M190" s="24">
        <f t="shared" si="94"/>
        <v>1.2099243075191838E-3</v>
      </c>
      <c r="N190" s="24">
        <f t="shared" si="94"/>
        <v>3.2641788814003037E-5</v>
      </c>
      <c r="O190" s="24">
        <f t="shared" si="94"/>
        <v>-6.9555754202800711E-5</v>
      </c>
      <c r="P190" s="24">
        <f t="shared" si="94"/>
        <v>-7.3150830294569707E-6</v>
      </c>
      <c r="Q190" s="24">
        <f t="shared" si="94"/>
        <v>3.4405406136106491E-6</v>
      </c>
      <c r="R190" s="24">
        <f t="shared" si="94"/>
        <v>2.7715774117639928E-2</v>
      </c>
      <c r="S190" s="24">
        <f t="shared" si="94"/>
        <v>-6.5844191406816207E-5</v>
      </c>
      <c r="T190" s="24">
        <f t="shared" si="94"/>
        <v>1.3471072281405637E-3</v>
      </c>
      <c r="U190" s="24">
        <f t="shared" si="94"/>
        <v>4.9667437408400005E-3</v>
      </c>
      <c r="V190" s="24">
        <f t="shared" si="94"/>
        <v>6.542460717214896E-5</v>
      </c>
      <c r="W190" s="24">
        <f t="shared" si="94"/>
        <v>4.4379259880717641E-4</v>
      </c>
      <c r="X190" s="24">
        <f t="shared" si="94"/>
        <v>4.3917776261443928E-3</v>
      </c>
      <c r="Y190" s="24">
        <f t="shared" si="94"/>
        <v>8.3914529075169401E-4</v>
      </c>
      <c r="Z190" s="24">
        <f t="shared" si="94"/>
        <v>1.3244539952491912E-3</v>
      </c>
      <c r="AA190" s="24">
        <f t="shared" si="94"/>
        <v>3.9514507015850743E-4</v>
      </c>
      <c r="AB190" s="24">
        <f t="shared" si="94"/>
        <v>1.0760352007529905E-4</v>
      </c>
      <c r="AC190" s="24">
        <f t="shared" si="94"/>
        <v>1.1151175190727437E-2</v>
      </c>
      <c r="AD190" s="24">
        <f t="shared" si="94"/>
        <v>-8.8935829770046521E-2</v>
      </c>
      <c r="AE190" s="24">
        <f t="shared" si="94"/>
        <v>1.1197817646508932E-4</v>
      </c>
      <c r="AF190" s="24">
        <f t="shared" si="94"/>
        <v>-9.2984511391935301E-4</v>
      </c>
      <c r="AG190" s="24">
        <f t="shared" si="94"/>
        <v>1.3470358300540289E-3</v>
      </c>
      <c r="AH190" s="24">
        <f t="shared" si="94"/>
        <v>2.2980908204682948E-5</v>
      </c>
      <c r="AI190" s="24">
        <f t="shared" si="94"/>
        <v>6.7045097707872116E-4</v>
      </c>
      <c r="AJ190" s="24">
        <f t="shared" si="94"/>
        <v>8.49589697061168E-4</v>
      </c>
      <c r="AK190" s="24">
        <f t="shared" si="94"/>
        <v>6.3674877444027257E-4</v>
      </c>
      <c r="AL190" s="24">
        <f t="shared" si="94"/>
        <v>1.3016565524756244E-4</v>
      </c>
      <c r="AM190" s="24" t="e">
        <f t="shared" si="94"/>
        <v>#DIV/0!</v>
      </c>
      <c r="AN190" s="24">
        <f t="shared" si="94"/>
        <v>-4.1507742279246524E-6</v>
      </c>
      <c r="AO190" s="24">
        <f t="shared" si="94"/>
        <v>2.067185209656671E-3</v>
      </c>
      <c r="AP190" s="24">
        <f t="shared" si="94"/>
        <v>-8.7454923663962377E-4</v>
      </c>
      <c r="AQ190" s="24">
        <f t="shared" si="94"/>
        <v>2.7390922275208519E-5</v>
      </c>
      <c r="AR190" s="24">
        <f t="shared" si="94"/>
        <v>2.0235476564410166E-4</v>
      </c>
      <c r="AS190" s="24">
        <f t="shared" si="94"/>
        <v>3.4013828288464629E-4</v>
      </c>
      <c r="AT190" s="24">
        <f t="shared" si="94"/>
        <v>6.5015919659427774E-6</v>
      </c>
      <c r="AU190" s="24">
        <f t="shared" si="94"/>
        <v>-2.2627502316384941E-5</v>
      </c>
      <c r="AV190" s="24">
        <f t="shared" si="94"/>
        <v>2.365106859638565E-6</v>
      </c>
      <c r="AW190" s="24">
        <f t="shared" si="94"/>
        <v>-2.3150889620304725E-6</v>
      </c>
      <c r="AX190" s="24">
        <f t="shared" si="94"/>
        <v>3.0398882479317356E-5</v>
      </c>
      <c r="AY190" s="24">
        <f t="shared" si="94"/>
        <v>7.0401041614866927E-5</v>
      </c>
      <c r="AZ190" s="24">
        <f t="shared" si="94"/>
        <v>2.0521252696722783E-4</v>
      </c>
      <c r="BA190" s="24">
        <f t="shared" si="94"/>
        <v>4.3865278351718818E-4</v>
      </c>
      <c r="BB190" s="24">
        <f t="shared" si="94"/>
        <v>6.3742832268772644E-7</v>
      </c>
      <c r="BC190" s="24">
        <f t="shared" si="94"/>
        <v>5.5366614262509277E-5</v>
      </c>
      <c r="BD190" s="24">
        <f t="shared" si="94"/>
        <v>-4.9406065123647321E-6</v>
      </c>
      <c r="BE190" s="24">
        <f t="shared" si="94"/>
        <v>-1.8017004865796937E-4</v>
      </c>
      <c r="BF190" s="24">
        <f t="shared" si="94"/>
        <v>-5.8845727280876632E-5</v>
      </c>
      <c r="BG190" s="24">
        <f t="shared" si="94"/>
        <v>-3.5888050965974983E-5</v>
      </c>
      <c r="BH190" s="24">
        <f t="shared" si="94"/>
        <v>-1.7765163188979233E-5</v>
      </c>
      <c r="BI190" s="24">
        <f t="shared" si="94"/>
        <v>-1.8479166222514977E-5</v>
      </c>
      <c r="BJ190" s="24">
        <f t="shared" si="94"/>
        <v>-1.6210424085713992E-4</v>
      </c>
      <c r="BK190" s="24">
        <f t="shared" si="94"/>
        <v>-7.3223762526282812E-5</v>
      </c>
      <c r="BL190" s="24">
        <f t="shared" si="94"/>
        <v>3.1186185589794353E-4</v>
      </c>
      <c r="BM190" s="24">
        <f t="shared" si="94"/>
        <v>-2.1189466877980347E-4</v>
      </c>
      <c r="BN190" s="24">
        <f t="shared" si="94"/>
        <v>3.9630137396381375E-4</v>
      </c>
      <c r="BO190" s="24">
        <f t="shared" si="94"/>
        <v>-5.8062517776035989E-5</v>
      </c>
      <c r="BP190" s="24">
        <f t="shared" ref="BP190:CV192" si="95">+BP164*BP137</f>
        <v>-2.5104115533283816E-5</v>
      </c>
      <c r="BQ190" s="24">
        <f t="shared" si="95"/>
        <v>-2.9388514825925537E-6</v>
      </c>
      <c r="BR190" s="24">
        <f t="shared" si="95"/>
        <v>3.9948614300843162E-5</v>
      </c>
      <c r="BS190" s="24">
        <f t="shared" si="95"/>
        <v>-1.8727302072778448E-5</v>
      </c>
      <c r="BT190" s="24">
        <f t="shared" si="95"/>
        <v>-1.942512901714224E-5</v>
      </c>
      <c r="BU190" s="24">
        <f t="shared" si="95"/>
        <v>-1.6269350490220752E-4</v>
      </c>
      <c r="BV190" s="24">
        <f t="shared" si="95"/>
        <v>3.0064932070744182E-3</v>
      </c>
      <c r="BW190" s="24">
        <f t="shared" si="95"/>
        <v>-1.7473557488636073E-3</v>
      </c>
      <c r="BX190" s="24">
        <f t="shared" si="95"/>
        <v>-6.6112799541476891E-4</v>
      </c>
      <c r="BY190" s="24">
        <f t="shared" si="95"/>
        <v>-8.3567994411524278E-4</v>
      </c>
      <c r="BZ190" s="24">
        <f t="shared" si="95"/>
        <v>8.5033204654406076E-5</v>
      </c>
      <c r="CA190" s="24">
        <f t="shared" si="95"/>
        <v>2.6391230268456418E-3</v>
      </c>
      <c r="CB190" s="24">
        <f t="shared" si="95"/>
        <v>2.0441390383283828E-5</v>
      </c>
      <c r="CC190" s="24">
        <f t="shared" si="95"/>
        <v>3.218010363582649E-5</v>
      </c>
      <c r="CD190" s="24">
        <f t="shared" si="95"/>
        <v>7.3364382456551382E-4</v>
      </c>
      <c r="CE190" s="24">
        <f t="shared" si="95"/>
        <v>2.4325671050573757E-6</v>
      </c>
      <c r="CF190" s="24">
        <f t="shared" si="95"/>
        <v>3.4116749597200754E-5</v>
      </c>
      <c r="CG190" s="24">
        <f t="shared" si="95"/>
        <v>5.2799427001026235E-6</v>
      </c>
      <c r="CH190" s="24">
        <f t="shared" si="95"/>
        <v>1.4450091543463698E-3</v>
      </c>
      <c r="CI190" s="24">
        <f t="shared" si="95"/>
        <v>3.8959480010344596E-3</v>
      </c>
      <c r="CJ190" s="24">
        <f t="shared" si="95"/>
        <v>1.2684449958003523E-4</v>
      </c>
      <c r="CK190" s="24">
        <f t="shared" si="95"/>
        <v>-1.5384532245197385E-3</v>
      </c>
      <c r="CL190" s="24">
        <f t="shared" si="95"/>
        <v>-3.54274538434691E-4</v>
      </c>
      <c r="CM190" s="24">
        <f t="shared" si="95"/>
        <v>1.3061449088165697E-3</v>
      </c>
      <c r="CN190" s="24">
        <f t="shared" si="95"/>
        <v>-3.7817172536280168E-4</v>
      </c>
      <c r="CO190" s="24">
        <f t="shared" si="95"/>
        <v>5.3719975484915804E-4</v>
      </c>
      <c r="CP190" s="24">
        <f t="shared" si="95"/>
        <v>1.5575663540044853E-6</v>
      </c>
      <c r="CQ190" s="24">
        <f t="shared" si="95"/>
        <v>-6.576571682923687E-5</v>
      </c>
      <c r="CR190" s="24">
        <f t="shared" si="95"/>
        <v>-3.4460615572096766E-4</v>
      </c>
      <c r="CS190" s="24">
        <f t="shared" si="95"/>
        <v>6.6597346462492306E-7</v>
      </c>
      <c r="CT190" s="24">
        <f t="shared" si="95"/>
        <v>8.3940602086658397E-4</v>
      </c>
      <c r="CU190" s="24">
        <f t="shared" si="95"/>
        <v>1.6632637330405404E-4</v>
      </c>
      <c r="CV190" s="24">
        <f t="shared" si="95"/>
        <v>-2.4033338221657839E-5</v>
      </c>
    </row>
    <row r="191" spans="2:101">
      <c r="B191" s="140"/>
      <c r="C191" t="s">
        <v>3</v>
      </c>
      <c r="D191" s="24">
        <f t="shared" ref="D191:BO191" si="96">+D165*D138</f>
        <v>4.5545218428698101E-3</v>
      </c>
      <c r="E191" s="24">
        <f t="shared" si="96"/>
        <v>1.2501991687978913E-3</v>
      </c>
      <c r="F191" s="24">
        <f t="shared" si="96"/>
        <v>-3.4879791114386454E-4</v>
      </c>
      <c r="G191" s="24">
        <f t="shared" si="96"/>
        <v>-8.6612806448039739E-5</v>
      </c>
      <c r="H191" s="24">
        <f t="shared" si="96"/>
        <v>-2.3068220849582947E-4</v>
      </c>
      <c r="I191" s="24">
        <f t="shared" si="96"/>
        <v>-4.9432989445627957E-3</v>
      </c>
      <c r="J191" s="24">
        <f t="shared" si="96"/>
        <v>7.4721363893525425E-5</v>
      </c>
      <c r="K191" s="24">
        <f t="shared" si="96"/>
        <v>1.5567590717652098E-2</v>
      </c>
      <c r="L191" s="24">
        <f t="shared" si="96"/>
        <v>9.0282389513377484E-2</v>
      </c>
      <c r="M191" s="24">
        <f t="shared" si="96"/>
        <v>1.5556832047404574E-3</v>
      </c>
      <c r="N191" s="24">
        <f t="shared" si="96"/>
        <v>4.7414843190516829E-4</v>
      </c>
      <c r="O191" s="24">
        <f t="shared" si="96"/>
        <v>-8.479064586769609E-6</v>
      </c>
      <c r="P191" s="24">
        <f t="shared" si="96"/>
        <v>-1.7801627151960787E-5</v>
      </c>
      <c r="Q191" s="24">
        <f t="shared" si="96"/>
        <v>2.5343300358490952E-5</v>
      </c>
      <c r="R191" s="24">
        <f t="shared" si="96"/>
        <v>2.1545346035895856E-2</v>
      </c>
      <c r="S191" s="24">
        <f t="shared" si="96"/>
        <v>9.5254146050442485E-5</v>
      </c>
      <c r="T191" s="24">
        <f t="shared" si="96"/>
        <v>6.9247390004198103E-4</v>
      </c>
      <c r="U191" s="24">
        <f t="shared" si="96"/>
        <v>2.5978619026385823E-3</v>
      </c>
      <c r="V191" s="24">
        <f t="shared" si="96"/>
        <v>5.6987657143650811E-4</v>
      </c>
      <c r="W191" s="24">
        <f t="shared" si="96"/>
        <v>7.527957349476159E-4</v>
      </c>
      <c r="X191" s="24">
        <f t="shared" si="96"/>
        <v>7.1304113539176579E-3</v>
      </c>
      <c r="Y191" s="24">
        <f t="shared" si="96"/>
        <v>2.0540879714843924E-4</v>
      </c>
      <c r="Z191" s="24">
        <f t="shared" si="96"/>
        <v>1.3772348203549864E-3</v>
      </c>
      <c r="AA191" s="24">
        <f t="shared" si="96"/>
        <v>1.7131599295898124E-5</v>
      </c>
      <c r="AB191" s="24">
        <f t="shared" si="96"/>
        <v>7.2043453327903448E-4</v>
      </c>
      <c r="AC191" s="24">
        <f t="shared" si="96"/>
        <v>0.35741036710639168</v>
      </c>
      <c r="AD191" s="24">
        <f t="shared" si="96"/>
        <v>-8.2951789236492199E-2</v>
      </c>
      <c r="AE191" s="24">
        <f t="shared" si="96"/>
        <v>-2.1579466574477271E-4</v>
      </c>
      <c r="AF191" s="24">
        <f t="shared" si="96"/>
        <v>-1.4701679626874054E-4</v>
      </c>
      <c r="AG191" s="24">
        <f t="shared" si="96"/>
        <v>1.8057898965892541E-3</v>
      </c>
      <c r="AH191" s="24">
        <f t="shared" si="96"/>
        <v>1.6525279992199238E-3</v>
      </c>
      <c r="AI191" s="24">
        <f t="shared" si="96"/>
        <v>5.5496849288701623E-4</v>
      </c>
      <c r="AJ191" s="24">
        <f t="shared" si="96"/>
        <v>3.0438100471725672E-3</v>
      </c>
      <c r="AK191" s="24">
        <f t="shared" si="96"/>
        <v>3.4921250689998228E-4</v>
      </c>
      <c r="AL191" s="24">
        <f t="shared" si="96"/>
        <v>6.3475508635791429E-4</v>
      </c>
      <c r="AM191" s="24" t="e">
        <f t="shared" si="96"/>
        <v>#DIV/0!</v>
      </c>
      <c r="AN191" s="24">
        <f t="shared" si="96"/>
        <v>1.4471438052644305E-5</v>
      </c>
      <c r="AO191" s="24">
        <f t="shared" si="96"/>
        <v>6.3028020041839567E-3</v>
      </c>
      <c r="AP191" s="24">
        <f t="shared" si="96"/>
        <v>1.8797212137109766E-3</v>
      </c>
      <c r="AQ191" s="24">
        <f t="shared" si="96"/>
        <v>-1.5917313661839046E-4</v>
      </c>
      <c r="AR191" s="24">
        <f t="shared" si="96"/>
        <v>8.3934464214781862E-5</v>
      </c>
      <c r="AS191" s="24">
        <f t="shared" si="96"/>
        <v>1.1997197010196148E-4</v>
      </c>
      <c r="AT191" s="24">
        <f t="shared" si="96"/>
        <v>-1.3849322671946719E-5</v>
      </c>
      <c r="AU191" s="24">
        <f t="shared" si="96"/>
        <v>-1.0669092207542709E-4</v>
      </c>
      <c r="AV191" s="24">
        <f t="shared" si="96"/>
        <v>1.642052181683456E-6</v>
      </c>
      <c r="AW191" s="24">
        <f t="shared" si="96"/>
        <v>2.651361300983767E-5</v>
      </c>
      <c r="AX191" s="24">
        <f t="shared" si="96"/>
        <v>6.0430900925639378E-5</v>
      </c>
      <c r="AY191" s="24">
        <f t="shared" si="96"/>
        <v>1.0151451877542352E-3</v>
      </c>
      <c r="AZ191" s="24">
        <f t="shared" si="96"/>
        <v>-3.1166580976216501E-4</v>
      </c>
      <c r="BA191" s="24">
        <f t="shared" si="96"/>
        <v>-9.3540548464104286E-8</v>
      </c>
      <c r="BB191" s="24">
        <f t="shared" si="96"/>
        <v>9.1700048613661364E-8</v>
      </c>
      <c r="BC191" s="24">
        <f t="shared" si="96"/>
        <v>1.3323826910603998E-4</v>
      </c>
      <c r="BD191" s="24">
        <f t="shared" si="96"/>
        <v>-5.8342810419761372E-6</v>
      </c>
      <c r="BE191" s="24">
        <f t="shared" si="96"/>
        <v>-3.057108163313776E-4</v>
      </c>
      <c r="BF191" s="24">
        <f t="shared" si="96"/>
        <v>4.6386116688269758E-4</v>
      </c>
      <c r="BG191" s="24">
        <f t="shared" si="96"/>
        <v>-4.1185548555414301E-5</v>
      </c>
      <c r="BH191" s="24">
        <f t="shared" si="96"/>
        <v>1.0599119282600695E-5</v>
      </c>
      <c r="BI191" s="24">
        <f t="shared" si="96"/>
        <v>-2.9099188057427178E-5</v>
      </c>
      <c r="BJ191" s="24">
        <f t="shared" si="96"/>
        <v>-1.3107625615116879E-4</v>
      </c>
      <c r="BK191" s="24">
        <f t="shared" si="96"/>
        <v>-2.1739599856016362E-4</v>
      </c>
      <c r="BL191" s="24">
        <f t="shared" si="96"/>
        <v>1.1431681576857092E-4</v>
      </c>
      <c r="BM191" s="24">
        <f t="shared" si="96"/>
        <v>-4.5286380674468111E-4</v>
      </c>
      <c r="BN191" s="24">
        <f t="shared" si="96"/>
        <v>2.436112026173664E-4</v>
      </c>
      <c r="BO191" s="24">
        <f t="shared" si="96"/>
        <v>-8.1965432123155216E-5</v>
      </c>
      <c r="BP191" s="24">
        <f t="shared" si="95"/>
        <v>2.1348344802227314E-5</v>
      </c>
      <c r="BQ191" s="24">
        <f t="shared" si="95"/>
        <v>-2.795505971319059E-6</v>
      </c>
      <c r="BR191" s="24">
        <f t="shared" si="95"/>
        <v>-1.0433365534077056E-7</v>
      </c>
      <c r="BS191" s="24">
        <f t="shared" si="95"/>
        <v>-4.2844060967538484E-5</v>
      </c>
      <c r="BT191" s="24">
        <f t="shared" si="95"/>
        <v>-1.8928685241930844E-4</v>
      </c>
      <c r="BU191" s="24">
        <f t="shared" si="95"/>
        <v>-7.2629869716482999E-4</v>
      </c>
      <c r="BV191" s="24">
        <f t="shared" si="95"/>
        <v>-1.1198389193300736E-2</v>
      </c>
      <c r="BW191" s="24">
        <f t="shared" si="95"/>
        <v>-3.3129567517299076E-3</v>
      </c>
      <c r="BX191" s="24">
        <f t="shared" si="95"/>
        <v>-7.1718519097021313E-4</v>
      </c>
      <c r="BY191" s="24">
        <f t="shared" si="95"/>
        <v>-8.4247353761567642E-4</v>
      </c>
      <c r="BZ191" s="24">
        <f t="shared" si="95"/>
        <v>-6.2948160929990976E-7</v>
      </c>
      <c r="CA191" s="24">
        <f t="shared" si="95"/>
        <v>-2.3469996429489018E-3</v>
      </c>
      <c r="CB191" s="24">
        <f t="shared" si="95"/>
        <v>3.8920172730095318E-4</v>
      </c>
      <c r="CC191" s="24">
        <f t="shared" si="95"/>
        <v>-5.0364651728682404E-6</v>
      </c>
      <c r="CD191" s="24">
        <f t="shared" si="95"/>
        <v>3.6346165360499416E-3</v>
      </c>
      <c r="CE191" s="24">
        <f t="shared" si="95"/>
        <v>-1.1495196617081006E-5</v>
      </c>
      <c r="CF191" s="24">
        <f t="shared" si="95"/>
        <v>-1.1037931812368752E-4</v>
      </c>
      <c r="CG191" s="24">
        <f t="shared" si="95"/>
        <v>-1.6905634482933263E-5</v>
      </c>
      <c r="CH191" s="24">
        <f t="shared" si="95"/>
        <v>-3.9960677236881316E-4</v>
      </c>
      <c r="CI191" s="24">
        <f t="shared" si="95"/>
        <v>-2.0002984896965478E-3</v>
      </c>
      <c r="CJ191" s="24">
        <f t="shared" si="95"/>
        <v>2.5123100355489445E-5</v>
      </c>
      <c r="CK191" s="24">
        <f t="shared" si="95"/>
        <v>-2.592007387199858E-3</v>
      </c>
      <c r="CL191" s="24">
        <f t="shared" si="95"/>
        <v>-2.4913972831054767E-4</v>
      </c>
      <c r="CM191" s="24">
        <f t="shared" si="95"/>
        <v>3.23983465950399E-4</v>
      </c>
      <c r="CN191" s="24">
        <f t="shared" si="95"/>
        <v>-6.9008018210153202E-4</v>
      </c>
      <c r="CO191" s="24">
        <f t="shared" si="95"/>
        <v>1.5246781460578899E-5</v>
      </c>
      <c r="CP191" s="24">
        <f t="shared" si="95"/>
        <v>-7.9390186517162065E-7</v>
      </c>
      <c r="CQ191" s="24">
        <f t="shared" si="95"/>
        <v>-1.9232957936100502E-6</v>
      </c>
      <c r="CR191" s="24">
        <f t="shared" si="95"/>
        <v>-6.3077553394292859E-4</v>
      </c>
      <c r="CS191" s="24">
        <f t="shared" si="95"/>
        <v>-1.3643010700850264E-4</v>
      </c>
      <c r="CT191" s="24">
        <f t="shared" si="95"/>
        <v>-4.5658681540195113E-4</v>
      </c>
      <c r="CU191" s="24">
        <f t="shared" si="95"/>
        <v>-3.0904833415385289E-5</v>
      </c>
      <c r="CV191" s="24">
        <f t="shared" si="95"/>
        <v>-6.4317110333663336E-5</v>
      </c>
      <c r="CW191" s="24"/>
    </row>
    <row r="192" spans="2:101">
      <c r="B192" s="140"/>
      <c r="C192" t="s">
        <v>4</v>
      </c>
      <c r="D192" s="24">
        <f t="shared" ref="D192:BO192" si="97">+D166*D139</f>
        <v>-1.2822800128037123E-3</v>
      </c>
      <c r="E192" s="24">
        <f t="shared" si="97"/>
        <v>-9.3077954693894331E-4</v>
      </c>
      <c r="F192" s="24">
        <f t="shared" si="97"/>
        <v>2.3689294989019966E-3</v>
      </c>
      <c r="G192" s="24">
        <f t="shared" si="97"/>
        <v>1.0973651954160498E-3</v>
      </c>
      <c r="H192" s="24">
        <f t="shared" si="97"/>
        <v>4.2639241633255074E-5</v>
      </c>
      <c r="I192" s="24">
        <f t="shared" si="97"/>
        <v>-4.2447817367356923E-4</v>
      </c>
      <c r="J192" s="24">
        <f t="shared" si="97"/>
        <v>-9.4144432510755887E-5</v>
      </c>
      <c r="K192" s="24">
        <f t="shared" si="97"/>
        <v>1.3132808216340552E-2</v>
      </c>
      <c r="L192" s="24">
        <f t="shared" si="97"/>
        <v>6.1915867835284161E-2</v>
      </c>
      <c r="M192" s="24">
        <f t="shared" si="97"/>
        <v>-2.7181663194739841E-4</v>
      </c>
      <c r="N192" s="24">
        <f t="shared" si="97"/>
        <v>5.7828754443585556E-5</v>
      </c>
      <c r="O192" s="24">
        <f t="shared" si="97"/>
        <v>2.3262962995996168E-4</v>
      </c>
      <c r="P192" s="24">
        <f t="shared" si="97"/>
        <v>-2.974265697420239E-5</v>
      </c>
      <c r="Q192" s="24">
        <f t="shared" si="97"/>
        <v>7.2717554136002426E-5</v>
      </c>
      <c r="R192" s="24">
        <f t="shared" si="97"/>
        <v>1.2972847792179337E-2</v>
      </c>
      <c r="S192" s="24">
        <f t="shared" si="97"/>
        <v>-1.4412016888250102E-4</v>
      </c>
      <c r="T192" s="24">
        <f t="shared" si="97"/>
        <v>-1.1631124919275436E-3</v>
      </c>
      <c r="U192" s="24">
        <f t="shared" si="97"/>
        <v>1.9056819679469335E-3</v>
      </c>
      <c r="V192" s="24">
        <f t="shared" si="97"/>
        <v>-1.9430448477978371E-4</v>
      </c>
      <c r="W192" s="24">
        <f t="shared" si="97"/>
        <v>4.1199222123584198E-5</v>
      </c>
      <c r="X192" s="24">
        <f t="shared" si="97"/>
        <v>4.6418321114672905E-3</v>
      </c>
      <c r="Y192" s="24">
        <f t="shared" si="97"/>
        <v>-4.4843533377763065E-4</v>
      </c>
      <c r="Z192" s="24">
        <f t="shared" si="97"/>
        <v>2.8438341691794145E-4</v>
      </c>
      <c r="AA192" s="24">
        <f t="shared" si="97"/>
        <v>7.4022513692629753E-6</v>
      </c>
      <c r="AB192" s="24">
        <f t="shared" si="97"/>
        <v>1.5503860681003752E-4</v>
      </c>
      <c r="AC192" s="24">
        <f t="shared" si="97"/>
        <v>1.9173772651065041E-2</v>
      </c>
      <c r="AD192" s="24">
        <f t="shared" si="97"/>
        <v>-7.8563408574024704E-2</v>
      </c>
      <c r="AE192" s="24">
        <f t="shared" si="97"/>
        <v>-3.9423795057483524E-4</v>
      </c>
      <c r="AF192" s="24">
        <f t="shared" si="97"/>
        <v>-9.5435772246014596E-5</v>
      </c>
      <c r="AG192" s="24">
        <f t="shared" si="97"/>
        <v>1.5049574528333476E-3</v>
      </c>
      <c r="AH192" s="24">
        <f t="shared" si="97"/>
        <v>6.8398892205309291E-4</v>
      </c>
      <c r="AI192" s="24">
        <f t="shared" si="97"/>
        <v>4.896910297393361E-4</v>
      </c>
      <c r="AJ192" s="24">
        <f t="shared" si="97"/>
        <v>2.2527447256695163E-3</v>
      </c>
      <c r="AK192" s="24">
        <f t="shared" si="97"/>
        <v>1.361983053225479E-4</v>
      </c>
      <c r="AL192" s="24">
        <f t="shared" si="97"/>
        <v>1.0335781977570982E-4</v>
      </c>
      <c r="AM192" s="24">
        <f t="shared" si="97"/>
        <v>4.0001538046079881E-3</v>
      </c>
      <c r="AN192" s="24">
        <f t="shared" si="97"/>
        <v>8.9999001128562813E-6</v>
      </c>
      <c r="AO192" s="24">
        <f t="shared" si="97"/>
        <v>6.8655185371335032E-4</v>
      </c>
      <c r="AP192" s="24">
        <f t="shared" si="97"/>
        <v>2.6928525183918391E-4</v>
      </c>
      <c r="AQ192" s="24">
        <f t="shared" si="97"/>
        <v>-2.4466124287788899E-4</v>
      </c>
      <c r="AR192" s="24">
        <f t="shared" si="97"/>
        <v>6.0960943996110345E-5</v>
      </c>
      <c r="AS192" s="24">
        <f t="shared" si="97"/>
        <v>-1.5945799586028104E-4</v>
      </c>
      <c r="AT192" s="24">
        <f t="shared" si="97"/>
        <v>5.8118397226276918E-5</v>
      </c>
      <c r="AU192" s="24">
        <f t="shared" si="97"/>
        <v>-9.2465097217331451E-5</v>
      </c>
      <c r="AV192" s="24">
        <f t="shared" si="97"/>
        <v>2.3046754405760382E-8</v>
      </c>
      <c r="AW192" s="24">
        <f t="shared" si="97"/>
        <v>8.9575135188759891E-6</v>
      </c>
      <c r="AX192" s="24">
        <f t="shared" si="97"/>
        <v>-4.8026397601584456E-7</v>
      </c>
      <c r="AY192" s="24">
        <f t="shared" si="97"/>
        <v>-6.935156977147702E-4</v>
      </c>
      <c r="AZ192" s="24">
        <f t="shared" si="97"/>
        <v>2.7578499429886324E-4</v>
      </c>
      <c r="BA192" s="24">
        <f t="shared" si="97"/>
        <v>7.1122934745702161E-7</v>
      </c>
      <c r="BB192" s="24">
        <f t="shared" si="97"/>
        <v>1.2833511507338256E-5</v>
      </c>
      <c r="BC192" s="24">
        <f t="shared" si="97"/>
        <v>-3.5412872944271114E-5</v>
      </c>
      <c r="BD192" s="24">
        <f t="shared" si="97"/>
        <v>-7.1709320635833497E-7</v>
      </c>
      <c r="BE192" s="24">
        <f t="shared" si="97"/>
        <v>9.3304207230033277E-5</v>
      </c>
      <c r="BF192" s="24">
        <f t="shared" si="97"/>
        <v>-6.2236481268766557E-5</v>
      </c>
      <c r="BG192" s="24">
        <f t="shared" si="97"/>
        <v>-3.3853219404277538E-5</v>
      </c>
      <c r="BH192" s="24">
        <f t="shared" si="97"/>
        <v>-1.2880335683315214E-5</v>
      </c>
      <c r="BI192" s="24">
        <f t="shared" si="97"/>
        <v>-4.0612083210029707E-6</v>
      </c>
      <c r="BJ192" s="24">
        <f t="shared" si="97"/>
        <v>-8.1539148939401102E-5</v>
      </c>
      <c r="BK192" s="24">
        <f t="shared" si="97"/>
        <v>1.3594171071121323E-4</v>
      </c>
      <c r="BL192" s="24">
        <f t="shared" si="97"/>
        <v>3.9318347655682912E-4</v>
      </c>
      <c r="BM192" s="24">
        <f t="shared" si="97"/>
        <v>5.1491762922899123E-5</v>
      </c>
      <c r="BN192" s="24">
        <f t="shared" si="97"/>
        <v>-3.645184409135686E-4</v>
      </c>
      <c r="BO192" s="24">
        <f t="shared" si="97"/>
        <v>1.6826246024246044E-5</v>
      </c>
      <c r="BP192" s="24">
        <f t="shared" si="95"/>
        <v>5.4319103854257272E-5</v>
      </c>
      <c r="BQ192" s="24">
        <f t="shared" si="95"/>
        <v>5.6480974463169373E-6</v>
      </c>
      <c r="BR192" s="24">
        <f t="shared" si="95"/>
        <v>5.5309395089188118E-6</v>
      </c>
      <c r="BS192" s="24">
        <f t="shared" si="95"/>
        <v>3.8709986596256431E-4</v>
      </c>
      <c r="BT192" s="24">
        <f t="shared" si="95"/>
        <v>6.7752607569056546E-5</v>
      </c>
      <c r="BU192" s="24">
        <f t="shared" si="95"/>
        <v>-1.0353958049373979E-4</v>
      </c>
      <c r="BV192" s="24">
        <f t="shared" si="95"/>
        <v>2.0726791944934046E-2</v>
      </c>
      <c r="BW192" s="24">
        <f t="shared" si="95"/>
        <v>-2.1918175317547158E-4</v>
      </c>
      <c r="BX192" s="24">
        <f t="shared" si="95"/>
        <v>4.1765691126361562E-5</v>
      </c>
      <c r="BY192" s="24">
        <f t="shared" si="95"/>
        <v>-1.1604558580391468E-3</v>
      </c>
      <c r="BZ192" s="24">
        <f t="shared" si="95"/>
        <v>2.8222066351337286E-6</v>
      </c>
      <c r="CA192" s="24">
        <f t="shared" si="95"/>
        <v>2.2466737991277646E-3</v>
      </c>
      <c r="CB192" s="24">
        <f t="shared" si="95"/>
        <v>6.3715911942973904E-5</v>
      </c>
      <c r="CC192" s="24">
        <f t="shared" si="95"/>
        <v>4.9359934339408658E-5</v>
      </c>
      <c r="CD192" s="24">
        <f t="shared" si="95"/>
        <v>7.3747715798047858E-4</v>
      </c>
      <c r="CE192" s="24">
        <f t="shared" si="95"/>
        <v>-4.5819899380616522E-6</v>
      </c>
      <c r="CF192" s="24">
        <f t="shared" si="95"/>
        <v>-1.3064868075781831E-4</v>
      </c>
      <c r="CG192" s="24">
        <f t="shared" si="95"/>
        <v>1.915592211456719E-4</v>
      </c>
      <c r="CH192" s="24">
        <f t="shared" si="95"/>
        <v>-1.293740722718218E-3</v>
      </c>
      <c r="CI192" s="24">
        <f t="shared" si="95"/>
        <v>-3.0171878003255707E-4</v>
      </c>
      <c r="CJ192" s="24">
        <f t="shared" si="95"/>
        <v>6.1124295129902895E-6</v>
      </c>
      <c r="CK192" s="24">
        <f t="shared" si="95"/>
        <v>4.9275221370492558E-3</v>
      </c>
      <c r="CL192" s="24">
        <f t="shared" si="95"/>
        <v>2.4929450392902602E-2</v>
      </c>
      <c r="CM192" s="24">
        <f t="shared" si="95"/>
        <v>3.7176503041318622E-2</v>
      </c>
      <c r="CN192" s="24">
        <f t="shared" si="95"/>
        <v>-2.3915478295532646E-4</v>
      </c>
      <c r="CO192" s="24">
        <f t="shared" si="95"/>
        <v>-3.5336568637739694E-5</v>
      </c>
      <c r="CP192" s="24">
        <f t="shared" si="95"/>
        <v>-8.6729757271247829E-7</v>
      </c>
      <c r="CQ192" s="24">
        <f t="shared" si="95"/>
        <v>1.126996450868923E-3</v>
      </c>
      <c r="CR192" s="24">
        <f t="shared" si="95"/>
        <v>-1.6165360094569245E-4</v>
      </c>
      <c r="CS192" s="24">
        <f t="shared" si="95"/>
        <v>-6.3867456261944286E-5</v>
      </c>
      <c r="CT192" s="24">
        <f t="shared" si="95"/>
        <v>-5.3261803455638174E-4</v>
      </c>
      <c r="CU192" s="24">
        <f t="shared" si="95"/>
        <v>1.2304425059696355E-3</v>
      </c>
      <c r="CV192" s="24">
        <f t="shared" si="95"/>
        <v>5.1680914813008691E-5</v>
      </c>
    </row>
    <row r="194" spans="3:101">
      <c r="C194" t="s">
        <v>115</v>
      </c>
      <c r="D194" s="24">
        <f>+AVERAGE(D173:D192)</f>
        <v>1.5266460931083006E-3</v>
      </c>
      <c r="E194" s="24">
        <f t="shared" ref="E194:BP194" si="98">+AVERAGE(E173:E192)</f>
        <v>1.5784749785019048E-3</v>
      </c>
      <c r="F194" s="24">
        <f t="shared" si="98"/>
        <v>3.8836774464807435E-4</v>
      </c>
      <c r="G194" s="24">
        <f t="shared" si="98"/>
        <v>6.0909375707190181E-4</v>
      </c>
      <c r="H194" s="24">
        <f t="shared" si="98"/>
        <v>1.2303649718510302E-4</v>
      </c>
      <c r="I194" s="24">
        <f t="shared" si="98"/>
        <v>5.3787661501280091E-3</v>
      </c>
      <c r="J194" s="24">
        <f t="shared" si="98"/>
        <v>7.2191637562089996E-5</v>
      </c>
      <c r="K194" s="24">
        <f t="shared" si="98"/>
        <v>6.1198407151177182E-3</v>
      </c>
      <c r="L194" s="24">
        <f t="shared" si="98"/>
        <v>2.6717962734698876E-2</v>
      </c>
      <c r="M194" s="24">
        <f t="shared" si="98"/>
        <v>2.2052052279411235E-3</v>
      </c>
      <c r="N194" s="24">
        <f t="shared" si="98"/>
        <v>7.389349880760246E-5</v>
      </c>
      <c r="O194" s="24">
        <f t="shared" si="98"/>
        <v>1.1671697910997705E-4</v>
      </c>
      <c r="P194" s="24">
        <f t="shared" si="98"/>
        <v>1.8723364027319871E-5</v>
      </c>
      <c r="Q194" s="24">
        <f t="shared" si="98"/>
        <v>1.9976331587843219E-5</v>
      </c>
      <c r="R194" s="24">
        <f t="shared" si="98"/>
        <v>6.6691405551525711E-3</v>
      </c>
      <c r="S194" s="24">
        <f t="shared" si="98"/>
        <v>1.0725910430616889E-5</v>
      </c>
      <c r="T194" s="24">
        <f t="shared" si="98"/>
        <v>1.2614926991017206E-3</v>
      </c>
      <c r="U194" s="24">
        <f t="shared" si="98"/>
        <v>2.5631717485656716E-3</v>
      </c>
      <c r="V194" s="24">
        <f t="shared" si="98"/>
        <v>3.4683175415162247E-4</v>
      </c>
      <c r="W194" s="24">
        <f t="shared" si="98"/>
        <v>6.0790628642775138E-4</v>
      </c>
      <c r="X194" s="24">
        <f t="shared" si="98"/>
        <v>1.767077895629526E-3</v>
      </c>
      <c r="Y194" s="24">
        <f t="shared" si="98"/>
        <v>3.4001675855341751E-4</v>
      </c>
      <c r="Z194" s="24">
        <f t="shared" si="98"/>
        <v>5.3873429316484399E-4</v>
      </c>
      <c r="AA194" s="24">
        <f t="shared" si="98"/>
        <v>1.9336352325426647E-4</v>
      </c>
      <c r="AB194" s="24">
        <f t="shared" si="98"/>
        <v>1.5862951237041793E-4</v>
      </c>
      <c r="AC194" s="24">
        <f t="shared" si="98"/>
        <v>2.2960334989008957E-2</v>
      </c>
      <c r="AD194" s="24">
        <f t="shared" si="98"/>
        <v>8.6032279381562979E-2</v>
      </c>
      <c r="AE194" s="24">
        <f t="shared" si="98"/>
        <v>6.7559083214803982E-4</v>
      </c>
      <c r="AF194" s="24">
        <f t="shared" si="98"/>
        <v>5.8388819330427132E-4</v>
      </c>
      <c r="AG194" s="24">
        <f t="shared" si="98"/>
        <v>4.8972826710035598E-4</v>
      </c>
      <c r="AH194" s="24">
        <f t="shared" si="98"/>
        <v>5.198686083650551E-4</v>
      </c>
      <c r="AI194" s="24">
        <f t="shared" si="98"/>
        <v>4.8163793658198507E-4</v>
      </c>
      <c r="AJ194" s="24">
        <f t="shared" si="98"/>
        <v>1.9011984037152717E-3</v>
      </c>
      <c r="AK194" s="24">
        <f t="shared" si="98"/>
        <v>6.2390855444857999E-4</v>
      </c>
      <c r="AL194" s="24">
        <f t="shared" si="98"/>
        <v>1.8377234460162234E-4</v>
      </c>
      <c r="AM194" s="24" t="e">
        <f t="shared" si="98"/>
        <v>#DIV/0!</v>
      </c>
      <c r="AN194" s="24">
        <f t="shared" si="98"/>
        <v>8.95574338861376E-6</v>
      </c>
      <c r="AO194" s="24">
        <f t="shared" si="98"/>
        <v>1.4416553885227596E-3</v>
      </c>
      <c r="AP194" s="24">
        <f t="shared" si="98"/>
        <v>4.8901915456323166E-3</v>
      </c>
      <c r="AQ194" s="24">
        <f t="shared" si="98"/>
        <v>1.5490060300315286E-4</v>
      </c>
      <c r="AR194" s="24">
        <f t="shared" si="98"/>
        <v>6.5270372660743462E-4</v>
      </c>
      <c r="AS194" s="24">
        <f t="shared" si="98"/>
        <v>1.0341762639670259E-4</v>
      </c>
      <c r="AT194" s="24">
        <f t="shared" si="98"/>
        <v>3.0548844496965487E-5</v>
      </c>
      <c r="AU194" s="24">
        <f t="shared" si="98"/>
        <v>5.5798484380900471E-5</v>
      </c>
      <c r="AV194" s="24">
        <f t="shared" si="98"/>
        <v>6.9671375213500751E-6</v>
      </c>
      <c r="AW194" s="24">
        <f t="shared" si="98"/>
        <v>1.5391541072750473E-5</v>
      </c>
      <c r="AX194" s="24">
        <f t="shared" si="98"/>
        <v>7.7396560345664294E-5</v>
      </c>
      <c r="AY194" s="24">
        <f t="shared" si="98"/>
        <v>9.9062966417596599E-4</v>
      </c>
      <c r="AZ194" s="24">
        <f t="shared" si="98"/>
        <v>2.5225429307178682E-4</v>
      </c>
      <c r="BA194" s="24" t="e">
        <f t="shared" si="98"/>
        <v>#DIV/0!</v>
      </c>
      <c r="BB194" s="24" t="e">
        <f t="shared" si="98"/>
        <v>#DIV/0!</v>
      </c>
      <c r="BC194" s="24">
        <f t="shared" si="98"/>
        <v>1.6838703997979504E-4</v>
      </c>
      <c r="BD194" s="24">
        <f t="shared" si="98"/>
        <v>5.5498742169599644E-5</v>
      </c>
      <c r="BE194" s="24">
        <f t="shared" si="98"/>
        <v>1.4694231724706526E-4</v>
      </c>
      <c r="BF194" s="24">
        <f t="shared" si="98"/>
        <v>4.6737608690877199E-5</v>
      </c>
      <c r="BG194" s="24">
        <f t="shared" si="98"/>
        <v>2.9316495161219544E-5</v>
      </c>
      <c r="BH194" s="24">
        <f t="shared" si="98"/>
        <v>3.5617543779671006E-5</v>
      </c>
      <c r="BI194" s="24">
        <f t="shared" si="98"/>
        <v>1.4998014359915983E-5</v>
      </c>
      <c r="BJ194" s="24">
        <f t="shared" si="98"/>
        <v>5.5139538020171947E-5</v>
      </c>
      <c r="BK194" s="24">
        <f t="shared" si="98"/>
        <v>4.5823578447521117E-4</v>
      </c>
      <c r="BL194" s="24">
        <f t="shared" si="98"/>
        <v>6.8671155662814658E-4</v>
      </c>
      <c r="BM194" s="24">
        <f t="shared" si="98"/>
        <v>9.8706118773995858E-4</v>
      </c>
      <c r="BN194" s="24">
        <f t="shared" si="98"/>
        <v>5.3694868301962562E-5</v>
      </c>
      <c r="BO194" s="24">
        <f t="shared" si="98"/>
        <v>1.5850322785209561E-4</v>
      </c>
      <c r="BP194" s="24">
        <f t="shared" si="98"/>
        <v>1.0269948817838834E-4</v>
      </c>
      <c r="BQ194" s="24">
        <f t="shared" ref="BQ194:CW194" si="99">+AVERAGE(BQ173:BQ192)</f>
        <v>1.9212557266706232E-5</v>
      </c>
      <c r="BR194" s="24">
        <f t="shared" si="99"/>
        <v>3.7200569430520162E-6</v>
      </c>
      <c r="BS194" s="24">
        <f t="shared" si="99"/>
        <v>2.1533978373219179E-4</v>
      </c>
      <c r="BT194" s="24">
        <f t="shared" si="99"/>
        <v>2.6063363402571997E-4</v>
      </c>
      <c r="BU194" s="24">
        <f t="shared" si="99"/>
        <v>1.4545135811230039E-4</v>
      </c>
      <c r="BV194" s="24">
        <f t="shared" si="99"/>
        <v>1.0937888727477207E-2</v>
      </c>
      <c r="BW194" s="24">
        <f t="shared" si="99"/>
        <v>3.7965929968721904E-3</v>
      </c>
      <c r="BX194" s="24">
        <f t="shared" si="99"/>
        <v>1.2758332478620977E-3</v>
      </c>
      <c r="BY194" s="24">
        <f t="shared" si="99"/>
        <v>2.1489678747246927E-3</v>
      </c>
      <c r="BZ194" s="24">
        <f t="shared" si="99"/>
        <v>2.0110276105039171E-5</v>
      </c>
      <c r="CA194" s="24">
        <f t="shared" si="99"/>
        <v>3.4521130796086818E-3</v>
      </c>
      <c r="CB194" s="24">
        <f t="shared" si="99"/>
        <v>3.1457403751810345E-4</v>
      </c>
      <c r="CC194" s="24">
        <f t="shared" si="99"/>
        <v>1.2024908068877995E-3</v>
      </c>
      <c r="CD194" s="24" t="e">
        <f t="shared" si="99"/>
        <v>#DIV/0!</v>
      </c>
      <c r="CE194" s="24">
        <f t="shared" si="99"/>
        <v>1.374836511077772E-5</v>
      </c>
      <c r="CF194" s="24">
        <f t="shared" si="99"/>
        <v>1.3591777813583517E-4</v>
      </c>
      <c r="CG194" s="24">
        <f t="shared" si="99"/>
        <v>2.1344560380407311E-4</v>
      </c>
      <c r="CH194" s="24">
        <f t="shared" si="99"/>
        <v>1.5420589799651765E-3</v>
      </c>
      <c r="CI194" s="24">
        <f t="shared" si="99"/>
        <v>2.9769920166208457E-3</v>
      </c>
      <c r="CJ194" s="24">
        <f t="shared" si="99"/>
        <v>3.9501237633255426E-5</v>
      </c>
      <c r="CK194" s="24">
        <f t="shared" si="99"/>
        <v>1.3072152002337359E-3</v>
      </c>
      <c r="CL194" s="24">
        <f t="shared" si="99"/>
        <v>3.3605031520650835E-3</v>
      </c>
      <c r="CM194" s="24">
        <f t="shared" si="99"/>
        <v>3.1379288789173199E-3</v>
      </c>
      <c r="CN194" s="24">
        <f t="shared" si="99"/>
        <v>1.3646614362728754E-4</v>
      </c>
      <c r="CO194" s="24">
        <f t="shared" si="99"/>
        <v>6.6236989512911937E-4</v>
      </c>
      <c r="CP194" s="24">
        <f t="shared" si="99"/>
        <v>3.9723644496246335E-5</v>
      </c>
      <c r="CQ194" s="24">
        <f t="shared" si="99"/>
        <v>2.7654114986858285E-3</v>
      </c>
      <c r="CR194" s="24">
        <f t="shared" si="99"/>
        <v>4.214667769966562E-4</v>
      </c>
      <c r="CS194" s="24">
        <f t="shared" si="99"/>
        <v>1.704420879934225E-4</v>
      </c>
      <c r="CT194" s="24">
        <f t="shared" si="99"/>
        <v>1.9398443135677386E-4</v>
      </c>
      <c r="CU194" s="24">
        <f t="shared" si="99"/>
        <v>9.6195135210245069E-5</v>
      </c>
      <c r="CV194" s="24">
        <f t="shared" si="99"/>
        <v>3.5373245778034333E-5</v>
      </c>
      <c r="CW194" s="24"/>
    </row>
    <row r="195" spans="3:101">
      <c r="C195" t="s">
        <v>116</v>
      </c>
      <c r="D195" s="24">
        <f>+MEDIAN(D173:D192)</f>
        <v>-2.0848555696865464E-4</v>
      </c>
      <c r="E195" s="24">
        <f t="shared" ref="E195:BP195" si="100">+MEDIAN(E173:E192)</f>
        <v>-2.8993626788992619E-4</v>
      </c>
      <c r="F195" s="24">
        <f t="shared" si="100"/>
        <v>1.0451600136212013E-4</v>
      </c>
      <c r="G195" s="24">
        <f t="shared" si="100"/>
        <v>3.6867828218153573E-4</v>
      </c>
      <c r="H195" s="24">
        <f t="shared" si="100"/>
        <v>1.6492338438388264E-4</v>
      </c>
      <c r="I195" s="24">
        <f t="shared" si="100"/>
        <v>5.9301082934568421E-3</v>
      </c>
      <c r="J195" s="24">
        <f t="shared" si="100"/>
        <v>7.2041958851297119E-5</v>
      </c>
      <c r="K195" s="24">
        <f t="shared" si="100"/>
        <v>3.8483762578882643E-3</v>
      </c>
      <c r="L195" s="24">
        <f t="shared" si="100"/>
        <v>2.2216201384791044E-2</v>
      </c>
      <c r="M195" s="24">
        <f t="shared" si="100"/>
        <v>8.3653345504006285E-5</v>
      </c>
      <c r="N195" s="24">
        <f t="shared" si="100"/>
        <v>5.2497691463534429E-5</v>
      </c>
      <c r="O195" s="24">
        <f t="shared" si="100"/>
        <v>1.2158922066676125E-4</v>
      </c>
      <c r="P195" s="24">
        <f t="shared" si="100"/>
        <v>-1.2920309494697674E-5</v>
      </c>
      <c r="Q195" s="24">
        <f t="shared" si="100"/>
        <v>1.2862147135537461E-5</v>
      </c>
      <c r="R195" s="24">
        <f t="shared" si="100"/>
        <v>3.1879321706854806E-3</v>
      </c>
      <c r="S195" s="24">
        <f t="shared" si="100"/>
        <v>-6.9804924194588912E-5</v>
      </c>
      <c r="T195" s="24">
        <f t="shared" si="100"/>
        <v>1.0541098031843596E-3</v>
      </c>
      <c r="U195" s="24">
        <f t="shared" si="100"/>
        <v>4.8583243464965368E-4</v>
      </c>
      <c r="V195" s="24">
        <f t="shared" si="100"/>
        <v>5.3903116307710275E-4</v>
      </c>
      <c r="W195" s="24">
        <f t="shared" si="100"/>
        <v>5.3496386493904135E-4</v>
      </c>
      <c r="X195" s="24">
        <f t="shared" si="100"/>
        <v>1.9456207020079087E-3</v>
      </c>
      <c r="Y195" s="24">
        <f t="shared" si="100"/>
        <v>3.2335742532575034E-4</v>
      </c>
      <c r="Z195" s="24">
        <f t="shared" si="100"/>
        <v>4.1994014769335748E-4</v>
      </c>
      <c r="AA195" s="24">
        <f t="shared" si="100"/>
        <v>6.872172039175833E-6</v>
      </c>
      <c r="AB195" s="24">
        <f t="shared" si="100"/>
        <v>1.3876154462246491E-4</v>
      </c>
      <c r="AC195" s="24">
        <f t="shared" si="100"/>
        <v>2.4557078095394911E-3</v>
      </c>
      <c r="AD195" s="24">
        <f t="shared" si="100"/>
        <v>-3.8735343592681007E-2</v>
      </c>
      <c r="AE195" s="24">
        <f t="shared" si="100"/>
        <v>3.1848210714786114E-4</v>
      </c>
      <c r="AF195" s="24">
        <f t="shared" si="100"/>
        <v>3.9267321182685235E-4</v>
      </c>
      <c r="AG195" s="24">
        <f t="shared" si="100"/>
        <v>6.2129868916136876E-4</v>
      </c>
      <c r="AH195" s="24">
        <f t="shared" si="100"/>
        <v>1.4675126246377923E-4</v>
      </c>
      <c r="AI195" s="24">
        <f t="shared" si="100"/>
        <v>5.2228792074930587E-4</v>
      </c>
      <c r="AJ195" s="24">
        <f t="shared" si="100"/>
        <v>1.9511080137271479E-3</v>
      </c>
      <c r="AK195" s="24">
        <f t="shared" si="100"/>
        <v>4.5515067948293685E-4</v>
      </c>
      <c r="AL195" s="24">
        <f t="shared" si="100"/>
        <v>1.1676173751163613E-4</v>
      </c>
      <c r="AM195" s="24" t="e">
        <f t="shared" si="100"/>
        <v>#DIV/0!</v>
      </c>
      <c r="AN195" s="24">
        <f t="shared" si="100"/>
        <v>1.6834848450307031E-6</v>
      </c>
      <c r="AO195" s="24">
        <f t="shared" si="100"/>
        <v>1.6696480054714156E-3</v>
      </c>
      <c r="AP195" s="24">
        <f t="shared" si="100"/>
        <v>1.6259124000521465E-3</v>
      </c>
      <c r="AQ195" s="24">
        <f t="shared" si="100"/>
        <v>8.9693639333486742E-5</v>
      </c>
      <c r="AR195" s="24">
        <f t="shared" si="100"/>
        <v>5.7992376218707646E-6</v>
      </c>
      <c r="AS195" s="24">
        <f t="shared" si="100"/>
        <v>3.8468762006362257E-5</v>
      </c>
      <c r="AT195" s="24">
        <f t="shared" si="100"/>
        <v>-3.2047559045069347E-6</v>
      </c>
      <c r="AU195" s="24">
        <f t="shared" si="100"/>
        <v>-2.1296528923524723E-5</v>
      </c>
      <c r="AV195" s="24">
        <f t="shared" si="100"/>
        <v>1.0105930620763856E-6</v>
      </c>
      <c r="AW195" s="24">
        <f t="shared" si="100"/>
        <v>4.1904351556069604E-6</v>
      </c>
      <c r="AX195" s="24">
        <f t="shared" si="100"/>
        <v>4.87910814447586E-6</v>
      </c>
      <c r="AY195" s="24">
        <f t="shared" si="100"/>
        <v>7.7151963980738451E-4</v>
      </c>
      <c r="AZ195" s="24">
        <f t="shared" si="100"/>
        <v>1.5349142746257639E-4</v>
      </c>
      <c r="BA195" s="24" t="e">
        <f t="shared" si="100"/>
        <v>#DIV/0!</v>
      </c>
      <c r="BB195" s="24" t="e">
        <f t="shared" si="100"/>
        <v>#DIV/0!</v>
      </c>
      <c r="BC195" s="24">
        <f t="shared" si="100"/>
        <v>-3.7028290716458372E-5</v>
      </c>
      <c r="BD195" s="24">
        <f t="shared" si="100"/>
        <v>-2.8288498593615336E-6</v>
      </c>
      <c r="BE195" s="24">
        <f t="shared" si="100"/>
        <v>6.2479733871833567E-6</v>
      </c>
      <c r="BF195" s="24">
        <f t="shared" si="100"/>
        <v>9.7755829861136354E-6</v>
      </c>
      <c r="BG195" s="24">
        <f t="shared" si="100"/>
        <v>2.9444189121424961E-6</v>
      </c>
      <c r="BH195" s="24">
        <f t="shared" si="100"/>
        <v>7.3556701196982942E-6</v>
      </c>
      <c r="BI195" s="24">
        <f t="shared" si="100"/>
        <v>-9.0104900849863567E-6</v>
      </c>
      <c r="BJ195" s="24">
        <f t="shared" si="100"/>
        <v>-6.8365838752361321E-5</v>
      </c>
      <c r="BK195" s="24">
        <f t="shared" si="100"/>
        <v>2.6164086223893391E-5</v>
      </c>
      <c r="BL195" s="24">
        <f t="shared" si="100"/>
        <v>1.5543409971187987E-4</v>
      </c>
      <c r="BM195" s="24">
        <f t="shared" si="100"/>
        <v>-4.6824474267758212E-4</v>
      </c>
      <c r="BN195" s="24">
        <f t="shared" si="100"/>
        <v>1.2189440104743782E-4</v>
      </c>
      <c r="BO195" s="24">
        <f t="shared" si="100"/>
        <v>4.0686096876365541E-5</v>
      </c>
      <c r="BP195" s="24">
        <f t="shared" si="100"/>
        <v>7.1760007821841798E-5</v>
      </c>
      <c r="BQ195" s="24">
        <f t="shared" ref="BQ195:CW195" si="101">+MEDIAN(BQ173:BQ192)</f>
        <v>-3.0517035275536824E-7</v>
      </c>
      <c r="BR195" s="24">
        <f t="shared" si="101"/>
        <v>1.8766334435659138E-7</v>
      </c>
      <c r="BS195" s="24">
        <f t="shared" si="101"/>
        <v>1.2843998244677611E-4</v>
      </c>
      <c r="BT195" s="24">
        <f t="shared" si="101"/>
        <v>1.1483642386990385E-4</v>
      </c>
      <c r="BU195" s="24">
        <f t="shared" si="101"/>
        <v>-5.9572677534939812E-5</v>
      </c>
      <c r="BV195" s="24">
        <f t="shared" si="101"/>
        <v>8.5764805614633455E-3</v>
      </c>
      <c r="BW195" s="24">
        <f t="shared" si="101"/>
        <v>4.838707967158926E-4</v>
      </c>
      <c r="BX195" s="24">
        <f t="shared" si="101"/>
        <v>2.4071997244665307E-4</v>
      </c>
      <c r="BY195" s="24">
        <f t="shared" si="101"/>
        <v>6.0355383402739462E-4</v>
      </c>
      <c r="BZ195" s="24">
        <f t="shared" si="101"/>
        <v>2.1495409614635991E-6</v>
      </c>
      <c r="CA195" s="24">
        <f t="shared" si="101"/>
        <v>4.9783439043439874E-3</v>
      </c>
      <c r="CB195" s="24">
        <f t="shared" si="101"/>
        <v>8.2182267921979399E-6</v>
      </c>
      <c r="CC195" s="24">
        <f t="shared" si="101"/>
        <v>1.0258451834872754E-5</v>
      </c>
      <c r="CD195" s="24" t="e">
        <f t="shared" si="101"/>
        <v>#DIV/0!</v>
      </c>
      <c r="CE195" s="24">
        <f t="shared" si="101"/>
        <v>2.0401344242913951E-6</v>
      </c>
      <c r="CF195" s="24">
        <f t="shared" si="101"/>
        <v>3.3728369522884757E-5</v>
      </c>
      <c r="CG195" s="24">
        <f t="shared" si="101"/>
        <v>2.1542752998143441E-5</v>
      </c>
      <c r="CH195" s="24">
        <f t="shared" si="101"/>
        <v>1.159251848496393E-3</v>
      </c>
      <c r="CI195" s="24">
        <f t="shared" si="101"/>
        <v>3.1915046487244235E-3</v>
      </c>
      <c r="CJ195" s="24">
        <f t="shared" si="101"/>
        <v>5.396663586383275E-6</v>
      </c>
      <c r="CK195" s="24">
        <f t="shared" si="101"/>
        <v>2.1988611097834143E-4</v>
      </c>
      <c r="CL195" s="24">
        <f t="shared" si="101"/>
        <v>5.0956490906658124E-4</v>
      </c>
      <c r="CM195" s="24">
        <f t="shared" si="101"/>
        <v>6.4250021989620509E-5</v>
      </c>
      <c r="CN195" s="24">
        <f t="shared" si="101"/>
        <v>2.0463889197750435E-5</v>
      </c>
      <c r="CO195" s="24">
        <f t="shared" si="101"/>
        <v>3.581326880680591E-7</v>
      </c>
      <c r="CP195" s="24">
        <f t="shared" si="101"/>
        <v>-2.6075320655850921E-7</v>
      </c>
      <c r="CQ195" s="24">
        <f t="shared" si="101"/>
        <v>-5.7764527726819893E-6</v>
      </c>
      <c r="CR195" s="24">
        <f t="shared" si="101"/>
        <v>1.2663460978919785E-4</v>
      </c>
      <c r="CS195" s="24">
        <f t="shared" si="101"/>
        <v>-4.4366600605784103E-5</v>
      </c>
      <c r="CT195" s="24">
        <f t="shared" si="101"/>
        <v>1.3412145812212651E-4</v>
      </c>
      <c r="CU195" s="24">
        <f t="shared" si="101"/>
        <v>3.9800763856353615E-6</v>
      </c>
      <c r="CV195" s="24">
        <f t="shared" si="101"/>
        <v>-2.5935158348613185E-6</v>
      </c>
      <c r="CW195" s="24"/>
    </row>
  </sheetData>
  <mergeCells count="22">
    <mergeCell ref="CW1:CW2"/>
    <mergeCell ref="B93:B96"/>
    <mergeCell ref="B97:B100"/>
    <mergeCell ref="B151:B154"/>
    <mergeCell ref="B101:B104"/>
    <mergeCell ref="B105:B108"/>
    <mergeCell ref="B109:B112"/>
    <mergeCell ref="B113:B116"/>
    <mergeCell ref="B120:B123"/>
    <mergeCell ref="B124:B127"/>
    <mergeCell ref="B128:B131"/>
    <mergeCell ref="B132:B135"/>
    <mergeCell ref="B136:B139"/>
    <mergeCell ref="B147:B150"/>
    <mergeCell ref="B185:B188"/>
    <mergeCell ref="B189:B192"/>
    <mergeCell ref="B155:B158"/>
    <mergeCell ref="B159:B162"/>
    <mergeCell ref="B163:B166"/>
    <mergeCell ref="B173:B176"/>
    <mergeCell ref="B177:B180"/>
    <mergeCell ref="B181:B184"/>
  </mergeCells>
  <conditionalFormatting sqref="D194:CW1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1:CW1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7E36-6FCA-9240-A11F-C4548BF601C5}">
  <dimension ref="A2:AM128"/>
  <sheetViews>
    <sheetView topLeftCell="R7" zoomScale="160" zoomScaleNormal="42" workbookViewId="0">
      <selection activeCell="AM36" sqref="AM36"/>
    </sheetView>
  </sheetViews>
  <sheetFormatPr baseColWidth="10" defaultRowHeight="15"/>
  <cols>
    <col min="7" max="7" width="11.5" bestFit="1" customWidth="1"/>
    <col min="27" max="27" width="20" customWidth="1"/>
    <col min="28" max="28" width="13" customWidth="1"/>
    <col min="29" max="29" width="24.6640625" customWidth="1"/>
    <col min="30" max="30" width="16.33203125" customWidth="1"/>
    <col min="31" max="31" width="12.6640625" customWidth="1"/>
    <col min="32" max="32" width="16.83203125" bestFit="1" customWidth="1"/>
    <col min="33" max="33" width="13.33203125" bestFit="1" customWidth="1"/>
    <col min="34" max="34" width="36.1640625" bestFit="1" customWidth="1"/>
    <col min="35" max="35" width="38.5" bestFit="1" customWidth="1"/>
  </cols>
  <sheetData>
    <row r="2" spans="1:35" ht="16" thickBot="1">
      <c r="V2" t="s">
        <v>397</v>
      </c>
    </row>
    <row r="3" spans="1:35" ht="16" thickBot="1">
      <c r="A3" s="89" t="s">
        <v>118</v>
      </c>
      <c r="B3" s="37"/>
      <c r="C3" s="147" t="s">
        <v>119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37"/>
      <c r="Q3" s="142" t="s">
        <v>120</v>
      </c>
      <c r="R3" s="37"/>
      <c r="S3" s="144" t="s">
        <v>6</v>
      </c>
    </row>
    <row r="4" spans="1:35" ht="52">
      <c r="A4" s="39"/>
      <c r="B4" s="38"/>
      <c r="C4" s="146" t="s">
        <v>121</v>
      </c>
      <c r="D4" s="146"/>
      <c r="E4" s="38"/>
      <c r="F4" s="146" t="s">
        <v>122</v>
      </c>
      <c r="G4" s="146"/>
      <c r="H4" s="39"/>
      <c r="I4" s="146" t="s">
        <v>123</v>
      </c>
      <c r="J4" s="146"/>
      <c r="K4" s="38"/>
      <c r="L4" s="146" t="s">
        <v>124</v>
      </c>
      <c r="M4" s="146"/>
      <c r="N4" s="38"/>
      <c r="O4" s="40" t="s">
        <v>125</v>
      </c>
      <c r="P4" s="41"/>
      <c r="Q4" s="143"/>
      <c r="R4" s="41"/>
      <c r="S4" s="145"/>
      <c r="T4" s="6" t="s">
        <v>72</v>
      </c>
      <c r="U4" s="6" t="s">
        <v>43</v>
      </c>
      <c r="V4" s="6" t="s">
        <v>12</v>
      </c>
    </row>
    <row r="5" spans="1:35" ht="27" thickBot="1">
      <c r="A5" s="90"/>
      <c r="B5" s="42"/>
      <c r="C5" s="43" t="s">
        <v>126</v>
      </c>
      <c r="D5" s="43" t="s">
        <v>127</v>
      </c>
      <c r="E5" s="43"/>
      <c r="F5" s="43" t="s">
        <v>126</v>
      </c>
      <c r="G5" s="43" t="s">
        <v>127</v>
      </c>
      <c r="H5" s="43"/>
      <c r="I5" s="43" t="s">
        <v>126</v>
      </c>
      <c r="J5" s="43" t="s">
        <v>127</v>
      </c>
      <c r="K5" s="43"/>
      <c r="L5" s="43" t="s">
        <v>126</v>
      </c>
      <c r="M5" s="43" t="s">
        <v>127</v>
      </c>
      <c r="N5" s="43"/>
      <c r="O5" s="43" t="s">
        <v>126</v>
      </c>
      <c r="P5" s="43"/>
      <c r="Q5" s="43" t="s">
        <v>126</v>
      </c>
      <c r="R5" s="44"/>
      <c r="S5" s="45" t="s">
        <v>126</v>
      </c>
    </row>
    <row r="6" spans="1:35">
      <c r="A6" s="25">
        <v>43466</v>
      </c>
      <c r="B6" s="26" t="str">
        <f>YEAR(A6)&amp;"-B"&amp;INT((MONTH(A6)-1)/2)+1</f>
        <v>2019-B1</v>
      </c>
      <c r="C6" s="27">
        <v>252393.74174999996</v>
      </c>
      <c r="D6" s="27">
        <v>80910.795499999993</v>
      </c>
      <c r="E6" s="27"/>
      <c r="F6" s="27">
        <v>456344.08977000008</v>
      </c>
      <c r="G6" s="13">
        <v>5236729.29</v>
      </c>
      <c r="H6" s="13"/>
      <c r="I6" s="13">
        <v>1159103.89007</v>
      </c>
      <c r="J6" s="13">
        <v>3202168.9831400001</v>
      </c>
      <c r="K6" s="13"/>
      <c r="L6" s="13">
        <v>63598.803300000014</v>
      </c>
      <c r="M6" s="13">
        <v>17725.022000000001</v>
      </c>
      <c r="N6" s="13"/>
      <c r="O6" s="13">
        <v>1931440.52489</v>
      </c>
      <c r="P6" s="13"/>
      <c r="Q6" s="13">
        <v>1134669.9572299826</v>
      </c>
      <c r="R6" s="13"/>
      <c r="S6" s="28">
        <v>3066110.4821199826</v>
      </c>
      <c r="T6" s="10">
        <v>128747.47345000002</v>
      </c>
      <c r="U6" s="10">
        <v>117959.26628000005</v>
      </c>
      <c r="V6" s="10">
        <v>101820.17580999997</v>
      </c>
    </row>
    <row r="7" spans="1:35">
      <c r="A7" s="29">
        <v>43497</v>
      </c>
      <c r="B7" s="26" t="str">
        <f t="shared" ref="B7:B70" si="0">YEAR(A7)&amp;"-B"&amp;INT((MONTH(A7)-1)/2)+1</f>
        <v>2019-B1</v>
      </c>
      <c r="C7" s="31">
        <v>201820.61841000002</v>
      </c>
      <c r="D7" s="31">
        <v>66546.231299999999</v>
      </c>
      <c r="E7" s="31"/>
      <c r="F7" s="31">
        <v>609045.2583499999</v>
      </c>
      <c r="G7" s="11">
        <v>6625955.7560000001</v>
      </c>
      <c r="H7" s="11"/>
      <c r="I7" s="11">
        <v>1115553.7995700003</v>
      </c>
      <c r="J7" s="11">
        <v>2895705.4755199999</v>
      </c>
      <c r="K7" s="11"/>
      <c r="L7" s="11">
        <v>0</v>
      </c>
      <c r="M7" s="11">
        <v>0</v>
      </c>
      <c r="N7" s="11"/>
      <c r="O7" s="11">
        <v>1926419.6763300002</v>
      </c>
      <c r="P7" s="11"/>
      <c r="Q7" s="11">
        <v>1256651.7283200053</v>
      </c>
      <c r="R7" s="11"/>
      <c r="S7" s="32">
        <v>3183071.4046500055</v>
      </c>
      <c r="T7" s="12">
        <v>142045.08918999997</v>
      </c>
      <c r="U7" s="12">
        <v>150375.66758999994</v>
      </c>
      <c r="V7" s="12">
        <v>159516.64995000005</v>
      </c>
    </row>
    <row r="8" spans="1:35">
      <c r="A8" s="25">
        <v>43525</v>
      </c>
      <c r="B8" s="26" t="str">
        <f t="shared" si="0"/>
        <v>2019-B2</v>
      </c>
      <c r="C8" s="27">
        <v>186450.79806999987</v>
      </c>
      <c r="D8" s="27">
        <v>62264.208599999998</v>
      </c>
      <c r="E8" s="27"/>
      <c r="F8" s="27">
        <v>465098.27499000001</v>
      </c>
      <c r="G8" s="13">
        <v>5569819.5</v>
      </c>
      <c r="H8" s="13"/>
      <c r="I8" s="13">
        <v>1450174.5952699999</v>
      </c>
      <c r="J8" s="13">
        <v>3507420.9492100002</v>
      </c>
      <c r="K8" s="13"/>
      <c r="L8" s="13">
        <v>56049.791400000009</v>
      </c>
      <c r="M8" s="13">
        <v>16773.580999999998</v>
      </c>
      <c r="N8" s="13"/>
      <c r="O8" s="13">
        <v>2157773.4597299998</v>
      </c>
      <c r="P8" s="13"/>
      <c r="Q8" s="13">
        <v>1187076.6538399952</v>
      </c>
      <c r="R8" s="13"/>
      <c r="S8" s="28">
        <v>3344850.1135699949</v>
      </c>
      <c r="T8" s="10">
        <v>166904.12849000003</v>
      </c>
      <c r="U8" s="10">
        <v>93939.807560000132</v>
      </c>
      <c r="V8" s="10">
        <v>152037.5177699998</v>
      </c>
      <c r="Z8" t="s">
        <v>437</v>
      </c>
      <c r="AA8" s="47" t="s">
        <v>129</v>
      </c>
      <c r="AB8" s="47" t="s">
        <v>122</v>
      </c>
      <c r="AC8" s="47" t="s">
        <v>391</v>
      </c>
      <c r="AD8" s="47" t="s">
        <v>124</v>
      </c>
      <c r="AE8" t="s">
        <v>392</v>
      </c>
      <c r="AF8" t="s">
        <v>393</v>
      </c>
      <c r="AG8" t="s">
        <v>390</v>
      </c>
      <c r="AH8" s="48" t="s">
        <v>394</v>
      </c>
      <c r="AI8" s="93" t="s">
        <v>395</v>
      </c>
    </row>
    <row r="9" spans="1:35">
      <c r="A9" s="88">
        <v>43556</v>
      </c>
      <c r="B9" s="26" t="str">
        <f t="shared" si="0"/>
        <v>2019-B2</v>
      </c>
      <c r="C9" s="31">
        <v>177457.83638000011</v>
      </c>
      <c r="D9" s="31">
        <v>60374.851790000001</v>
      </c>
      <c r="E9" s="31"/>
      <c r="F9" s="31">
        <v>607264.13590000011</v>
      </c>
      <c r="G9" s="11">
        <v>7066194.6140000001</v>
      </c>
      <c r="H9" s="11"/>
      <c r="I9" s="11">
        <v>1697742.8383300002</v>
      </c>
      <c r="J9" s="11">
        <v>3780516.0729499999</v>
      </c>
      <c r="K9" s="11"/>
      <c r="L9" s="11">
        <v>60144.975730000006</v>
      </c>
      <c r="M9" s="11">
        <v>17081.442999999999</v>
      </c>
      <c r="N9" s="11"/>
      <c r="O9" s="11">
        <v>2542609.7863400006</v>
      </c>
      <c r="P9" s="11"/>
      <c r="Q9" s="11">
        <v>1320209.420219982</v>
      </c>
      <c r="R9" s="11"/>
      <c r="S9" s="32">
        <v>3862819.2065599826</v>
      </c>
      <c r="T9" s="12">
        <v>145449.11853000009</v>
      </c>
      <c r="U9" s="12">
        <v>129740.89937000009</v>
      </c>
      <c r="V9" s="12">
        <v>107992.17099999991</v>
      </c>
      <c r="Z9" s="128">
        <f>+A30</f>
        <v>44197</v>
      </c>
      <c r="AA9" s="130">
        <f>+C30/$S30</f>
        <v>9.4981275123963121E-2</v>
      </c>
      <c r="AB9" s="130">
        <f t="shared" ref="AB9:AB40" si="1">+F30/$S30</f>
        <v>9.6179441200748853E-2</v>
      </c>
      <c r="AC9" s="130">
        <f t="shared" ref="AC9:AC40" si="2">+I30/$S30</f>
        <v>0.35637590810962977</v>
      </c>
      <c r="AD9" s="130">
        <f t="shared" ref="AD9:AD40" si="3">+L30/$S30</f>
        <v>1.2822180292250117E-2</v>
      </c>
      <c r="AE9" s="130">
        <f t="shared" ref="AE9:AE40" si="4">+T30/$S30</f>
        <v>7.3191981711352147E-2</v>
      </c>
      <c r="AF9" s="130">
        <f t="shared" ref="AF9:AF40" si="5">+U30/$S30</f>
        <v>5.0085655643154918E-2</v>
      </c>
      <c r="AG9" s="130">
        <f t="shared" ref="AG9:AG40" si="6">+V30/$S30</f>
        <v>4.9887235786758029E-2</v>
      </c>
      <c r="AH9" s="130">
        <f t="shared" ref="AH9:AH40" si="7">+O30/$S30</f>
        <v>0.56035880472659194</v>
      </c>
      <c r="AI9" s="130">
        <f t="shared" ref="AI9:AI40" si="8">+Q30/$S30</f>
        <v>0.43964119527340806</v>
      </c>
    </row>
    <row r="10" spans="1:35">
      <c r="A10" s="25">
        <v>43586</v>
      </c>
      <c r="B10" s="26" t="str">
        <f t="shared" si="0"/>
        <v>2019-B3</v>
      </c>
      <c r="C10" s="27">
        <v>136462.1698399999</v>
      </c>
      <c r="D10" s="27">
        <v>47680.55</v>
      </c>
      <c r="E10" s="27"/>
      <c r="F10" s="27">
        <v>738893.25091000029</v>
      </c>
      <c r="G10" s="13">
        <v>9335672.4000000004</v>
      </c>
      <c r="H10" s="13"/>
      <c r="I10" s="13">
        <v>1461780.9492800003</v>
      </c>
      <c r="J10" s="13">
        <v>3329993.6016799998</v>
      </c>
      <c r="K10" s="13"/>
      <c r="L10" s="13">
        <v>6881.3861699999998</v>
      </c>
      <c r="M10" s="13">
        <v>1724.422</v>
      </c>
      <c r="N10" s="13"/>
      <c r="O10" s="13">
        <v>2344017.7562000006</v>
      </c>
      <c r="P10" s="13"/>
      <c r="Q10" s="13">
        <v>1404324.0747300033</v>
      </c>
      <c r="R10" s="13"/>
      <c r="S10" s="28">
        <v>3748341.8309300039</v>
      </c>
      <c r="T10" s="10">
        <v>136905.45840999999</v>
      </c>
      <c r="U10" s="10">
        <v>141614.36753000057</v>
      </c>
      <c r="V10" s="10">
        <v>182186.60738000009</v>
      </c>
      <c r="Z10" s="128">
        <f t="shared" ref="Z10:Z70" si="9">+A31</f>
        <v>44228</v>
      </c>
      <c r="AA10" s="94">
        <f t="shared" ref="AA10:AA40" si="10">+C31/$S31</f>
        <v>8.840524895298861E-2</v>
      </c>
      <c r="AB10" s="94">
        <f t="shared" si="1"/>
        <v>0.15137802749551629</v>
      </c>
      <c r="AC10" s="94">
        <f t="shared" si="2"/>
        <v>0.2746549351180293</v>
      </c>
      <c r="AD10" s="94">
        <f t="shared" si="3"/>
        <v>9.7445112724356357E-3</v>
      </c>
      <c r="AE10" s="95">
        <f t="shared" si="4"/>
        <v>8.8855166104056513E-2</v>
      </c>
      <c r="AF10" s="95">
        <f t="shared" si="5"/>
        <v>5.4120734599331692E-2</v>
      </c>
      <c r="AG10" s="95">
        <f t="shared" si="6"/>
        <v>5.2539949131416235E-2</v>
      </c>
      <c r="AH10" s="94">
        <f t="shared" si="7"/>
        <v>0.52418272283896983</v>
      </c>
      <c r="AI10" s="96">
        <f t="shared" si="8"/>
        <v>0.47581727716103023</v>
      </c>
    </row>
    <row r="11" spans="1:35">
      <c r="A11" s="88">
        <v>43617</v>
      </c>
      <c r="B11" s="26" t="str">
        <f t="shared" si="0"/>
        <v>2019-B3</v>
      </c>
      <c r="C11" s="31">
        <v>144177.54535000003</v>
      </c>
      <c r="D11" s="31">
        <v>50519.851499999997</v>
      </c>
      <c r="E11" s="31"/>
      <c r="F11" s="31">
        <v>356479.25766999996</v>
      </c>
      <c r="G11" s="11">
        <v>4691960.142</v>
      </c>
      <c r="H11" s="11"/>
      <c r="I11" s="11">
        <v>1460751.94459</v>
      </c>
      <c r="J11" s="11">
        <v>3571548.7179999999</v>
      </c>
      <c r="K11" s="11"/>
      <c r="L11" s="11">
        <v>25252.27216</v>
      </c>
      <c r="M11" s="11">
        <v>6726.5069999999996</v>
      </c>
      <c r="N11" s="11"/>
      <c r="O11" s="11">
        <v>1986661.0197699999</v>
      </c>
      <c r="P11" s="11"/>
      <c r="Q11" s="11">
        <v>1109701.4908399817</v>
      </c>
      <c r="R11" s="11"/>
      <c r="S11" s="32">
        <v>3096362.5106099816</v>
      </c>
      <c r="T11" s="12">
        <v>114324.37013999998</v>
      </c>
      <c r="U11" s="12">
        <v>104237.78193999993</v>
      </c>
      <c r="V11" s="12">
        <v>134215.52074000009</v>
      </c>
      <c r="Z11" s="128">
        <f t="shared" si="9"/>
        <v>44256</v>
      </c>
      <c r="AA11" s="94">
        <f t="shared" si="10"/>
        <v>7.8867676908979945E-2</v>
      </c>
      <c r="AB11" s="94">
        <f t="shared" si="1"/>
        <v>7.8262102429085045E-2</v>
      </c>
      <c r="AC11" s="94">
        <f t="shared" si="2"/>
        <v>0.33533437085300249</v>
      </c>
      <c r="AD11" s="94">
        <f t="shared" si="3"/>
        <v>8.7739204634676854E-3</v>
      </c>
      <c r="AE11" s="95">
        <f t="shared" si="4"/>
        <v>8.2616382436857941E-2</v>
      </c>
      <c r="AF11" s="95">
        <f t="shared" si="5"/>
        <v>4.4365569298246088E-2</v>
      </c>
      <c r="AG11" s="95">
        <f t="shared" si="6"/>
        <v>6.0486642991372429E-2</v>
      </c>
      <c r="AH11" s="94">
        <f t="shared" si="7"/>
        <v>0.50123807065453518</v>
      </c>
      <c r="AI11" s="96">
        <f t="shared" si="8"/>
        <v>0.49876192934546482</v>
      </c>
    </row>
    <row r="12" spans="1:35">
      <c r="A12" s="25">
        <v>43647</v>
      </c>
      <c r="B12" s="26" t="str">
        <f t="shared" si="0"/>
        <v>2019-B4</v>
      </c>
      <c r="C12" s="27">
        <v>197570.54920000001</v>
      </c>
      <c r="D12" s="27">
        <v>67112.153000000006</v>
      </c>
      <c r="E12" s="27"/>
      <c r="F12" s="27">
        <v>457092.32423999993</v>
      </c>
      <c r="G12" s="13">
        <v>6133746.2829999998</v>
      </c>
      <c r="H12" s="13"/>
      <c r="I12" s="13">
        <v>1287045.6943899998</v>
      </c>
      <c r="J12" s="13">
        <v>3166077.2402999997</v>
      </c>
      <c r="K12" s="13"/>
      <c r="L12" s="13">
        <v>38057.978609999998</v>
      </c>
      <c r="M12" s="13">
        <v>10638.743</v>
      </c>
      <c r="N12" s="13"/>
      <c r="O12" s="13">
        <v>1979766.5464399999</v>
      </c>
      <c r="P12" s="13"/>
      <c r="Q12" s="13">
        <v>1276063.2925999959</v>
      </c>
      <c r="R12" s="13"/>
      <c r="S12" s="28">
        <v>3255829.8390399958</v>
      </c>
      <c r="T12" s="10">
        <v>148681.76677999998</v>
      </c>
      <c r="U12" s="10">
        <v>134880.35714000001</v>
      </c>
      <c r="V12" s="10">
        <v>108351.43698000001</v>
      </c>
      <c r="Z12" s="128">
        <f t="shared" si="9"/>
        <v>44287</v>
      </c>
      <c r="AA12" s="94">
        <f t="shared" si="10"/>
        <v>7.8788673469569359E-2</v>
      </c>
      <c r="AB12" s="94">
        <f t="shared" si="1"/>
        <v>0.11455438106406718</v>
      </c>
      <c r="AC12" s="94">
        <f t="shared" si="2"/>
        <v>0.28971526591789121</v>
      </c>
      <c r="AD12" s="94">
        <f t="shared" si="3"/>
        <v>1.0547751820316989E-2</v>
      </c>
      <c r="AE12" s="95">
        <f t="shared" si="4"/>
        <v>9.1387832336516539E-2</v>
      </c>
      <c r="AF12" s="95">
        <f t="shared" si="5"/>
        <v>5.6261906167148788E-2</v>
      </c>
      <c r="AG12" s="95">
        <f t="shared" si="6"/>
        <v>4.9492186928152236E-2</v>
      </c>
      <c r="AH12" s="94">
        <f t="shared" si="7"/>
        <v>0.49360607227184472</v>
      </c>
      <c r="AI12" s="96">
        <f t="shared" si="8"/>
        <v>0.50639392772815528</v>
      </c>
    </row>
    <row r="13" spans="1:35">
      <c r="A13" s="88">
        <v>43678</v>
      </c>
      <c r="B13" s="26" t="str">
        <f t="shared" si="0"/>
        <v>2019-B4</v>
      </c>
      <c r="C13" s="31">
        <v>212269.1078100001</v>
      </c>
      <c r="D13" s="31">
        <v>69276.5196</v>
      </c>
      <c r="E13" s="31"/>
      <c r="F13" s="31">
        <v>366567.06212999992</v>
      </c>
      <c r="G13" s="11">
        <v>5399812.6734999996</v>
      </c>
      <c r="H13" s="11"/>
      <c r="I13" s="11">
        <v>1337217.76725</v>
      </c>
      <c r="J13" s="11">
        <v>3517813.3525699996</v>
      </c>
      <c r="K13" s="11"/>
      <c r="L13" s="11">
        <v>70158.36351000001</v>
      </c>
      <c r="M13" s="11">
        <v>19135.39</v>
      </c>
      <c r="N13" s="11"/>
      <c r="O13" s="11">
        <v>1986212.3007000003</v>
      </c>
      <c r="P13" s="11"/>
      <c r="Q13" s="11">
        <v>1278048.9421600134</v>
      </c>
      <c r="R13" s="11"/>
      <c r="S13" s="32">
        <v>3264261.2428600136</v>
      </c>
      <c r="T13" s="12">
        <v>195240.70880999987</v>
      </c>
      <c r="U13" s="12">
        <v>113397.43485000018</v>
      </c>
      <c r="V13" s="12">
        <v>128067.21652999998</v>
      </c>
      <c r="Z13" s="128">
        <f t="shared" si="9"/>
        <v>44317</v>
      </c>
      <c r="AA13" s="94">
        <f t="shared" si="10"/>
        <v>3.7686331108573737E-2</v>
      </c>
      <c r="AB13" s="94">
        <f t="shared" si="1"/>
        <v>0.1083706306120959</v>
      </c>
      <c r="AC13" s="94">
        <f t="shared" si="2"/>
        <v>0.39203833593501136</v>
      </c>
      <c r="AD13" s="94">
        <f t="shared" si="3"/>
        <v>8.1867337842310445E-3</v>
      </c>
      <c r="AE13" s="95">
        <f t="shared" si="4"/>
        <v>9.7579973347916529E-2</v>
      </c>
      <c r="AF13" s="95">
        <f t="shared" si="5"/>
        <v>4.5510048960786552E-2</v>
      </c>
      <c r="AG13" s="95">
        <f t="shared" si="6"/>
        <v>7.0209053347794842E-2</v>
      </c>
      <c r="AH13" s="94">
        <f t="shared" si="7"/>
        <v>0.54628203143991205</v>
      </c>
      <c r="AI13" s="96">
        <f t="shared" si="8"/>
        <v>0.45371796856008795</v>
      </c>
    </row>
    <row r="14" spans="1:35">
      <c r="A14" s="25">
        <v>43709</v>
      </c>
      <c r="B14" s="26" t="str">
        <f t="shared" si="0"/>
        <v>2019-B5</v>
      </c>
      <c r="C14" s="27">
        <v>160152.41868000006</v>
      </c>
      <c r="D14" s="27">
        <v>51934.430079999998</v>
      </c>
      <c r="E14" s="27"/>
      <c r="F14" s="27">
        <v>438470.92283</v>
      </c>
      <c r="G14" s="13">
        <v>6264712.6299999999</v>
      </c>
      <c r="H14" s="13"/>
      <c r="I14" s="13">
        <v>1178229.9980599999</v>
      </c>
      <c r="J14" s="13">
        <v>3038953.7407799996</v>
      </c>
      <c r="K14" s="13"/>
      <c r="L14" s="13">
        <v>28369.529850000003</v>
      </c>
      <c r="M14" s="13">
        <v>7217.3779999999997</v>
      </c>
      <c r="N14" s="13"/>
      <c r="O14" s="13">
        <v>1805222.8694200001</v>
      </c>
      <c r="P14" s="13"/>
      <c r="Q14" s="13">
        <v>1262125.9605200219</v>
      </c>
      <c r="R14" s="13"/>
      <c r="S14" s="28">
        <v>3067348.829940022</v>
      </c>
      <c r="T14" s="10">
        <v>193313.40590999988</v>
      </c>
      <c r="U14" s="10">
        <v>132117.76869999999</v>
      </c>
      <c r="V14" s="10">
        <v>94178.690819999931</v>
      </c>
      <c r="Z14" s="128">
        <f t="shared" si="9"/>
        <v>44348</v>
      </c>
      <c r="AA14" s="94">
        <f t="shared" si="10"/>
        <v>3.3776626549644799E-2</v>
      </c>
      <c r="AB14" s="94">
        <f t="shared" si="1"/>
        <v>0.1307977229397341</v>
      </c>
      <c r="AC14" s="94">
        <f t="shared" si="2"/>
        <v>0.35901918180045234</v>
      </c>
      <c r="AD14" s="94">
        <f t="shared" si="3"/>
        <v>1.2244752804860528E-2</v>
      </c>
      <c r="AE14" s="95">
        <f t="shared" si="4"/>
        <v>8.99654787990605E-2</v>
      </c>
      <c r="AF14" s="95">
        <f t="shared" si="5"/>
        <v>5.1899668636137493E-2</v>
      </c>
      <c r="AG14" s="95">
        <f t="shared" si="6"/>
        <v>3.9562734710671565E-2</v>
      </c>
      <c r="AH14" s="94">
        <f t="shared" si="7"/>
        <v>0.53583828409469181</v>
      </c>
      <c r="AI14" s="96">
        <f t="shared" si="8"/>
        <v>0.46416171590530825</v>
      </c>
    </row>
    <row r="15" spans="1:35">
      <c r="A15" s="88">
        <v>43739</v>
      </c>
      <c r="B15" s="26" t="str">
        <f t="shared" si="0"/>
        <v>2019-B5</v>
      </c>
      <c r="C15" s="31">
        <v>187881.39523000005</v>
      </c>
      <c r="D15" s="31">
        <v>60639.150569999998</v>
      </c>
      <c r="E15" s="31"/>
      <c r="F15" s="31">
        <v>450063.95834999997</v>
      </c>
      <c r="G15" s="11">
        <v>7037648.6299999999</v>
      </c>
      <c r="H15" s="11"/>
      <c r="I15" s="11">
        <v>1262664.7087600001</v>
      </c>
      <c r="J15" s="11">
        <v>3295378.1717300005</v>
      </c>
      <c r="K15" s="11"/>
      <c r="L15" s="11">
        <v>103043.93125000001</v>
      </c>
      <c r="M15" s="11">
        <v>21837.513999999999</v>
      </c>
      <c r="N15" s="11"/>
      <c r="O15" s="11">
        <v>2003653.9935900001</v>
      </c>
      <c r="P15" s="11"/>
      <c r="Q15" s="11">
        <v>1322843.1903100107</v>
      </c>
      <c r="R15" s="11"/>
      <c r="S15" s="32">
        <v>3326497.1839000108</v>
      </c>
      <c r="T15" s="12">
        <v>170332.34102999995</v>
      </c>
      <c r="U15" s="12">
        <v>133857.00614000039</v>
      </c>
      <c r="V15" s="12">
        <v>104041.46165999991</v>
      </c>
      <c r="Z15" s="128">
        <f t="shared" si="9"/>
        <v>44378</v>
      </c>
      <c r="AA15" s="94">
        <f t="shared" si="10"/>
        <v>8.6934269791156579E-2</v>
      </c>
      <c r="AB15" s="94">
        <f t="shared" si="1"/>
        <v>0.12125478797498826</v>
      </c>
      <c r="AC15" s="94">
        <f t="shared" si="2"/>
        <v>0.28977495263206876</v>
      </c>
      <c r="AD15" s="94">
        <f t="shared" si="3"/>
        <v>1.2587479538742084E-2</v>
      </c>
      <c r="AE15" s="95">
        <f t="shared" si="4"/>
        <v>9.0958615203153056E-2</v>
      </c>
      <c r="AF15" s="95">
        <f t="shared" si="5"/>
        <v>5.084593066224815E-2</v>
      </c>
      <c r="AG15" s="95">
        <f t="shared" si="6"/>
        <v>3.1000286771235827E-2</v>
      </c>
      <c r="AH15" s="94">
        <f t="shared" si="7"/>
        <v>0.51055148993695565</v>
      </c>
      <c r="AI15" s="96">
        <f t="shared" si="8"/>
        <v>0.48944851006304435</v>
      </c>
    </row>
    <row r="16" spans="1:35">
      <c r="A16" s="25">
        <v>43770</v>
      </c>
      <c r="B16" s="26" t="str">
        <f t="shared" si="0"/>
        <v>2019-B6</v>
      </c>
      <c r="C16" s="27">
        <v>189894.53598000002</v>
      </c>
      <c r="D16" s="27">
        <v>61253.904970000011</v>
      </c>
      <c r="E16" s="27">
        <v>0</v>
      </c>
      <c r="F16" s="27">
        <v>313264.87218999997</v>
      </c>
      <c r="G16" s="13">
        <v>4942908.2869999995</v>
      </c>
      <c r="H16" s="13">
        <v>0</v>
      </c>
      <c r="I16" s="13">
        <v>1212852.7231600001</v>
      </c>
      <c r="J16" s="13">
        <v>3118168.5369099998</v>
      </c>
      <c r="K16" s="13">
        <v>0</v>
      </c>
      <c r="L16" s="13">
        <v>12231.528880000002</v>
      </c>
      <c r="M16" s="13">
        <v>2384.134</v>
      </c>
      <c r="N16" s="13"/>
      <c r="O16" s="13">
        <v>1728243.6602100001</v>
      </c>
      <c r="P16" s="13"/>
      <c r="Q16" s="13">
        <v>1215381.0452799827</v>
      </c>
      <c r="R16" s="13"/>
      <c r="S16" s="28">
        <v>2943624.7054899829</v>
      </c>
      <c r="T16" s="10">
        <v>168606.70759000006</v>
      </c>
      <c r="U16" s="10">
        <v>112233.63776999997</v>
      </c>
      <c r="V16" s="10">
        <v>121440.72611000005</v>
      </c>
      <c r="Z16" s="128">
        <f t="shared" si="9"/>
        <v>44409</v>
      </c>
      <c r="AA16" s="94">
        <f t="shared" si="10"/>
        <v>9.0951294502212204E-2</v>
      </c>
      <c r="AB16" s="94">
        <f t="shared" si="1"/>
        <v>0.1391690563811869</v>
      </c>
      <c r="AC16" s="94">
        <f t="shared" si="2"/>
        <v>0.29689699112357248</v>
      </c>
      <c r="AD16" s="94">
        <f t="shared" si="3"/>
        <v>1.2246584285751096E-2</v>
      </c>
      <c r="AE16" s="95">
        <f t="shared" si="4"/>
        <v>6.5162086130304761E-2</v>
      </c>
      <c r="AF16" s="95">
        <f t="shared" si="5"/>
        <v>5.0974301321866478E-2</v>
      </c>
      <c r="AG16" s="95">
        <f t="shared" si="6"/>
        <v>3.3068276329678015E-2</v>
      </c>
      <c r="AH16" s="94">
        <f t="shared" si="7"/>
        <v>0.53926392629272268</v>
      </c>
      <c r="AI16" s="96">
        <f t="shared" si="8"/>
        <v>0.46073607370727732</v>
      </c>
    </row>
    <row r="17" spans="1:35">
      <c r="A17" s="29">
        <v>43800</v>
      </c>
      <c r="B17" s="26" t="str">
        <f t="shared" si="0"/>
        <v>2019-B6</v>
      </c>
      <c r="C17" s="31">
        <v>235143.51900999993</v>
      </c>
      <c r="D17" s="31">
        <v>74733.997000000003</v>
      </c>
      <c r="E17" s="31">
        <v>0</v>
      </c>
      <c r="F17" s="31">
        <v>409745.58987999993</v>
      </c>
      <c r="G17" s="11">
        <v>6391073.7319999998</v>
      </c>
      <c r="H17" s="11">
        <v>0</v>
      </c>
      <c r="I17" s="11">
        <v>1338834.5053700001</v>
      </c>
      <c r="J17" s="11">
        <v>3399086.3829600005</v>
      </c>
      <c r="K17" s="11">
        <v>0</v>
      </c>
      <c r="L17" s="11">
        <v>81235.194709999996</v>
      </c>
      <c r="M17" s="11">
        <v>17976.078320000001</v>
      </c>
      <c r="N17" s="11"/>
      <c r="O17" s="11">
        <v>2064958.8089699999</v>
      </c>
      <c r="P17" s="11"/>
      <c r="Q17" s="11">
        <v>1265091.705120011</v>
      </c>
      <c r="R17" s="11"/>
      <c r="S17" s="32">
        <v>3330050.5140900109</v>
      </c>
      <c r="T17" s="12">
        <v>251290.3126</v>
      </c>
      <c r="U17" s="12">
        <v>107472.46743000022</v>
      </c>
      <c r="V17" s="12">
        <v>101787.95118000003</v>
      </c>
      <c r="Z17" s="128">
        <f t="shared" si="9"/>
        <v>44440</v>
      </c>
      <c r="AA17" s="94">
        <f t="shared" si="10"/>
        <v>6.7621503236221389E-2</v>
      </c>
      <c r="AB17" s="94">
        <f t="shared" si="1"/>
        <v>0.15271802541016402</v>
      </c>
      <c r="AC17" s="94">
        <f t="shared" si="2"/>
        <v>0.33610865728690181</v>
      </c>
      <c r="AD17" s="94">
        <f t="shared" si="3"/>
        <v>2.8945620356002365E-2</v>
      </c>
      <c r="AE17" s="95">
        <f t="shared" si="4"/>
        <v>7.5854770398826571E-2</v>
      </c>
      <c r="AF17" s="95">
        <f t="shared" si="5"/>
        <v>4.2237007259153837E-2</v>
      </c>
      <c r="AG17" s="95">
        <f t="shared" si="6"/>
        <v>2.571212974608136E-2</v>
      </c>
      <c r="AH17" s="94">
        <f t="shared" si="7"/>
        <v>0.58539380628928961</v>
      </c>
      <c r="AI17" s="96">
        <f t="shared" si="8"/>
        <v>0.41460619371071045</v>
      </c>
    </row>
    <row r="18" spans="1:35">
      <c r="A18" s="25">
        <v>43831</v>
      </c>
      <c r="B18" s="26" t="str">
        <f t="shared" si="0"/>
        <v>2020-B1</v>
      </c>
      <c r="C18" s="27">
        <v>242391.71685999993</v>
      </c>
      <c r="D18" s="27">
        <v>73419.940090000004</v>
      </c>
      <c r="E18" s="27">
        <v>0</v>
      </c>
      <c r="F18" s="27">
        <v>826543.8848900001</v>
      </c>
      <c r="G18" s="13">
        <v>14007615.949999999</v>
      </c>
      <c r="H18" s="13">
        <v>0</v>
      </c>
      <c r="I18" s="13">
        <v>1217173.9641199999</v>
      </c>
      <c r="J18" s="13">
        <v>3154713.0614599995</v>
      </c>
      <c r="K18" s="13">
        <v>0</v>
      </c>
      <c r="L18" s="13">
        <v>38790.491689999995</v>
      </c>
      <c r="M18" s="13">
        <v>10129.448</v>
      </c>
      <c r="N18" s="13">
        <v>0</v>
      </c>
      <c r="O18" s="13">
        <v>2324900.0575600001</v>
      </c>
      <c r="P18" s="13"/>
      <c r="Q18" s="13">
        <v>1094565.5823799972</v>
      </c>
      <c r="R18" s="13"/>
      <c r="S18" s="28">
        <v>3419465.6399399973</v>
      </c>
      <c r="T18" s="10">
        <v>116520.23584000007</v>
      </c>
      <c r="U18" s="10">
        <v>100590.09481999998</v>
      </c>
      <c r="V18" s="10">
        <v>98100.147139999957</v>
      </c>
      <c r="Z18" s="128">
        <f t="shared" si="9"/>
        <v>44470</v>
      </c>
      <c r="AA18" s="94">
        <f t="shared" si="10"/>
        <v>8.3801003500881266E-2</v>
      </c>
      <c r="AB18" s="94">
        <f t="shared" si="1"/>
        <v>0.15645457297269341</v>
      </c>
      <c r="AC18" s="94">
        <f t="shared" si="2"/>
        <v>0.34013916709814301</v>
      </c>
      <c r="AD18" s="94">
        <f t="shared" si="3"/>
        <v>9.2779789656876038E-4</v>
      </c>
      <c r="AE18" s="95">
        <f t="shared" si="4"/>
        <v>6.3778405950260436E-2</v>
      </c>
      <c r="AF18" s="95">
        <f t="shared" si="5"/>
        <v>5.1119698368577167E-2</v>
      </c>
      <c r="AG18" s="95">
        <f t="shared" si="6"/>
        <v>3.9319552425244139E-2</v>
      </c>
      <c r="AH18" s="94">
        <f t="shared" si="7"/>
        <v>0.58132254146828655</v>
      </c>
      <c r="AI18" s="96">
        <f t="shared" si="8"/>
        <v>0.41867745853171345</v>
      </c>
    </row>
    <row r="19" spans="1:35">
      <c r="A19" s="29">
        <v>43862</v>
      </c>
      <c r="B19" s="26" t="str">
        <f t="shared" si="0"/>
        <v>2020-B1</v>
      </c>
      <c r="C19" s="31">
        <v>208758.80364000003</v>
      </c>
      <c r="D19" s="31">
        <v>61141.044760000004</v>
      </c>
      <c r="E19" s="31">
        <v>0</v>
      </c>
      <c r="F19" s="31">
        <v>460774.27653000015</v>
      </c>
      <c r="G19" s="11">
        <v>7153940.8930000002</v>
      </c>
      <c r="H19" s="11">
        <v>0</v>
      </c>
      <c r="I19" s="11">
        <v>1022315.1619199999</v>
      </c>
      <c r="J19" s="11">
        <v>3233680.68279</v>
      </c>
      <c r="K19" s="11">
        <v>0</v>
      </c>
      <c r="L19" s="11">
        <v>1831.5915199999999</v>
      </c>
      <c r="M19" s="11">
        <v>550.56299999999999</v>
      </c>
      <c r="N19" s="11"/>
      <c r="O19" s="11">
        <v>1693679.8336100001</v>
      </c>
      <c r="P19" s="11"/>
      <c r="Q19" s="11">
        <v>1249945.9746600217</v>
      </c>
      <c r="R19" s="11"/>
      <c r="S19" s="32">
        <v>2943625.8082700218</v>
      </c>
      <c r="T19" s="12">
        <v>191257.56427999999</v>
      </c>
      <c r="U19" s="12">
        <v>116884.1929599999</v>
      </c>
      <c r="V19" s="12">
        <v>180000.25318000006</v>
      </c>
      <c r="Z19" s="128">
        <f t="shared" si="9"/>
        <v>44501</v>
      </c>
      <c r="AA19" s="94">
        <f t="shared" si="10"/>
        <v>7.3623224593355283E-2</v>
      </c>
      <c r="AB19" s="94">
        <f t="shared" si="1"/>
        <v>0.15273256480457542</v>
      </c>
      <c r="AC19" s="94">
        <f t="shared" si="2"/>
        <v>0.34244318344364705</v>
      </c>
      <c r="AD19" s="94">
        <f t="shared" si="3"/>
        <v>1.7921707438177146E-2</v>
      </c>
      <c r="AE19" s="95">
        <f t="shared" si="4"/>
        <v>7.3882249962858651E-2</v>
      </c>
      <c r="AF19" s="95">
        <f t="shared" si="5"/>
        <v>4.1974712049533743E-2</v>
      </c>
      <c r="AG19" s="95">
        <f t="shared" si="6"/>
        <v>3.4512729925951141E-2</v>
      </c>
      <c r="AH19" s="94">
        <f t="shared" si="7"/>
        <v>0.58672068027975488</v>
      </c>
      <c r="AI19" s="96">
        <f t="shared" si="8"/>
        <v>0.41327931972024512</v>
      </c>
    </row>
    <row r="20" spans="1:35">
      <c r="A20" s="25">
        <v>43891</v>
      </c>
      <c r="B20" s="26" t="str">
        <f t="shared" si="0"/>
        <v>2020-B2</v>
      </c>
      <c r="C20" s="27">
        <v>163184.89260000005</v>
      </c>
      <c r="D20" s="27">
        <v>48317.975390000007</v>
      </c>
      <c r="E20" s="27">
        <v>0</v>
      </c>
      <c r="F20" s="27">
        <v>322584.66473000014</v>
      </c>
      <c r="G20" s="13">
        <v>5931301.4000000004</v>
      </c>
      <c r="H20" s="13">
        <v>0</v>
      </c>
      <c r="I20" s="13">
        <v>628250.28110999998</v>
      </c>
      <c r="J20" s="13">
        <v>3456975.8212200003</v>
      </c>
      <c r="K20" s="13">
        <v>0</v>
      </c>
      <c r="L20" s="13">
        <v>49453.259050000001</v>
      </c>
      <c r="M20" s="13">
        <v>13499.039000000001</v>
      </c>
      <c r="N20" s="13"/>
      <c r="O20" s="13">
        <v>1163473.0974900003</v>
      </c>
      <c r="P20" s="13"/>
      <c r="Q20" s="13">
        <v>1275562.4973899971</v>
      </c>
      <c r="R20" s="13"/>
      <c r="S20" s="28">
        <v>2439035.5948799974</v>
      </c>
      <c r="T20" s="10">
        <v>203219.03089999995</v>
      </c>
      <c r="U20" s="10">
        <v>115478.54826000007</v>
      </c>
      <c r="V20" s="10">
        <v>154802.74786</v>
      </c>
      <c r="Z20" s="128">
        <f t="shared" si="9"/>
        <v>44531</v>
      </c>
      <c r="AA20" s="94">
        <f t="shared" si="10"/>
        <v>7.9904054787029638E-2</v>
      </c>
      <c r="AB20" s="94">
        <f t="shared" si="1"/>
        <v>0.19595334930286729</v>
      </c>
      <c r="AC20" s="94">
        <f t="shared" si="2"/>
        <v>0.30947852942831611</v>
      </c>
      <c r="AD20" s="94">
        <f t="shared" si="3"/>
        <v>1.482402946190221E-2</v>
      </c>
      <c r="AE20" s="95">
        <f t="shared" si="4"/>
        <v>8.2998370493873153E-2</v>
      </c>
      <c r="AF20" s="95">
        <f t="shared" si="5"/>
        <v>4.1647994328765321E-2</v>
      </c>
      <c r="AG20" s="95">
        <f t="shared" si="6"/>
        <v>3.6189440015354714E-2</v>
      </c>
      <c r="AH20" s="94">
        <f t="shared" si="7"/>
        <v>0.6001599629801152</v>
      </c>
      <c r="AI20" s="96">
        <f t="shared" si="8"/>
        <v>0.39984003701988474</v>
      </c>
    </row>
    <row r="21" spans="1:35">
      <c r="A21" s="29">
        <v>43922</v>
      </c>
      <c r="B21" s="26" t="str">
        <f t="shared" si="0"/>
        <v>2020-B2</v>
      </c>
      <c r="C21" s="31">
        <v>146600.06958000004</v>
      </c>
      <c r="D21" s="31">
        <v>42838.150999999998</v>
      </c>
      <c r="E21" s="31">
        <v>0</v>
      </c>
      <c r="F21" s="31">
        <v>317517.09372999996</v>
      </c>
      <c r="G21" s="11">
        <v>4358397.8250000002</v>
      </c>
      <c r="H21" s="11">
        <v>0</v>
      </c>
      <c r="I21" s="11">
        <v>384188.10091999994</v>
      </c>
      <c r="J21" s="11">
        <v>2823337.3947399999</v>
      </c>
      <c r="K21" s="11">
        <v>0</v>
      </c>
      <c r="L21" s="11">
        <v>40804.453700000005</v>
      </c>
      <c r="M21" s="11">
        <v>11840.677</v>
      </c>
      <c r="N21" s="11"/>
      <c r="O21" s="11">
        <v>889109.71792999993</v>
      </c>
      <c r="P21" s="11"/>
      <c r="Q21" s="11">
        <v>975129.1080599936</v>
      </c>
      <c r="R21" s="11"/>
      <c r="S21" s="32">
        <v>1864238.8259899935</v>
      </c>
      <c r="T21" s="12">
        <v>125274.16842</v>
      </c>
      <c r="U21" s="12">
        <v>116495.31822999995</v>
      </c>
      <c r="V21" s="12">
        <v>107589.81694</v>
      </c>
      <c r="Z21" s="128">
        <f t="shared" si="9"/>
        <v>44562</v>
      </c>
      <c r="AA21" s="94">
        <f t="shared" si="10"/>
        <v>8.4428282927376461E-2</v>
      </c>
      <c r="AB21" s="94">
        <f t="shared" si="1"/>
        <v>0.20407971604397118</v>
      </c>
      <c r="AC21" s="94">
        <f t="shared" si="2"/>
        <v>0.3336734725071196</v>
      </c>
      <c r="AD21" s="94">
        <f t="shared" si="3"/>
        <v>1.5451744230734832E-2</v>
      </c>
      <c r="AE21" s="95">
        <f t="shared" si="4"/>
        <v>5.0070529649287474E-2</v>
      </c>
      <c r="AF21" s="95">
        <f t="shared" si="5"/>
        <v>4.385670665795454E-2</v>
      </c>
      <c r="AG21" s="95">
        <f t="shared" si="6"/>
        <v>3.7256620356050464E-2</v>
      </c>
      <c r="AH21" s="94">
        <f t="shared" si="7"/>
        <v>0.63763321570920217</v>
      </c>
      <c r="AI21" s="96">
        <f t="shared" si="8"/>
        <v>0.36236678429079788</v>
      </c>
    </row>
    <row r="22" spans="1:35">
      <c r="A22" s="25">
        <v>43952</v>
      </c>
      <c r="B22" s="26" t="str">
        <f t="shared" si="0"/>
        <v>2020-B3</v>
      </c>
      <c r="C22" s="27">
        <v>134753.51993000004</v>
      </c>
      <c r="D22" s="27">
        <v>38852.902499999997</v>
      </c>
      <c r="E22" s="27">
        <v>0</v>
      </c>
      <c r="F22" s="27">
        <v>378010.53479999996</v>
      </c>
      <c r="G22" s="13">
        <v>7364539.6600000001</v>
      </c>
      <c r="H22" s="13">
        <v>0</v>
      </c>
      <c r="I22" s="13">
        <v>550358.90090000001</v>
      </c>
      <c r="J22" s="13">
        <v>3287695.7216999996</v>
      </c>
      <c r="K22" s="13">
        <v>0</v>
      </c>
      <c r="L22" s="13">
        <v>30939.73992</v>
      </c>
      <c r="M22" s="13">
        <v>10629.186</v>
      </c>
      <c r="N22" s="13"/>
      <c r="O22" s="13">
        <v>1094062.6955499998</v>
      </c>
      <c r="P22" s="13"/>
      <c r="Q22" s="13">
        <v>1127108.8076899829</v>
      </c>
      <c r="R22" s="13"/>
      <c r="S22" s="28">
        <v>2221171.5032399828</v>
      </c>
      <c r="T22" s="10">
        <v>225502.26673000003</v>
      </c>
      <c r="U22" s="10">
        <v>84818.213589999985</v>
      </c>
      <c r="V22" s="10">
        <v>146473.07392000005</v>
      </c>
      <c r="Z22" s="128">
        <f t="shared" si="9"/>
        <v>44593</v>
      </c>
      <c r="AA22" s="94">
        <f t="shared" si="10"/>
        <v>8.7981288223573387E-2</v>
      </c>
      <c r="AB22" s="94">
        <f t="shared" si="1"/>
        <v>0.13412779286170073</v>
      </c>
      <c r="AC22" s="94">
        <f t="shared" si="2"/>
        <v>0.33914732575231221</v>
      </c>
      <c r="AD22" s="94">
        <f t="shared" si="3"/>
        <v>1.4082300956264478E-2</v>
      </c>
      <c r="AE22" s="95">
        <f t="shared" si="4"/>
        <v>6.3879502157036264E-2</v>
      </c>
      <c r="AF22" s="95">
        <f t="shared" si="5"/>
        <v>4.1645332659387108E-2</v>
      </c>
      <c r="AG22" s="95">
        <f t="shared" si="6"/>
        <v>6.1709289132380794E-2</v>
      </c>
      <c r="AH22" s="94">
        <f t="shared" si="7"/>
        <v>0.57533870779385088</v>
      </c>
      <c r="AI22" s="96">
        <f t="shared" si="8"/>
        <v>0.42466129220614918</v>
      </c>
    </row>
    <row r="23" spans="1:35">
      <c r="A23" s="29">
        <v>43983</v>
      </c>
      <c r="B23" s="26" t="str">
        <f t="shared" si="0"/>
        <v>2020-B3</v>
      </c>
      <c r="C23" s="31">
        <v>189164.75940000016</v>
      </c>
      <c r="D23" s="31">
        <v>54759.206720000002</v>
      </c>
      <c r="E23" s="31">
        <v>0</v>
      </c>
      <c r="F23" s="31">
        <v>361445.09994999995</v>
      </c>
      <c r="G23" s="11">
        <v>6753013.443</v>
      </c>
      <c r="H23" s="11">
        <v>0</v>
      </c>
      <c r="I23" s="11">
        <v>559864.01213000005</v>
      </c>
      <c r="J23" s="11">
        <v>2715498.2912300001</v>
      </c>
      <c r="K23" s="11">
        <v>0</v>
      </c>
      <c r="L23" s="11">
        <v>32425.898740000001</v>
      </c>
      <c r="M23" s="11">
        <v>11374.683999999999</v>
      </c>
      <c r="N23" s="11"/>
      <c r="O23" s="11">
        <v>1142899.7702200001</v>
      </c>
      <c r="P23" s="11"/>
      <c r="Q23" s="11">
        <v>1146582.3081700227</v>
      </c>
      <c r="R23" s="11"/>
      <c r="S23" s="32">
        <v>2289482.0783900227</v>
      </c>
      <c r="T23" s="12">
        <v>247568.94077999998</v>
      </c>
      <c r="U23" s="12">
        <v>78733.453339999876</v>
      </c>
      <c r="V23" s="12">
        <v>100946.03324999998</v>
      </c>
      <c r="Z23" s="128">
        <f t="shared" si="9"/>
        <v>44621</v>
      </c>
      <c r="AA23" s="94">
        <f t="shared" si="10"/>
        <v>8.3494052585948372E-2</v>
      </c>
      <c r="AB23" s="94">
        <f t="shared" si="1"/>
        <v>0.1296739461146211</v>
      </c>
      <c r="AC23" s="94">
        <f t="shared" si="2"/>
        <v>0.38330552927906009</v>
      </c>
      <c r="AD23" s="94">
        <f t="shared" si="3"/>
        <v>1.2682470830615506E-2</v>
      </c>
      <c r="AE23" s="95">
        <f t="shared" si="4"/>
        <v>5.2693123130722427E-2</v>
      </c>
      <c r="AF23" s="95">
        <f t="shared" si="5"/>
        <v>4.1975517352976513E-2</v>
      </c>
      <c r="AG23" s="95">
        <f t="shared" si="6"/>
        <v>4.6787358462058115E-2</v>
      </c>
      <c r="AH23" s="94">
        <f t="shared" si="7"/>
        <v>0.60915599881024507</v>
      </c>
      <c r="AI23" s="96">
        <f t="shared" si="8"/>
        <v>0.39084400118975493</v>
      </c>
    </row>
    <row r="24" spans="1:35">
      <c r="A24" s="25">
        <v>44013</v>
      </c>
      <c r="B24" s="26" t="str">
        <f t="shared" si="0"/>
        <v>2020-B4</v>
      </c>
      <c r="C24" s="27">
        <v>263302.40193999995</v>
      </c>
      <c r="D24" s="27">
        <v>76263.174499999994</v>
      </c>
      <c r="E24" s="27">
        <v>0</v>
      </c>
      <c r="F24" s="27">
        <v>301451.48183</v>
      </c>
      <c r="G24" s="13">
        <v>5730246.375</v>
      </c>
      <c r="H24" s="13">
        <v>0</v>
      </c>
      <c r="I24" s="13">
        <v>635084.91771999991</v>
      </c>
      <c r="J24" s="13">
        <v>2630195.8913400001</v>
      </c>
      <c r="K24" s="13">
        <v>0</v>
      </c>
      <c r="L24" s="13">
        <v>28868.862350000003</v>
      </c>
      <c r="M24" s="13">
        <v>9730.9030000000002</v>
      </c>
      <c r="N24" s="13"/>
      <c r="O24" s="13">
        <v>1228707.6638399998</v>
      </c>
      <c r="P24" s="13"/>
      <c r="Q24" s="13">
        <v>1323280.6160899925</v>
      </c>
      <c r="R24" s="13"/>
      <c r="S24" s="28">
        <v>2551988.2799299923</v>
      </c>
      <c r="T24" s="10">
        <v>291202.73945999995</v>
      </c>
      <c r="U24" s="10">
        <v>113001.51752999998</v>
      </c>
      <c r="V24" s="10">
        <v>107332.63896000005</v>
      </c>
      <c r="Z24" s="128">
        <f t="shared" si="9"/>
        <v>44652</v>
      </c>
      <c r="AA24" s="94">
        <f t="shared" si="10"/>
        <v>5.7721626636011061E-2</v>
      </c>
      <c r="AB24" s="94">
        <f t="shared" si="1"/>
        <v>0.24164084437485037</v>
      </c>
      <c r="AC24" s="94">
        <f t="shared" si="2"/>
        <v>0.35749632105159734</v>
      </c>
      <c r="AD24" s="94">
        <f t="shared" si="3"/>
        <v>2.0475539628641362E-2</v>
      </c>
      <c r="AE24" s="95">
        <f t="shared" si="4"/>
        <v>4.6729148271775982E-2</v>
      </c>
      <c r="AF24" s="95">
        <f t="shared" si="5"/>
        <v>2.6418838288028695E-2</v>
      </c>
      <c r="AG24" s="95">
        <f t="shared" si="6"/>
        <v>3.4564375824508914E-2</v>
      </c>
      <c r="AH24" s="94">
        <f t="shared" si="7"/>
        <v>0.67733433169110013</v>
      </c>
      <c r="AI24" s="96">
        <f t="shared" si="8"/>
        <v>0.32266566830889981</v>
      </c>
    </row>
    <row r="25" spans="1:35">
      <c r="A25" s="29">
        <v>44044</v>
      </c>
      <c r="B25" s="26" t="str">
        <f t="shared" si="0"/>
        <v>2020-B4</v>
      </c>
      <c r="C25" s="31">
        <v>193753.29922000002</v>
      </c>
      <c r="D25" s="31">
        <v>54843.842599999996</v>
      </c>
      <c r="E25" s="31">
        <v>0</v>
      </c>
      <c r="F25" s="31">
        <v>271654.49553000001</v>
      </c>
      <c r="G25" s="11">
        <v>5141055.2637099996</v>
      </c>
      <c r="H25" s="11">
        <v>0</v>
      </c>
      <c r="I25" s="11">
        <v>830555.29711999989</v>
      </c>
      <c r="J25" s="11">
        <v>3066626.3258399996</v>
      </c>
      <c r="K25" s="11">
        <v>0</v>
      </c>
      <c r="L25" s="11">
        <v>41104.534229999997</v>
      </c>
      <c r="M25" s="11">
        <v>12413.466</v>
      </c>
      <c r="N25" s="11"/>
      <c r="O25" s="11">
        <v>1337067.6260999998</v>
      </c>
      <c r="P25" s="11"/>
      <c r="Q25" s="11">
        <v>1247699.1343900126</v>
      </c>
      <c r="R25" s="11"/>
      <c r="S25" s="32">
        <v>2584766.7604900124</v>
      </c>
      <c r="T25" s="12">
        <v>287292.99478000001</v>
      </c>
      <c r="U25" s="12">
        <v>106562.5327800001</v>
      </c>
      <c r="V25" s="12">
        <v>93201.055890000091</v>
      </c>
      <c r="Z25" s="128">
        <f t="shared" si="9"/>
        <v>44682</v>
      </c>
      <c r="AA25" s="94">
        <f t="shared" si="10"/>
        <v>5.6367790620845203E-2</v>
      </c>
      <c r="AB25" s="94">
        <f t="shared" si="1"/>
        <v>0.11567275674606907</v>
      </c>
      <c r="AC25" s="94">
        <f t="shared" si="2"/>
        <v>0.39867339371186372</v>
      </c>
      <c r="AD25" s="94">
        <f t="shared" si="3"/>
        <v>1.7100538288353478E-2</v>
      </c>
      <c r="AE25" s="95">
        <f t="shared" si="4"/>
        <v>5.9152444039087204E-2</v>
      </c>
      <c r="AF25" s="95">
        <f t="shared" si="5"/>
        <v>3.695234655383877E-2</v>
      </c>
      <c r="AG25" s="95">
        <f t="shared" si="6"/>
        <v>5.4335740239311189E-2</v>
      </c>
      <c r="AH25" s="94">
        <f t="shared" si="7"/>
        <v>0.58781447936713149</v>
      </c>
      <c r="AI25" s="96">
        <f t="shared" si="8"/>
        <v>0.41218552063286856</v>
      </c>
    </row>
    <row r="26" spans="1:35">
      <c r="A26" s="26">
        <v>44075</v>
      </c>
      <c r="B26" s="26" t="str">
        <f t="shared" si="0"/>
        <v>2020-B5</v>
      </c>
      <c r="C26" s="27">
        <v>211241.67262</v>
      </c>
      <c r="D26" s="27">
        <v>57576.70192</v>
      </c>
      <c r="E26" s="27"/>
      <c r="F26" s="27">
        <v>267370.85704000003</v>
      </c>
      <c r="G26" s="13">
        <v>4606284.1472299993</v>
      </c>
      <c r="H26" s="13"/>
      <c r="I26" s="13">
        <v>664441.00367999997</v>
      </c>
      <c r="J26" s="13">
        <v>2619002.4194300002</v>
      </c>
      <c r="K26" s="13"/>
      <c r="L26" s="13">
        <v>34917.071429999996</v>
      </c>
      <c r="M26" s="13">
        <v>9784.7569999999996</v>
      </c>
      <c r="N26" s="13"/>
      <c r="O26" s="13">
        <v>1177970.6047700001</v>
      </c>
      <c r="P26" s="13"/>
      <c r="Q26" s="13">
        <v>1366902.9993999908</v>
      </c>
      <c r="R26" s="13"/>
      <c r="S26" s="28">
        <v>2544873.6041699909</v>
      </c>
      <c r="T26" s="10">
        <v>298528.68170999998</v>
      </c>
      <c r="U26" s="10">
        <v>126820.72568000006</v>
      </c>
      <c r="V26" s="10">
        <v>108948.90081999994</v>
      </c>
      <c r="Z26" s="128">
        <f t="shared" si="9"/>
        <v>44713</v>
      </c>
      <c r="AA26" s="94">
        <f t="shared" si="10"/>
        <v>6.4119453960935838E-2</v>
      </c>
      <c r="AB26" s="94">
        <f t="shared" si="1"/>
        <v>0.27481329746416233</v>
      </c>
      <c r="AC26" s="94">
        <f t="shared" si="2"/>
        <v>0.31107906251790279</v>
      </c>
      <c r="AD26" s="94">
        <f t="shared" si="3"/>
        <v>2.4394929500676961E-2</v>
      </c>
      <c r="AE26" s="95">
        <f t="shared" si="4"/>
        <v>3.6470193538261864E-2</v>
      </c>
      <c r="AF26" s="95">
        <f t="shared" si="5"/>
        <v>2.8414492709867522E-2</v>
      </c>
      <c r="AG26" s="95">
        <f t="shared" si="6"/>
        <v>3.1816540576051766E-2</v>
      </c>
      <c r="AH26" s="94">
        <f t="shared" si="7"/>
        <v>0.6744067434436779</v>
      </c>
      <c r="AI26" s="96">
        <f t="shared" si="8"/>
        <v>0.3255932565563221</v>
      </c>
    </row>
    <row r="27" spans="1:35">
      <c r="A27" s="30">
        <v>44105</v>
      </c>
      <c r="B27" s="26" t="str">
        <f t="shared" si="0"/>
        <v>2020-B5</v>
      </c>
      <c r="C27" s="31">
        <v>165495.6930599999</v>
      </c>
      <c r="D27" s="31">
        <v>43292.72294</v>
      </c>
      <c r="E27" s="31"/>
      <c r="F27" s="31">
        <v>224115.65105999997</v>
      </c>
      <c r="G27" s="11">
        <v>3401587.2949999999</v>
      </c>
      <c r="H27" s="11"/>
      <c r="I27" s="11">
        <v>745109.42905999999</v>
      </c>
      <c r="J27" s="11">
        <v>2995216.3557199999</v>
      </c>
      <c r="K27" s="11"/>
      <c r="L27" s="11">
        <v>41243.431210000002</v>
      </c>
      <c r="M27" s="11">
        <v>10703.933999999999</v>
      </c>
      <c r="N27" s="11"/>
      <c r="O27" s="11">
        <v>1175964.2043899999</v>
      </c>
      <c r="P27" s="11"/>
      <c r="Q27" s="11">
        <v>1468989.2984499999</v>
      </c>
      <c r="R27" s="11"/>
      <c r="S27" s="32">
        <v>2644953.5028399997</v>
      </c>
      <c r="T27" s="12">
        <v>378452.09525000013</v>
      </c>
      <c r="U27" s="12">
        <v>101781.68926999993</v>
      </c>
      <c r="V27" s="12">
        <v>101595.86246000003</v>
      </c>
      <c r="Z27" s="128">
        <f t="shared" si="9"/>
        <v>44743</v>
      </c>
      <c r="AA27" s="94">
        <f t="shared" si="10"/>
        <v>6.4112857833887801E-2</v>
      </c>
      <c r="AB27" s="94">
        <f t="shared" si="1"/>
        <v>0.30601114852477984</v>
      </c>
      <c r="AC27" s="94">
        <f t="shared" si="2"/>
        <v>0.31109641160100249</v>
      </c>
      <c r="AD27" s="94">
        <f t="shared" si="3"/>
        <v>1.3644809713843315E-2</v>
      </c>
      <c r="AE27" s="95">
        <f t="shared" si="4"/>
        <v>5.291992415447043E-2</v>
      </c>
      <c r="AF27" s="95">
        <f t="shared" si="5"/>
        <v>3.6543919043564348E-2</v>
      </c>
      <c r="AG27" s="95">
        <f t="shared" si="6"/>
        <v>2.4818305228683623E-2</v>
      </c>
      <c r="AH27" s="94">
        <f t="shared" si="7"/>
        <v>0.69486522767351344</v>
      </c>
      <c r="AI27" s="96">
        <f t="shared" si="8"/>
        <v>0.30513477232648661</v>
      </c>
    </row>
    <row r="28" spans="1:35">
      <c r="A28" s="26">
        <v>44136</v>
      </c>
      <c r="B28" s="26" t="str">
        <f t="shared" si="0"/>
        <v>2020-B6</v>
      </c>
      <c r="C28" s="27">
        <v>220942.57445999997</v>
      </c>
      <c r="D28" s="27">
        <v>58718.699000000001</v>
      </c>
      <c r="E28" s="27"/>
      <c r="F28" s="27">
        <v>151059.81167999998</v>
      </c>
      <c r="G28" s="13">
        <v>2020873.72</v>
      </c>
      <c r="H28" s="13"/>
      <c r="I28" s="13">
        <v>720846.38959000004</v>
      </c>
      <c r="J28" s="13">
        <v>2748713.0083299996</v>
      </c>
      <c r="K28" s="13"/>
      <c r="L28" s="13">
        <v>43913.218699999998</v>
      </c>
      <c r="M28" s="13">
        <v>11264.111999999999</v>
      </c>
      <c r="N28" s="13"/>
      <c r="O28" s="13">
        <v>1136761.99443</v>
      </c>
      <c r="P28" s="13"/>
      <c r="Q28" s="13">
        <v>1386609.8805999951</v>
      </c>
      <c r="R28" s="13"/>
      <c r="S28" s="28">
        <v>2523371.8750299951</v>
      </c>
      <c r="T28" s="10">
        <v>298377.67747</v>
      </c>
      <c r="U28" s="10">
        <v>114105.92016999992</v>
      </c>
      <c r="V28" s="10">
        <v>125965.22390000003</v>
      </c>
      <c r="Z28" s="128">
        <f t="shared" si="9"/>
        <v>44774</v>
      </c>
      <c r="AA28" s="94">
        <f t="shared" si="10"/>
        <v>7.0266175716864027E-2</v>
      </c>
      <c r="AB28" s="94">
        <f t="shared" si="1"/>
        <v>0.16163627103191217</v>
      </c>
      <c r="AC28" s="94">
        <f t="shared" si="2"/>
        <v>0.34531308134294847</v>
      </c>
      <c r="AD28" s="94">
        <f t="shared" si="3"/>
        <v>1.7905422704343317E-2</v>
      </c>
      <c r="AE28" s="95">
        <f t="shared" si="4"/>
        <v>6.0930025506416574E-2</v>
      </c>
      <c r="AF28" s="95">
        <f t="shared" si="5"/>
        <v>4.5591790209487157E-2</v>
      </c>
      <c r="AG28" s="95">
        <f t="shared" si="6"/>
        <v>3.2408282948463291E-2</v>
      </c>
      <c r="AH28" s="94">
        <f t="shared" si="7"/>
        <v>0.59512095079606797</v>
      </c>
      <c r="AI28" s="96">
        <f t="shared" si="8"/>
        <v>0.40487904920393197</v>
      </c>
    </row>
    <row r="29" spans="1:35">
      <c r="A29" s="30">
        <v>44166</v>
      </c>
      <c r="B29" s="26" t="str">
        <f t="shared" si="0"/>
        <v>2020-B6</v>
      </c>
      <c r="C29" s="31">
        <v>307008.77042999992</v>
      </c>
      <c r="D29" s="31">
        <v>83046.940640000001</v>
      </c>
      <c r="E29" s="31"/>
      <c r="F29" s="31">
        <v>283337.62770000001</v>
      </c>
      <c r="G29" s="11">
        <v>4721207.0964500001</v>
      </c>
      <c r="H29" s="11"/>
      <c r="I29" s="11">
        <v>796579.82134000002</v>
      </c>
      <c r="J29" s="11">
        <v>2553528.9662600001</v>
      </c>
      <c r="K29" s="11"/>
      <c r="L29" s="11">
        <v>51144.9594</v>
      </c>
      <c r="M29" s="11">
        <v>12834.291499999999</v>
      </c>
      <c r="N29" s="11"/>
      <c r="O29" s="11">
        <v>1438071.1788699999</v>
      </c>
      <c r="P29" s="11"/>
      <c r="Q29" s="11">
        <v>1590766.0076500084</v>
      </c>
      <c r="R29" s="11"/>
      <c r="S29" s="32">
        <v>3028837.1865200084</v>
      </c>
      <c r="T29" s="12">
        <v>331767.38804000005</v>
      </c>
      <c r="U29" s="12">
        <v>147538.74155000004</v>
      </c>
      <c r="V29" s="12">
        <v>106377.54957999992</v>
      </c>
      <c r="Z29" s="128">
        <f t="shared" si="9"/>
        <v>44805</v>
      </c>
      <c r="AA29" s="94">
        <f t="shared" si="10"/>
        <v>6.7792416752663606E-2</v>
      </c>
      <c r="AB29" s="94">
        <f t="shared" si="1"/>
        <v>0.26075363830161702</v>
      </c>
      <c r="AC29" s="94">
        <f t="shared" si="2"/>
        <v>0.281313378555547</v>
      </c>
      <c r="AD29" s="94">
        <f t="shared" si="3"/>
        <v>1.6999708713590578E-2</v>
      </c>
      <c r="AE29" s="95">
        <f t="shared" si="4"/>
        <v>5.2702988945751775E-2</v>
      </c>
      <c r="AF29" s="95">
        <f t="shared" si="5"/>
        <v>3.3580725899859741E-2</v>
      </c>
      <c r="AG29" s="95">
        <f t="shared" si="6"/>
        <v>2.6249204738130444E-2</v>
      </c>
      <c r="AH29" s="94">
        <f t="shared" si="7"/>
        <v>0.62685914232341822</v>
      </c>
      <c r="AI29" s="96">
        <f t="shared" si="8"/>
        <v>0.37314085767658178</v>
      </c>
    </row>
    <row r="30" spans="1:35">
      <c r="A30" s="25">
        <v>44197</v>
      </c>
      <c r="B30" s="26" t="str">
        <f t="shared" si="0"/>
        <v>2021-B1</v>
      </c>
      <c r="C30" s="27">
        <v>247990.07067000004</v>
      </c>
      <c r="D30" s="27">
        <v>66104.926609999995</v>
      </c>
      <c r="E30" s="34">
        <v>0</v>
      </c>
      <c r="F30" s="27">
        <v>251118.40611999997</v>
      </c>
      <c r="G30" s="27">
        <v>3876853.3857399998</v>
      </c>
      <c r="H30" s="34">
        <v>0</v>
      </c>
      <c r="I30" s="27">
        <v>930474.83855999995</v>
      </c>
      <c r="J30" s="27">
        <v>2715960.8801500001</v>
      </c>
      <c r="K30" s="34">
        <v>0</v>
      </c>
      <c r="L30" s="27">
        <v>33477.897539999998</v>
      </c>
      <c r="M30" s="27">
        <v>8223.8529999999992</v>
      </c>
      <c r="N30" s="34"/>
      <c r="O30" s="13">
        <v>1463061.2128900001</v>
      </c>
      <c r="P30" s="13"/>
      <c r="Q30" s="13">
        <v>1147875.209540002</v>
      </c>
      <c r="R30" s="13"/>
      <c r="S30" s="28">
        <v>2610936.4224300021</v>
      </c>
      <c r="T30" s="10">
        <v>191099.61087999991</v>
      </c>
      <c r="U30" s="10">
        <v>130770.46255999994</v>
      </c>
      <c r="V30" s="10">
        <v>130252.40092999997</v>
      </c>
      <c r="Z30" s="128">
        <f t="shared" si="9"/>
        <v>44835</v>
      </c>
      <c r="AA30" s="94">
        <f t="shared" si="10"/>
        <v>7.4058450442735027E-2</v>
      </c>
      <c r="AB30" s="94">
        <f t="shared" si="1"/>
        <v>0.23210718996810023</v>
      </c>
      <c r="AC30" s="94">
        <f t="shared" si="2"/>
        <v>0.28504808265018194</v>
      </c>
      <c r="AD30" s="94">
        <f t="shared" si="3"/>
        <v>1.1255384549565166E-2</v>
      </c>
      <c r="AE30" s="95">
        <f t="shared" si="4"/>
        <v>6.8839802118941251E-2</v>
      </c>
      <c r="AF30" s="95">
        <f t="shared" si="5"/>
        <v>3.42324618572247E-2</v>
      </c>
      <c r="AG30" s="95">
        <f t="shared" si="6"/>
        <v>3.418694054640295E-2</v>
      </c>
      <c r="AH30" s="94">
        <f t="shared" si="7"/>
        <v>0.60246910761058237</v>
      </c>
      <c r="AI30" s="96">
        <f t="shared" si="8"/>
        <v>0.39753089238941769</v>
      </c>
    </row>
    <row r="31" spans="1:35">
      <c r="A31" s="29">
        <v>44228</v>
      </c>
      <c r="B31" s="26" t="str">
        <f t="shared" si="0"/>
        <v>2021-B1</v>
      </c>
      <c r="C31" s="31">
        <v>259822.50656000001</v>
      </c>
      <c r="D31" s="31">
        <v>66701.667000000001</v>
      </c>
      <c r="E31" s="33">
        <v>0</v>
      </c>
      <c r="F31" s="31">
        <v>444899.13221000001</v>
      </c>
      <c r="G31" s="31">
        <v>7382962.7400000002</v>
      </c>
      <c r="H31" s="33">
        <v>0</v>
      </c>
      <c r="I31" s="31">
        <v>807209.23843999999</v>
      </c>
      <c r="J31" s="31">
        <v>2037807.2131699999</v>
      </c>
      <c r="K31" s="33">
        <v>0</v>
      </c>
      <c r="L31" s="31">
        <v>28639.061300000001</v>
      </c>
      <c r="M31" s="31">
        <v>6491.4480000000003</v>
      </c>
      <c r="N31" s="33"/>
      <c r="O31" s="11">
        <v>1540569.9385099998</v>
      </c>
      <c r="P31" s="11"/>
      <c r="Q31" s="11">
        <v>1398424.1782099949</v>
      </c>
      <c r="R31" s="11"/>
      <c r="S31" s="32">
        <v>2938994.1167199947</v>
      </c>
      <c r="T31" s="12">
        <v>261144.81041999997</v>
      </c>
      <c r="U31" s="12">
        <v>159060.5205800001</v>
      </c>
      <c r="V31" s="12">
        <v>154414.60139000011</v>
      </c>
      <c r="Z31" s="128">
        <f t="shared" si="9"/>
        <v>44866</v>
      </c>
      <c r="AA31" s="94">
        <f t="shared" si="10"/>
        <v>6.1637437273809499E-2</v>
      </c>
      <c r="AB31" s="94">
        <f t="shared" si="1"/>
        <v>0.23774775570110221</v>
      </c>
      <c r="AC31" s="94">
        <f t="shared" si="2"/>
        <v>0.31868742838067993</v>
      </c>
      <c r="AD31" s="94">
        <f t="shared" si="3"/>
        <v>1.0927536936892716E-2</v>
      </c>
      <c r="AE31" s="95">
        <f t="shared" si="4"/>
        <v>5.6737092015494178E-2</v>
      </c>
      <c r="AF31" s="95">
        <f t="shared" si="5"/>
        <v>2.793743556513353E-2</v>
      </c>
      <c r="AG31" s="95">
        <f t="shared" si="6"/>
        <v>3.2845309643185792E-2</v>
      </c>
      <c r="AH31" s="94">
        <f t="shared" si="7"/>
        <v>0.62900015829248435</v>
      </c>
      <c r="AI31" s="96">
        <f t="shared" si="8"/>
        <v>0.37099984170751565</v>
      </c>
    </row>
    <row r="32" spans="1:35">
      <c r="A32" s="25">
        <v>44256</v>
      </c>
      <c r="B32" s="26" t="str">
        <f t="shared" si="0"/>
        <v>2021-B2</v>
      </c>
      <c r="C32" s="27">
        <v>266853.04970000003</v>
      </c>
      <c r="D32" s="27">
        <v>66732.482739999992</v>
      </c>
      <c r="E32" s="34">
        <v>0</v>
      </c>
      <c r="F32" s="27">
        <v>264804.05569999997</v>
      </c>
      <c r="G32" s="27">
        <v>3354949.625</v>
      </c>
      <c r="H32" s="34">
        <v>0</v>
      </c>
      <c r="I32" s="27">
        <v>1134621.9774499999</v>
      </c>
      <c r="J32" s="27">
        <v>2840951.8796300003</v>
      </c>
      <c r="K32" s="34">
        <v>0</v>
      </c>
      <c r="L32" s="27">
        <v>29687.034350000002</v>
      </c>
      <c r="M32" s="27">
        <v>5688.4740000000002</v>
      </c>
      <c r="N32" s="34"/>
      <c r="O32" s="13">
        <v>1695966.1172</v>
      </c>
      <c r="P32" s="13"/>
      <c r="Q32" s="13">
        <v>1687587.9591800019</v>
      </c>
      <c r="R32" s="13"/>
      <c r="S32" s="28">
        <v>3383554.0763800018</v>
      </c>
      <c r="T32" s="10">
        <v>279536.99756999989</v>
      </c>
      <c r="U32" s="10">
        <v>150113.30285000001</v>
      </c>
      <c r="V32" s="10">
        <v>204659.82746000006</v>
      </c>
      <c r="Z32" s="128">
        <f t="shared" si="9"/>
        <v>44896</v>
      </c>
      <c r="AA32" s="94">
        <f t="shared" si="10"/>
        <v>7.2531761805498432E-2</v>
      </c>
      <c r="AB32" s="94">
        <f t="shared" si="1"/>
        <v>0.24370573317739619</v>
      </c>
      <c r="AC32" s="94">
        <f t="shared" si="2"/>
        <v>0.28440189701482838</v>
      </c>
      <c r="AD32" s="94">
        <f t="shared" si="3"/>
        <v>1.4295577557245477E-2</v>
      </c>
      <c r="AE32" s="95">
        <f t="shared" si="4"/>
        <v>6.9728316491907291E-2</v>
      </c>
      <c r="AF32" s="95">
        <f t="shared" si="5"/>
        <v>2.9271124297186871E-2</v>
      </c>
      <c r="AG32" s="95">
        <f t="shared" si="6"/>
        <v>2.8541639563187112E-2</v>
      </c>
      <c r="AH32" s="94">
        <f t="shared" si="7"/>
        <v>0.61493496955496851</v>
      </c>
      <c r="AI32" s="96">
        <f t="shared" si="8"/>
        <v>0.38506503044503149</v>
      </c>
    </row>
    <row r="33" spans="1:39">
      <c r="A33" s="29">
        <v>44287</v>
      </c>
      <c r="B33" s="26" t="str">
        <f t="shared" si="0"/>
        <v>2021-B2</v>
      </c>
      <c r="C33" s="31">
        <v>234504.42874000003</v>
      </c>
      <c r="D33" s="31">
        <v>59044.706549999995</v>
      </c>
      <c r="E33" s="33">
        <v>0</v>
      </c>
      <c r="F33" s="31">
        <v>340956.49169000005</v>
      </c>
      <c r="G33" s="31">
        <v>4205319.72456</v>
      </c>
      <c r="H33" s="33">
        <v>0</v>
      </c>
      <c r="I33" s="31">
        <v>862300.50512999995</v>
      </c>
      <c r="J33" s="31">
        <v>2199304.4614500003</v>
      </c>
      <c r="K33" s="33">
        <v>0</v>
      </c>
      <c r="L33" s="31">
        <v>31394.036810000001</v>
      </c>
      <c r="M33" s="31">
        <v>6479.5649999999996</v>
      </c>
      <c r="N33" s="33"/>
      <c r="O33" s="11">
        <v>1469155.4623700001</v>
      </c>
      <c r="P33" s="11"/>
      <c r="Q33" s="11">
        <v>1507216.8816899995</v>
      </c>
      <c r="R33" s="11"/>
      <c r="S33" s="32">
        <v>2976372.3440599996</v>
      </c>
      <c r="T33" s="12">
        <v>272004.21674999996</v>
      </c>
      <c r="U33" s="12">
        <v>167456.38154000038</v>
      </c>
      <c r="V33" s="12">
        <v>147307.17642000015</v>
      </c>
      <c r="Z33" s="128">
        <f t="shared" si="9"/>
        <v>44927</v>
      </c>
      <c r="AA33" s="94">
        <f t="shared" si="10"/>
        <v>6.4649607886323429E-2</v>
      </c>
      <c r="AB33" s="94">
        <f t="shared" si="1"/>
        <v>0.24368239306085454</v>
      </c>
      <c r="AC33" s="94">
        <f t="shared" si="2"/>
        <v>0.28466341015761643</v>
      </c>
      <c r="AD33" s="94">
        <f t="shared" si="3"/>
        <v>2.6902868526408392E-2</v>
      </c>
      <c r="AE33" s="95">
        <f t="shared" si="4"/>
        <v>6.9150846939003724E-2</v>
      </c>
      <c r="AF33" s="95">
        <f t="shared" si="5"/>
        <v>2.9024498852890695E-2</v>
      </c>
      <c r="AG33" s="95">
        <f t="shared" si="6"/>
        <v>4.261902383347406E-2</v>
      </c>
      <c r="AH33" s="94">
        <f t="shared" si="7"/>
        <v>0.61989827963120281</v>
      </c>
      <c r="AI33" s="96">
        <f t="shared" si="8"/>
        <v>0.38010172036879719</v>
      </c>
    </row>
    <row r="34" spans="1:39">
      <c r="A34" s="25">
        <v>44317</v>
      </c>
      <c r="B34" s="26" t="str">
        <f t="shared" si="0"/>
        <v>2021-B3</v>
      </c>
      <c r="C34" s="27">
        <v>116711.29921000001</v>
      </c>
      <c r="D34" s="27">
        <v>28206.590110000001</v>
      </c>
      <c r="E34" s="34">
        <v>0</v>
      </c>
      <c r="F34" s="27">
        <v>335614.44488999993</v>
      </c>
      <c r="G34" s="27">
        <v>4803961.7570000002</v>
      </c>
      <c r="H34" s="34">
        <v>0</v>
      </c>
      <c r="I34" s="27">
        <v>1214108.72805</v>
      </c>
      <c r="J34" s="27">
        <v>2846524.0652899998</v>
      </c>
      <c r="K34" s="34">
        <v>0</v>
      </c>
      <c r="L34" s="27">
        <v>25353.60456</v>
      </c>
      <c r="M34" s="27">
        <v>5740.2470000000003</v>
      </c>
      <c r="N34" s="34"/>
      <c r="O34" s="13">
        <v>1691788.0767099999</v>
      </c>
      <c r="P34" s="13"/>
      <c r="Q34" s="13">
        <v>1405125.201309995</v>
      </c>
      <c r="R34" s="13"/>
      <c r="S34" s="28">
        <v>3096913.278019995</v>
      </c>
      <c r="T34" s="10">
        <v>302196.71512999991</v>
      </c>
      <c r="U34" s="10">
        <v>140940.67490999994</v>
      </c>
      <c r="V34" s="10">
        <v>217431.34955000004</v>
      </c>
      <c r="Z34" s="128">
        <f t="shared" si="9"/>
        <v>44958</v>
      </c>
      <c r="AA34" s="94">
        <f t="shared" si="10"/>
        <v>5.9005494634767883E-2</v>
      </c>
      <c r="AB34" s="94">
        <f t="shared" si="1"/>
        <v>0.23285939144801893</v>
      </c>
      <c r="AC34" s="94">
        <f t="shared" si="2"/>
        <v>0.30686178573255357</v>
      </c>
      <c r="AD34" s="94">
        <f t="shared" si="3"/>
        <v>9.9580290412223989E-3</v>
      </c>
      <c r="AE34" s="95">
        <f t="shared" si="4"/>
        <v>6.368280488426234E-2</v>
      </c>
      <c r="AF34" s="95">
        <f t="shared" si="5"/>
        <v>2.830278160140863E-2</v>
      </c>
      <c r="AG34" s="95">
        <f t="shared" si="6"/>
        <v>5.3185324391244362E-2</v>
      </c>
      <c r="AH34" s="94">
        <f t="shared" si="7"/>
        <v>0.60868470085656279</v>
      </c>
      <c r="AI34" s="96">
        <f t="shared" si="8"/>
        <v>0.39131529914343716</v>
      </c>
    </row>
    <row r="35" spans="1:39">
      <c r="A35" s="29">
        <v>44348</v>
      </c>
      <c r="B35" s="26" t="str">
        <f t="shared" si="0"/>
        <v>2021-B3</v>
      </c>
      <c r="C35" s="31">
        <v>107484.51157999999</v>
      </c>
      <c r="D35" s="31">
        <v>25681.6865</v>
      </c>
      <c r="E35" s="33">
        <v>0</v>
      </c>
      <c r="F35" s="31">
        <v>416226.56854999997</v>
      </c>
      <c r="G35" s="31">
        <v>5379085.165</v>
      </c>
      <c r="H35" s="33">
        <v>0</v>
      </c>
      <c r="I35" s="31">
        <v>1142476.47991</v>
      </c>
      <c r="J35" s="31">
        <v>2558335.1308400002</v>
      </c>
      <c r="K35" s="33">
        <v>0</v>
      </c>
      <c r="L35" s="31">
        <v>38965.44472</v>
      </c>
      <c r="M35" s="31">
        <v>8990.31</v>
      </c>
      <c r="N35" s="33"/>
      <c r="O35" s="11">
        <v>1705153.0047599999</v>
      </c>
      <c r="P35" s="11"/>
      <c r="Q35" s="11">
        <v>1477062.7035499914</v>
      </c>
      <c r="R35" s="11"/>
      <c r="S35" s="32">
        <v>3182215.7083099913</v>
      </c>
      <c r="T35" s="12">
        <v>286289.55983999983</v>
      </c>
      <c r="U35" s="12">
        <v>165155.94079000011</v>
      </c>
      <c r="V35" s="12">
        <v>125897.15586</v>
      </c>
      <c r="Z35" s="128">
        <f t="shared" si="9"/>
        <v>44986</v>
      </c>
      <c r="AA35" s="94">
        <f t="shared" si="10"/>
        <v>6.2540722332260379E-2</v>
      </c>
      <c r="AB35" s="94">
        <f t="shared" si="1"/>
        <v>0.21462801440814541</v>
      </c>
      <c r="AC35" s="94">
        <f t="shared" si="2"/>
        <v>0.26947940755863919</v>
      </c>
      <c r="AD35" s="94">
        <f t="shared" si="3"/>
        <v>1.4010587599324864E-2</v>
      </c>
      <c r="AE35" s="95">
        <f t="shared" si="4"/>
        <v>7.1021459155876376E-2</v>
      </c>
      <c r="AF35" s="95">
        <f t="shared" si="5"/>
        <v>3.1947222392869977E-2</v>
      </c>
      <c r="AG35" s="95">
        <f t="shared" si="6"/>
        <v>4.8283263575140102E-2</v>
      </c>
      <c r="AH35" s="94">
        <f t="shared" si="7"/>
        <v>0.5606587318983699</v>
      </c>
      <c r="AI35" s="96">
        <f t="shared" si="8"/>
        <v>0.4393412681016301</v>
      </c>
      <c r="AM35" t="s">
        <v>438</v>
      </c>
    </row>
    <row r="36" spans="1:39">
      <c r="A36" s="25">
        <v>44378</v>
      </c>
      <c r="B36" s="26" t="str">
        <f t="shared" si="0"/>
        <v>2021-B4</v>
      </c>
      <c r="C36" s="27">
        <v>299415.35288000008</v>
      </c>
      <c r="D36" s="27">
        <v>68911.921700000006</v>
      </c>
      <c r="E36" s="34">
        <v>0</v>
      </c>
      <c r="F36" s="27">
        <v>417620.63703000004</v>
      </c>
      <c r="G36" s="27">
        <v>4925174.1030000001</v>
      </c>
      <c r="H36" s="34">
        <v>0</v>
      </c>
      <c r="I36" s="27">
        <v>998030.69499000011</v>
      </c>
      <c r="J36" s="27">
        <v>2239338.4645700003</v>
      </c>
      <c r="K36" s="34">
        <v>0</v>
      </c>
      <c r="L36" s="27">
        <v>43353.267209999998</v>
      </c>
      <c r="M36" s="27">
        <v>9494.0049999999992</v>
      </c>
      <c r="N36" s="34"/>
      <c r="O36" s="13">
        <v>1758419.9521100002</v>
      </c>
      <c r="P36" s="13"/>
      <c r="Q36" s="13">
        <v>1685737.9570700021</v>
      </c>
      <c r="R36" s="13"/>
      <c r="S36" s="28">
        <v>3444157.9091800023</v>
      </c>
      <c r="T36" s="10">
        <v>313275.83396000002</v>
      </c>
      <c r="U36" s="10">
        <v>175121.41423999995</v>
      </c>
      <c r="V36" s="10">
        <v>106769.88287000007</v>
      </c>
      <c r="Z36" s="128">
        <f t="shared" si="9"/>
        <v>45017</v>
      </c>
      <c r="AA36" s="94">
        <f t="shared" si="10"/>
        <v>5.4415579331686628E-2</v>
      </c>
      <c r="AB36" s="94">
        <f t="shared" si="1"/>
        <v>0.14548117376794972</v>
      </c>
      <c r="AC36" s="94">
        <f t="shared" si="2"/>
        <v>0.34475640481933978</v>
      </c>
      <c r="AD36" s="94">
        <f t="shared" si="3"/>
        <v>1.2758623763496011E-2</v>
      </c>
      <c r="AE36" s="95">
        <f t="shared" si="4"/>
        <v>6.9775075007213333E-2</v>
      </c>
      <c r="AF36" s="95">
        <f t="shared" si="5"/>
        <v>3.1016879431248721E-2</v>
      </c>
      <c r="AG36" s="95">
        <f t="shared" si="6"/>
        <v>3.9247508496264107E-2</v>
      </c>
      <c r="AH36" s="94">
        <f t="shared" si="7"/>
        <v>0.55741178168247218</v>
      </c>
      <c r="AI36" s="96">
        <f t="shared" si="8"/>
        <v>0.44258821831752782</v>
      </c>
      <c r="AM36" t="s">
        <v>439</v>
      </c>
    </row>
    <row r="37" spans="1:39">
      <c r="A37" s="29">
        <v>44409</v>
      </c>
      <c r="B37" s="26" t="str">
        <f t="shared" si="0"/>
        <v>2021-B4</v>
      </c>
      <c r="C37" s="31">
        <v>315159.23010999989</v>
      </c>
      <c r="D37" s="31">
        <v>68786.497000000003</v>
      </c>
      <c r="E37" s="33">
        <v>0</v>
      </c>
      <c r="F37" s="31">
        <v>482240.66412999999</v>
      </c>
      <c r="G37" s="31">
        <v>4809134.9381599994</v>
      </c>
      <c r="H37" s="33">
        <v>0</v>
      </c>
      <c r="I37" s="31">
        <v>1028790.49338</v>
      </c>
      <c r="J37" s="31">
        <v>2467481.3289600001</v>
      </c>
      <c r="K37" s="33">
        <v>0</v>
      </c>
      <c r="L37" s="31">
        <v>42436.164280000005</v>
      </c>
      <c r="M37" s="31">
        <v>8784.1029999999992</v>
      </c>
      <c r="N37" s="33"/>
      <c r="O37" s="11">
        <v>1868626.5518999998</v>
      </c>
      <c r="P37" s="11"/>
      <c r="Q37" s="11">
        <v>1596516.3230299912</v>
      </c>
      <c r="R37" s="11"/>
      <c r="S37" s="32">
        <v>3465142.8749299911</v>
      </c>
      <c r="T37" s="12">
        <v>225795.93846999994</v>
      </c>
      <c r="U37" s="12">
        <v>176633.23703000005</v>
      </c>
      <c r="V37" s="12">
        <v>114586.30210999984</v>
      </c>
      <c r="Z37" s="128">
        <f t="shared" si="9"/>
        <v>45047</v>
      </c>
      <c r="AA37" s="94">
        <f t="shared" si="10"/>
        <v>5.3792675334004572E-2</v>
      </c>
      <c r="AB37" s="94">
        <f t="shared" si="1"/>
        <v>0.20341651112295236</v>
      </c>
      <c r="AC37" s="94">
        <f t="shared" si="2"/>
        <v>0.26498505831749392</v>
      </c>
      <c r="AD37" s="94">
        <f t="shared" si="3"/>
        <v>1.7812097774513699E-2</v>
      </c>
      <c r="AE37" s="95">
        <f t="shared" si="4"/>
        <v>7.7775257361593755E-2</v>
      </c>
      <c r="AF37" s="95">
        <f t="shared" si="5"/>
        <v>2.8853433717115799E-2</v>
      </c>
      <c r="AG37" s="95">
        <f t="shared" si="6"/>
        <v>5.0040071264502488E-2</v>
      </c>
      <c r="AH37" s="94">
        <f t="shared" si="7"/>
        <v>0.54000634254896462</v>
      </c>
      <c r="AI37" s="96">
        <f t="shared" si="8"/>
        <v>0.45999365745103538</v>
      </c>
    </row>
    <row r="38" spans="1:39">
      <c r="A38" s="25">
        <v>44440</v>
      </c>
      <c r="B38" s="26" t="str">
        <f t="shared" si="0"/>
        <v>2021-B5</v>
      </c>
      <c r="C38" s="27">
        <v>256436.66723000002</v>
      </c>
      <c r="D38" s="27">
        <v>52881.292000000001</v>
      </c>
      <c r="E38" s="34"/>
      <c r="F38" s="27">
        <v>579142.72217999981</v>
      </c>
      <c r="G38" s="27">
        <v>4952083.1859999998</v>
      </c>
      <c r="H38" s="34"/>
      <c r="I38" s="27">
        <v>1274603.1924300001</v>
      </c>
      <c r="J38" s="27">
        <v>2703221.9105100003</v>
      </c>
      <c r="K38" s="34"/>
      <c r="L38" s="27">
        <v>109768.60997999999</v>
      </c>
      <c r="M38" s="27">
        <v>21845.222000000002</v>
      </c>
      <c r="N38" s="34"/>
      <c r="O38" s="13">
        <v>2219951.1918199998</v>
      </c>
      <c r="P38" s="13"/>
      <c r="Q38" s="13">
        <v>1572284.3391499771</v>
      </c>
      <c r="R38" s="13"/>
      <c r="S38" s="28">
        <v>3792235.5309699769</v>
      </c>
      <c r="T38" s="10">
        <v>287659.15549999976</v>
      </c>
      <c r="U38" s="10">
        <v>160172.67965000003</v>
      </c>
      <c r="V38" s="10">
        <v>97506.451999999786</v>
      </c>
      <c r="Y38" s="91"/>
      <c r="Z38" s="128">
        <f t="shared" si="9"/>
        <v>45078</v>
      </c>
      <c r="AA38" s="97">
        <f t="shared" si="10"/>
        <v>5.2686416630076317E-2</v>
      </c>
      <c r="AB38" s="97">
        <f t="shared" si="1"/>
        <v>0.19331936483736026</v>
      </c>
      <c r="AC38" s="97">
        <f t="shared" si="2"/>
        <v>0.295497832693707</v>
      </c>
      <c r="AD38" s="97">
        <f t="shared" si="3"/>
        <v>1.2399493733327653E-2</v>
      </c>
      <c r="AE38" s="95">
        <f t="shared" si="4"/>
        <v>6.7224173331460316E-2</v>
      </c>
      <c r="AF38" s="95">
        <f t="shared" si="5"/>
        <v>3.2039645276500849E-2</v>
      </c>
      <c r="AG38" s="95">
        <f t="shared" si="6"/>
        <v>4.3603769560182047E-2</v>
      </c>
      <c r="AH38" s="97">
        <f t="shared" si="7"/>
        <v>0.55390310789447128</v>
      </c>
      <c r="AI38" s="98">
        <f t="shared" si="8"/>
        <v>0.44609689210552872</v>
      </c>
    </row>
    <row r="39" spans="1:39">
      <c r="A39" s="29">
        <v>44470</v>
      </c>
      <c r="B39" s="26" t="str">
        <f t="shared" si="0"/>
        <v>2021-B5</v>
      </c>
      <c r="C39" s="31">
        <v>318369.33818000008</v>
      </c>
      <c r="D39" s="31">
        <v>61772.155709999999</v>
      </c>
      <c r="E39" s="33"/>
      <c r="F39" s="31">
        <v>594388.3339300002</v>
      </c>
      <c r="G39" s="31">
        <v>5079863.8260000004</v>
      </c>
      <c r="H39" s="33"/>
      <c r="I39" s="31">
        <v>1292226.5485399999</v>
      </c>
      <c r="J39" s="31">
        <v>2587111.5244700001</v>
      </c>
      <c r="K39" s="33"/>
      <c r="L39" s="31">
        <v>3524.80746</v>
      </c>
      <c r="M39" s="31">
        <v>679.52099999999996</v>
      </c>
      <c r="N39" s="33"/>
      <c r="O39" s="11">
        <v>2208509.0281100003</v>
      </c>
      <c r="P39" s="11"/>
      <c r="Q39" s="11">
        <v>1590602.2579100057</v>
      </c>
      <c r="R39" s="11"/>
      <c r="S39" s="32">
        <v>3799111.2860200061</v>
      </c>
      <c r="T39" s="12">
        <v>242301.26184999995</v>
      </c>
      <c r="U39" s="12">
        <v>194209.42301</v>
      </c>
      <c r="V39" s="12">
        <v>149379.35538000031</v>
      </c>
      <c r="Y39" s="91"/>
      <c r="Z39" s="128">
        <f t="shared" si="9"/>
        <v>45108</v>
      </c>
      <c r="AA39" s="94">
        <f t="shared" si="10"/>
        <v>5.1892547367790288E-2</v>
      </c>
      <c r="AB39" s="94">
        <f t="shared" si="1"/>
        <v>0.16296200208993489</v>
      </c>
      <c r="AC39" s="94">
        <f t="shared" si="2"/>
        <v>0.34319459189449608</v>
      </c>
      <c r="AD39" s="94">
        <f t="shared" si="3"/>
        <v>1.2544464040236689E-2</v>
      </c>
      <c r="AE39" s="92">
        <f t="shared" si="4"/>
        <v>7.9791909071325814E-2</v>
      </c>
      <c r="AF39" s="92">
        <f t="shared" si="5"/>
        <v>2.9200637704896313E-2</v>
      </c>
      <c r="AG39" s="92">
        <f t="shared" si="6"/>
        <v>5.1993009982711239E-2</v>
      </c>
      <c r="AH39" s="94">
        <f t="shared" si="7"/>
        <v>0.57059360539245785</v>
      </c>
      <c r="AI39" s="96">
        <f t="shared" si="8"/>
        <v>0.42940639460754215</v>
      </c>
    </row>
    <row r="40" spans="1:39">
      <c r="A40" s="25">
        <v>44501</v>
      </c>
      <c r="B40" s="26" t="str">
        <f t="shared" si="0"/>
        <v>2021-B6</v>
      </c>
      <c r="C40" s="27">
        <v>305963.74051999999</v>
      </c>
      <c r="D40" s="27">
        <v>56801.715760000006</v>
      </c>
      <c r="E40" s="34"/>
      <c r="F40" s="27">
        <v>634726.70594000001</v>
      </c>
      <c r="G40" s="27">
        <v>4349458.2609999999</v>
      </c>
      <c r="H40" s="34"/>
      <c r="I40" s="27">
        <v>1423126.9806600001</v>
      </c>
      <c r="J40" s="27">
        <v>2828686.3440900003</v>
      </c>
      <c r="K40" s="34"/>
      <c r="L40" s="27">
        <v>74479.115449999983</v>
      </c>
      <c r="M40" s="27">
        <v>13487.466</v>
      </c>
      <c r="N40" s="34"/>
      <c r="O40" s="13">
        <v>2438296.54257</v>
      </c>
      <c r="P40" s="13"/>
      <c r="Q40" s="13">
        <v>1717508.1265399987</v>
      </c>
      <c r="R40" s="13"/>
      <c r="S40" s="28">
        <v>4155804.6691099987</v>
      </c>
      <c r="T40" s="10">
        <v>307040.19936000003</v>
      </c>
      <c r="U40" s="10">
        <v>174438.70432000005</v>
      </c>
      <c r="V40" s="10">
        <v>143428.16417000012</v>
      </c>
      <c r="Y40" s="91"/>
      <c r="Z40" s="128">
        <f t="shared" si="9"/>
        <v>45139</v>
      </c>
      <c r="AA40" s="94">
        <f t="shared" si="10"/>
        <v>5.4394503216181306E-2</v>
      </c>
      <c r="AB40" s="94">
        <f t="shared" si="1"/>
        <v>0.1226269396997032</v>
      </c>
      <c r="AC40" s="129">
        <f t="shared" si="2"/>
        <v>0.36437351205786173</v>
      </c>
      <c r="AD40" s="129">
        <f t="shared" si="3"/>
        <v>1.6564858870767394E-2</v>
      </c>
      <c r="AE40" s="92">
        <f t="shared" si="4"/>
        <v>7.3041486267533054E-2</v>
      </c>
      <c r="AF40" s="95">
        <f t="shared" si="5"/>
        <v>3.2891380141775617E-2</v>
      </c>
      <c r="AG40" s="95">
        <f t="shared" si="6"/>
        <v>3.3528022057433021E-2</v>
      </c>
      <c r="AH40" s="94">
        <f t="shared" si="7"/>
        <v>0.55795981384451365</v>
      </c>
      <c r="AI40" s="96">
        <f t="shared" si="8"/>
        <v>0.44204018615548635</v>
      </c>
    </row>
    <row r="41" spans="1:39">
      <c r="A41" s="29">
        <v>44531</v>
      </c>
      <c r="B41" s="26" t="str">
        <f t="shared" si="0"/>
        <v>2021-B6</v>
      </c>
      <c r="C41" s="31">
        <v>363128.04047000012</v>
      </c>
      <c r="D41" s="31">
        <v>63447.67338</v>
      </c>
      <c r="E41" s="31"/>
      <c r="F41" s="31">
        <v>890519.96104000008</v>
      </c>
      <c r="G41" s="11">
        <v>6513946.3530000001</v>
      </c>
      <c r="H41" s="11"/>
      <c r="I41" s="11">
        <v>1406440.9153999998</v>
      </c>
      <c r="J41" s="11">
        <v>3018451.9384099999</v>
      </c>
      <c r="K41" s="11"/>
      <c r="L41" s="11">
        <v>67368.555759999988</v>
      </c>
      <c r="M41" s="11">
        <v>12633.223</v>
      </c>
      <c r="N41" s="11"/>
      <c r="O41" s="11">
        <v>2727457.47267</v>
      </c>
      <c r="P41" s="11"/>
      <c r="Q41" s="11">
        <v>1817093.3819500161</v>
      </c>
      <c r="R41" s="11"/>
      <c r="S41" s="32">
        <v>4544550.8546200162</v>
      </c>
      <c r="T41" s="12">
        <v>377190.31555999996</v>
      </c>
      <c r="U41" s="12">
        <v>189271.42822000003</v>
      </c>
      <c r="V41" s="12">
        <v>164464.75055000008</v>
      </c>
      <c r="Y41" s="91"/>
      <c r="Z41" s="128">
        <f t="shared" si="9"/>
        <v>45170</v>
      </c>
      <c r="AA41" s="94">
        <f t="shared" ref="AA41:AA70" si="11">+C62/$S62</f>
        <v>5.3244790664862068E-2</v>
      </c>
      <c r="AB41" s="94">
        <f t="shared" ref="AB41:AB70" si="12">+F62/$S62</f>
        <v>0.1578305147355209</v>
      </c>
      <c r="AC41" s="129">
        <f t="shared" ref="AC41:AC70" si="13">+I62/$S62</f>
        <v>0.36351231639311543</v>
      </c>
      <c r="AD41" s="129">
        <f t="shared" ref="AD41:AD70" si="14">+L62/$S62</f>
        <v>5.2088308955153661E-3</v>
      </c>
      <c r="AE41" s="92">
        <f t="shared" ref="AE41:AE70" si="15">+T62/$S62</f>
        <v>7.8605911713564722E-2</v>
      </c>
      <c r="AF41" s="95">
        <f t="shared" ref="AF41:AF70" si="16">+U62/$S62</f>
        <v>3.1203637418373099E-2</v>
      </c>
      <c r="AG41" s="95">
        <f t="shared" ref="AG41:AG70" si="17">+V62/$S62</f>
        <v>3.33411603139337E-2</v>
      </c>
      <c r="AH41" s="94">
        <f t="shared" ref="AH41:AH70" si="18">+O62/$S62</f>
        <v>0.57979645268901381</v>
      </c>
      <c r="AI41" s="96">
        <f t="shared" ref="AI41:AI70" si="19">+Q62/$S62</f>
        <v>0.42020354731098619</v>
      </c>
    </row>
    <row r="42" spans="1:39">
      <c r="A42" s="26">
        <v>44562</v>
      </c>
      <c r="B42" s="26" t="str">
        <f t="shared" si="0"/>
        <v>2022-B1</v>
      </c>
      <c r="C42" s="27">
        <v>320963.33819000004</v>
      </c>
      <c r="D42" s="27">
        <v>54138.645899999996</v>
      </c>
      <c r="E42" s="27"/>
      <c r="F42" s="27">
        <v>775831.32863999985</v>
      </c>
      <c r="G42" s="27">
        <v>4769840.5920000002</v>
      </c>
      <c r="H42" s="27"/>
      <c r="I42" s="27">
        <v>1268496.1471199999</v>
      </c>
      <c r="J42" s="27">
        <v>2435817.9777500001</v>
      </c>
      <c r="K42" s="27"/>
      <c r="L42" s="27">
        <v>58741.493219999997</v>
      </c>
      <c r="M42" s="27">
        <v>10570.164000000001</v>
      </c>
      <c r="N42" s="27"/>
      <c r="O42" s="27">
        <v>2424032.3071699999</v>
      </c>
      <c r="P42" s="27"/>
      <c r="Q42" s="27">
        <v>1377576.9055399913</v>
      </c>
      <c r="R42" s="27"/>
      <c r="S42" s="35">
        <v>3801609.2127099913</v>
      </c>
      <c r="T42" s="10">
        <v>190348.58680000002</v>
      </c>
      <c r="U42" s="10">
        <v>166726.0600699996</v>
      </c>
      <c r="V42" s="10">
        <v>141635.11118000004</v>
      </c>
      <c r="Y42" s="91"/>
      <c r="Z42" s="128">
        <f t="shared" si="9"/>
        <v>45200</v>
      </c>
      <c r="AA42" s="94">
        <f t="shared" si="11"/>
        <v>4.2715741593138436E-2</v>
      </c>
      <c r="AB42" s="94">
        <f t="shared" si="12"/>
        <v>0.14864521317252152</v>
      </c>
      <c r="AC42" s="129">
        <f t="shared" si="13"/>
        <v>0.37153298183312394</v>
      </c>
      <c r="AD42" s="129">
        <f t="shared" si="14"/>
        <v>8.5242653708117091E-3</v>
      </c>
      <c r="AE42" s="92">
        <f t="shared" si="15"/>
        <v>6.618250263013313E-2</v>
      </c>
      <c r="AF42" s="95">
        <f t="shared" si="16"/>
        <v>3.7312062780707221E-2</v>
      </c>
      <c r="AG42" s="95">
        <f t="shared" si="17"/>
        <v>3.4672638852490216E-2</v>
      </c>
      <c r="AH42" s="94">
        <f t="shared" si="18"/>
        <v>0.5714182019695957</v>
      </c>
      <c r="AI42" s="96">
        <f t="shared" si="19"/>
        <v>0.42858179803040436</v>
      </c>
    </row>
    <row r="43" spans="1:39">
      <c r="A43" s="29">
        <v>44593</v>
      </c>
      <c r="B43" s="26" t="str">
        <f t="shared" si="0"/>
        <v>2022-B1</v>
      </c>
      <c r="C43" s="31">
        <v>370330.64892999997</v>
      </c>
      <c r="D43" s="31">
        <v>59507.698499999999</v>
      </c>
      <c r="E43" s="31"/>
      <c r="F43" s="31">
        <v>564570.4168799998</v>
      </c>
      <c r="G43" s="31">
        <v>4528719.3150000004</v>
      </c>
      <c r="H43" s="31"/>
      <c r="I43" s="31">
        <v>1427538.1932300003</v>
      </c>
      <c r="J43" s="31">
        <v>2427773.3039099998</v>
      </c>
      <c r="K43" s="31"/>
      <c r="L43" s="31">
        <v>59275.190860000002</v>
      </c>
      <c r="M43" s="31">
        <v>10672.487999999999</v>
      </c>
      <c r="N43" s="31"/>
      <c r="O43" s="31">
        <v>2421714.4499000004</v>
      </c>
      <c r="P43" s="31"/>
      <c r="Q43" s="31">
        <v>1787483.3966800058</v>
      </c>
      <c r="R43" s="31"/>
      <c r="S43" s="36">
        <v>4209197.8465800062</v>
      </c>
      <c r="T43" s="12">
        <v>268881.4629199999</v>
      </c>
      <c r="U43" s="12">
        <v>175293.44455000022</v>
      </c>
      <c r="V43" s="12">
        <v>259746.60693000021</v>
      </c>
      <c r="Y43" s="91"/>
      <c r="Z43" s="128">
        <f t="shared" si="9"/>
        <v>45231</v>
      </c>
      <c r="AA43" s="94">
        <f t="shared" si="11"/>
        <v>5.7168712582811691E-2</v>
      </c>
      <c r="AB43" s="94">
        <f t="shared" si="12"/>
        <v>0.19571913859070622</v>
      </c>
      <c r="AC43" s="129">
        <f t="shared" si="13"/>
        <v>0.28936088830507423</v>
      </c>
      <c r="AD43" s="129">
        <f t="shared" si="14"/>
        <v>1.1014060403205695E-2</v>
      </c>
      <c r="AE43" s="92">
        <f t="shared" si="15"/>
        <v>8.1767381162402578E-2</v>
      </c>
      <c r="AF43" s="95">
        <f t="shared" si="16"/>
        <v>2.9839114221745278E-2</v>
      </c>
      <c r="AG43" s="95">
        <f t="shared" si="17"/>
        <v>4.0533097874451703E-2</v>
      </c>
      <c r="AH43" s="94">
        <f t="shared" si="18"/>
        <v>0.55326279988179783</v>
      </c>
      <c r="AI43" s="96">
        <f t="shared" si="19"/>
        <v>0.44673720011820217</v>
      </c>
    </row>
    <row r="44" spans="1:39">
      <c r="A44" s="25">
        <v>44621</v>
      </c>
      <c r="B44" s="26" t="str">
        <f t="shared" si="0"/>
        <v>2022-B2</v>
      </c>
      <c r="C44" s="27">
        <v>399119.07773000008</v>
      </c>
      <c r="D44" s="27">
        <v>62068.914280000005</v>
      </c>
      <c r="E44" s="27"/>
      <c r="F44" s="27">
        <v>619868.65142999985</v>
      </c>
      <c r="G44" s="27">
        <v>3969534.8369999998</v>
      </c>
      <c r="H44" s="27"/>
      <c r="I44" s="27">
        <v>1832280.79841</v>
      </c>
      <c r="J44" s="27">
        <v>2665389.9202799997</v>
      </c>
      <c r="K44" s="27"/>
      <c r="L44" s="27">
        <v>60624.869729999999</v>
      </c>
      <c r="M44" s="27">
        <v>10464.451999999999</v>
      </c>
      <c r="N44" s="27"/>
      <c r="O44" s="27">
        <v>2911893.3972999998</v>
      </c>
      <c r="P44" s="27"/>
      <c r="Q44" s="27">
        <v>1868316.2747499808</v>
      </c>
      <c r="R44" s="27"/>
      <c r="S44" s="35">
        <v>4780209.6720499806</v>
      </c>
      <c r="T44" s="10">
        <v>251884.17683999991</v>
      </c>
      <c r="U44" s="10">
        <v>200651.77404000013</v>
      </c>
      <c r="V44" s="10">
        <v>223653.3834499997</v>
      </c>
      <c r="Y44" s="91"/>
      <c r="Z44" s="128">
        <f t="shared" si="9"/>
        <v>45261</v>
      </c>
      <c r="AA44" s="94">
        <f t="shared" si="11"/>
        <v>6.6119129718266098E-2</v>
      </c>
      <c r="AB44" s="94">
        <f t="shared" si="12"/>
        <v>0.18281319585659755</v>
      </c>
      <c r="AC44" s="129">
        <f t="shared" si="13"/>
        <v>0.32863069688499802</v>
      </c>
      <c r="AD44" s="129">
        <f t="shared" si="14"/>
        <v>7.5399196065704293E-3</v>
      </c>
      <c r="AE44" s="92">
        <f t="shared" si="15"/>
        <v>7.420676426923567E-2</v>
      </c>
      <c r="AF44" s="95">
        <f t="shared" si="16"/>
        <v>3.2450867662954991E-2</v>
      </c>
      <c r="AG44" s="95">
        <f t="shared" si="17"/>
        <v>3.7319265698880111E-2</v>
      </c>
      <c r="AH44" s="94">
        <f t="shared" si="18"/>
        <v>0.58510294206643221</v>
      </c>
      <c r="AI44" s="96">
        <f t="shared" si="19"/>
        <v>0.41489705793356785</v>
      </c>
    </row>
    <row r="45" spans="1:39">
      <c r="A45" s="29">
        <v>44652</v>
      </c>
      <c r="B45" s="26" t="str">
        <f t="shared" si="0"/>
        <v>2022-B2</v>
      </c>
      <c r="C45" s="31">
        <v>315190.74976000009</v>
      </c>
      <c r="D45" s="31">
        <v>48519.220999999998</v>
      </c>
      <c r="E45" s="31"/>
      <c r="F45" s="31">
        <v>1319487.3975300004</v>
      </c>
      <c r="G45" s="31">
        <v>7556021.6040000003</v>
      </c>
      <c r="H45" s="31"/>
      <c r="I45" s="31">
        <v>1952119.8558600002</v>
      </c>
      <c r="J45" s="31">
        <v>2939730.6720700003</v>
      </c>
      <c r="K45" s="31"/>
      <c r="L45" s="31">
        <v>111807.32531999997</v>
      </c>
      <c r="M45" s="31">
        <v>17404.661</v>
      </c>
      <c r="N45" s="31"/>
      <c r="O45" s="31">
        <v>3698605.328470001</v>
      </c>
      <c r="P45" s="31"/>
      <c r="Q45" s="31">
        <v>1761925.9858599482</v>
      </c>
      <c r="R45" s="31"/>
      <c r="S45" s="36">
        <v>5460531.3143299492</v>
      </c>
      <c r="T45" s="12">
        <v>255165.97742999997</v>
      </c>
      <c r="U45" s="12">
        <v>144260.89375999972</v>
      </c>
      <c r="V45" s="12">
        <v>188739.85654999997</v>
      </c>
      <c r="Y45" s="91"/>
      <c r="Z45" s="128">
        <f t="shared" si="9"/>
        <v>45292</v>
      </c>
      <c r="AA45" s="94">
        <f t="shared" si="11"/>
        <v>6.1250420497918311E-2</v>
      </c>
      <c r="AB45" s="94">
        <f t="shared" si="12"/>
        <v>0.17866893716842058</v>
      </c>
      <c r="AC45" s="129">
        <f t="shared" si="13"/>
        <v>0.29293363924572519</v>
      </c>
      <c r="AD45" s="129">
        <f t="shared" si="14"/>
        <v>1.0915730217041088E-2</v>
      </c>
      <c r="AE45" s="92">
        <f t="shared" si="15"/>
        <v>7.7063967088767837E-2</v>
      </c>
      <c r="AF45" s="95">
        <f t="shared" si="16"/>
        <v>3.3432733705000876E-2</v>
      </c>
      <c r="AG45" s="95">
        <f t="shared" si="17"/>
        <v>4.6463788770556784E-2</v>
      </c>
      <c r="AH45" s="94">
        <f t="shared" si="18"/>
        <v>0.54376872712910518</v>
      </c>
      <c r="AI45" s="96">
        <f t="shared" si="19"/>
        <v>0.45623127287089482</v>
      </c>
    </row>
    <row r="46" spans="1:39">
      <c r="A46" s="25">
        <v>44682</v>
      </c>
      <c r="B46" s="26" t="str">
        <f t="shared" si="0"/>
        <v>2022-B3</v>
      </c>
      <c r="C46" s="27">
        <v>262815.98178000009</v>
      </c>
      <c r="D46" s="27">
        <v>40787.978370000004</v>
      </c>
      <c r="E46" s="27"/>
      <c r="F46" s="27">
        <v>539326.60469000007</v>
      </c>
      <c r="G46" s="27">
        <v>2774226.4362200005</v>
      </c>
      <c r="H46" s="27"/>
      <c r="I46" s="27">
        <v>1858822.88846</v>
      </c>
      <c r="J46" s="27">
        <v>2659079.4361700001</v>
      </c>
      <c r="K46" s="27"/>
      <c r="L46" s="27">
        <v>79731.611080000002</v>
      </c>
      <c r="M46" s="27">
        <v>10030.671</v>
      </c>
      <c r="N46" s="27"/>
      <c r="O46" s="27">
        <v>2740697.0860100002</v>
      </c>
      <c r="P46" s="27"/>
      <c r="Q46" s="27">
        <v>1921823.4578200239</v>
      </c>
      <c r="R46" s="27"/>
      <c r="S46" s="35">
        <v>4662520.5438300241</v>
      </c>
      <c r="T46" s="10">
        <v>275799.48554999992</v>
      </c>
      <c r="U46" s="10">
        <v>172291.07494999986</v>
      </c>
      <c r="V46" s="10">
        <v>253341.50513000012</v>
      </c>
      <c r="Y46" s="91"/>
      <c r="Z46" s="128">
        <f t="shared" si="9"/>
        <v>45323</v>
      </c>
      <c r="AA46" s="94">
        <f t="shared" si="11"/>
        <v>6.4761988076921295E-2</v>
      </c>
      <c r="AB46" s="94">
        <f t="shared" si="12"/>
        <v>0.16597391462412042</v>
      </c>
      <c r="AC46" s="129">
        <f t="shared" si="13"/>
        <v>0.29353447452432829</v>
      </c>
      <c r="AD46" s="129">
        <f t="shared" si="14"/>
        <v>8.2658413332062104E-3</v>
      </c>
      <c r="AE46" s="92">
        <f t="shared" si="15"/>
        <v>6.5180583187011698E-2</v>
      </c>
      <c r="AF46" s="95">
        <f t="shared" si="16"/>
        <v>3.517708705888533E-2</v>
      </c>
      <c r="AG46" s="95">
        <f t="shared" si="17"/>
        <v>6.692548689978392E-2</v>
      </c>
      <c r="AH46" s="94">
        <f t="shared" si="18"/>
        <v>0.53253621855857625</v>
      </c>
      <c r="AI46" s="96">
        <f t="shared" si="19"/>
        <v>0.46746378144142375</v>
      </c>
    </row>
    <row r="47" spans="1:39">
      <c r="A47" s="29">
        <v>44713</v>
      </c>
      <c r="B47" s="26" t="str">
        <f t="shared" si="0"/>
        <v>2022-B3</v>
      </c>
      <c r="C47" s="31">
        <v>352504.16820000007</v>
      </c>
      <c r="D47" s="31">
        <v>54566.665159999997</v>
      </c>
      <c r="E47" s="31"/>
      <c r="F47" s="31">
        <v>1510818.1191300002</v>
      </c>
      <c r="G47" s="31">
        <v>6256375.2759999996</v>
      </c>
      <c r="H47" s="31"/>
      <c r="I47" s="31">
        <v>1710193.3875500001</v>
      </c>
      <c r="J47" s="31">
        <v>2345689.0016899998</v>
      </c>
      <c r="K47" s="31"/>
      <c r="L47" s="31">
        <v>134113.96699000002</v>
      </c>
      <c r="M47" s="31">
        <v>15247.25</v>
      </c>
      <c r="N47" s="31"/>
      <c r="O47" s="31">
        <v>3707629.6418700004</v>
      </c>
      <c r="P47" s="31"/>
      <c r="Q47" s="31">
        <v>1789986.8602100052</v>
      </c>
      <c r="R47" s="31"/>
      <c r="S47" s="36">
        <v>5497616.5020800056</v>
      </c>
      <c r="T47" s="12">
        <v>200499.13782999999</v>
      </c>
      <c r="U47" s="12">
        <v>156211.98401999971</v>
      </c>
      <c r="V47" s="12">
        <v>174915.13851000028</v>
      </c>
      <c r="Y47" s="91"/>
      <c r="Z47" s="128">
        <f t="shared" si="9"/>
        <v>45352</v>
      </c>
      <c r="AA47" s="94">
        <f t="shared" si="11"/>
        <v>5.7993452005784665E-2</v>
      </c>
      <c r="AB47" s="94">
        <f t="shared" si="12"/>
        <v>0.13366702306027742</v>
      </c>
      <c r="AC47" s="129">
        <f t="shared" si="13"/>
        <v>0.35185108665180342</v>
      </c>
      <c r="AD47" s="129">
        <f t="shared" si="14"/>
        <v>7.5989224473666916E-3</v>
      </c>
      <c r="AE47" s="92">
        <f t="shared" si="15"/>
        <v>6.2745604138007005E-2</v>
      </c>
      <c r="AF47" s="95">
        <f t="shared" si="16"/>
        <v>3.0831422101234834E-2</v>
      </c>
      <c r="AG47" s="95">
        <f t="shared" si="17"/>
        <v>5.7819395393176119E-2</v>
      </c>
      <c r="AH47" s="94">
        <f t="shared" si="18"/>
        <v>0.55111048416523212</v>
      </c>
      <c r="AI47" s="96">
        <f t="shared" si="19"/>
        <v>0.44888951583476788</v>
      </c>
    </row>
    <row r="48" spans="1:39">
      <c r="A48" s="25">
        <v>44743</v>
      </c>
      <c r="B48" s="26" t="str">
        <f t="shared" si="0"/>
        <v>2022-B4</v>
      </c>
      <c r="C48" s="27">
        <v>379143.04024000018</v>
      </c>
      <c r="D48" s="27">
        <v>58466.5766</v>
      </c>
      <c r="E48" s="27"/>
      <c r="F48" s="27">
        <v>1809652.5583000001</v>
      </c>
      <c r="G48" s="27">
        <v>7163179.3310000002</v>
      </c>
      <c r="H48" s="27"/>
      <c r="I48" s="27">
        <v>1839725.1859800001</v>
      </c>
      <c r="J48" s="27">
        <v>2685452.68891</v>
      </c>
      <c r="K48" s="27"/>
      <c r="L48" s="27">
        <v>80691.062810000003</v>
      </c>
      <c r="M48" s="27">
        <v>9396.8340000000007</v>
      </c>
      <c r="N48" s="27"/>
      <c r="O48" s="27">
        <v>4109211.8473300003</v>
      </c>
      <c r="P48" s="27"/>
      <c r="Q48" s="27">
        <v>1804469.9483300038</v>
      </c>
      <c r="R48" s="27"/>
      <c r="S48" s="35">
        <v>5913681.795660004</v>
      </c>
      <c r="T48" s="10">
        <v>312951.59209999989</v>
      </c>
      <c r="U48" s="10">
        <v>216109.10878999945</v>
      </c>
      <c r="V48" s="10">
        <v>146767.55982999984</v>
      </c>
      <c r="Y48" s="91"/>
      <c r="Z48" s="128">
        <f>+A69</f>
        <v>45383</v>
      </c>
      <c r="AA48" s="94">
        <f t="shared" si="11"/>
        <v>5.6437720615515545E-2</v>
      </c>
      <c r="AB48" s="94">
        <f t="shared" si="12"/>
        <v>0.1464581290896575</v>
      </c>
      <c r="AC48" s="129">
        <f t="shared" si="13"/>
        <v>0.31070972145306569</v>
      </c>
      <c r="AD48" s="129">
        <f t="shared" si="14"/>
        <v>1.2272763054008113E-2</v>
      </c>
      <c r="AE48" s="92">
        <f t="shared" si="15"/>
        <v>8.8587952531110334E-2</v>
      </c>
      <c r="AF48" s="95">
        <f t="shared" si="16"/>
        <v>3.5305243445647484E-2</v>
      </c>
      <c r="AG48" s="95">
        <f t="shared" si="17"/>
        <v>4.0851925743016673E-2</v>
      </c>
      <c r="AH48" s="94">
        <f t="shared" si="18"/>
        <v>0.52587833421224695</v>
      </c>
      <c r="AI48" s="96">
        <f t="shared" si="19"/>
        <v>0.47412166578775311</v>
      </c>
    </row>
    <row r="49" spans="1:35">
      <c r="A49" s="29">
        <v>44774</v>
      </c>
      <c r="B49" s="26" t="str">
        <f t="shared" si="0"/>
        <v>2022-B4</v>
      </c>
      <c r="C49" s="31">
        <v>308379.74056000018</v>
      </c>
      <c r="D49" s="31">
        <v>47186.849000000002</v>
      </c>
      <c r="E49" s="31"/>
      <c r="F49" s="31">
        <v>709379.02650000004</v>
      </c>
      <c r="G49" s="31">
        <v>3460752.5860000001</v>
      </c>
      <c r="H49" s="31"/>
      <c r="I49" s="31">
        <v>1515488.1755000001</v>
      </c>
      <c r="J49" s="31">
        <v>2569955.1869200002</v>
      </c>
      <c r="K49" s="31"/>
      <c r="L49" s="31">
        <v>78582.184840000002</v>
      </c>
      <c r="M49" s="31">
        <v>12551.745000000001</v>
      </c>
      <c r="N49" s="31"/>
      <c r="O49" s="31">
        <v>2611829.1274000006</v>
      </c>
      <c r="P49" s="31"/>
      <c r="Q49" s="31">
        <v>1776907.5216900166</v>
      </c>
      <c r="R49" s="31"/>
      <c r="S49" s="36">
        <v>4388736.6490900172</v>
      </c>
      <c r="T49" s="12">
        <v>267405.83596999996</v>
      </c>
      <c r="U49" s="12">
        <v>200090.36058999971</v>
      </c>
      <c r="V49" s="12">
        <v>142231.41910999993</v>
      </c>
      <c r="Y49" s="91"/>
      <c r="Z49" s="128">
        <f t="shared" si="9"/>
        <v>45413</v>
      </c>
      <c r="AA49" s="94">
        <f t="shared" si="11"/>
        <v>5.6649346414508257E-2</v>
      </c>
      <c r="AB49" s="94">
        <f t="shared" si="12"/>
        <v>0.1434302664904912</v>
      </c>
      <c r="AC49" s="129">
        <f t="shared" si="13"/>
        <v>0.31802524532516535</v>
      </c>
      <c r="AD49" s="129">
        <f t="shared" si="14"/>
        <v>1.548342136876763E-2</v>
      </c>
      <c r="AE49" s="92">
        <f t="shared" si="15"/>
        <v>7.8634167248722034E-2</v>
      </c>
      <c r="AF49" s="95">
        <f t="shared" si="16"/>
        <v>3.127993544394695E-2</v>
      </c>
      <c r="AG49" s="95">
        <f t="shared" si="17"/>
        <v>5.7840847386847714E-2</v>
      </c>
      <c r="AH49" s="94">
        <f t="shared" si="18"/>
        <v>0.5335882795989324</v>
      </c>
      <c r="AI49" s="96">
        <f t="shared" si="19"/>
        <v>0.46641172040106754</v>
      </c>
    </row>
    <row r="50" spans="1:35">
      <c r="A50" s="25">
        <v>44805</v>
      </c>
      <c r="B50" s="26" t="str">
        <f t="shared" si="0"/>
        <v>2022-B5</v>
      </c>
      <c r="C50" s="27">
        <v>323947.39062000008</v>
      </c>
      <c r="D50" s="27">
        <v>49514.820799999994</v>
      </c>
      <c r="E50" s="27"/>
      <c r="F50" s="27">
        <v>1246016.3653800001</v>
      </c>
      <c r="G50" s="27">
        <v>5650226.9040000001</v>
      </c>
      <c r="H50" s="27"/>
      <c r="I50" s="27">
        <v>1344261.4866800001</v>
      </c>
      <c r="J50" s="27">
        <v>2496833.5776900002</v>
      </c>
      <c r="K50" s="27"/>
      <c r="L50" s="27">
        <v>81233.440890000013</v>
      </c>
      <c r="M50" s="27">
        <v>14564.483</v>
      </c>
      <c r="N50" s="27"/>
      <c r="O50" s="27">
        <v>2995458.6835700003</v>
      </c>
      <c r="P50" s="27"/>
      <c r="Q50" s="27">
        <v>1783060.8933599954</v>
      </c>
      <c r="R50" s="27"/>
      <c r="S50" s="35">
        <v>4778519.5769299958</v>
      </c>
      <c r="T50" s="10">
        <v>251842.26444000003</v>
      </c>
      <c r="U50" s="10">
        <v>160466.15611999991</v>
      </c>
      <c r="V50" s="10">
        <v>125432.33871999993</v>
      </c>
      <c r="Y50" s="91"/>
      <c r="Z50" s="128">
        <f t="shared" si="9"/>
        <v>45444</v>
      </c>
      <c r="AA50" s="94">
        <f t="shared" si="11"/>
        <v>7.0348029304823534E-2</v>
      </c>
      <c r="AB50" s="94">
        <f t="shared" si="12"/>
        <v>0.11955924824070188</v>
      </c>
      <c r="AC50" s="129">
        <f t="shared" si="13"/>
        <v>0.34052860427289294</v>
      </c>
      <c r="AD50" s="129">
        <f t="shared" si="14"/>
        <v>7.6670741451209563E-3</v>
      </c>
      <c r="AE50" s="92">
        <f t="shared" si="15"/>
        <v>7.3121614349663466E-2</v>
      </c>
      <c r="AF50" s="95">
        <f t="shared" si="16"/>
        <v>3.7327429212603298E-2</v>
      </c>
      <c r="AG50" s="95">
        <f t="shared" si="17"/>
        <v>5.2985567542792614E-2</v>
      </c>
      <c r="AH50" s="94">
        <f t="shared" si="18"/>
        <v>0.5381029559635393</v>
      </c>
      <c r="AI50" s="96">
        <f t="shared" si="19"/>
        <v>0.46189704403646065</v>
      </c>
    </row>
    <row r="51" spans="1:35">
      <c r="A51" s="29">
        <v>44835</v>
      </c>
      <c r="B51" s="26" t="str">
        <f t="shared" si="0"/>
        <v>2022-B5</v>
      </c>
      <c r="C51" s="31">
        <v>312021.75089999998</v>
      </c>
      <c r="D51" s="31">
        <v>46876.463600000003</v>
      </c>
      <c r="E51" s="31"/>
      <c r="F51" s="31">
        <v>977909.89923999994</v>
      </c>
      <c r="G51" s="31">
        <v>4400966.0149999997</v>
      </c>
      <c r="H51" s="31"/>
      <c r="I51" s="31">
        <v>1200959.5300399999</v>
      </c>
      <c r="J51" s="31">
        <v>2309857.2080600001</v>
      </c>
      <c r="K51" s="31"/>
      <c r="L51" s="31">
        <v>47420.98670999999</v>
      </c>
      <c r="M51" s="31">
        <v>9460.8690000000006</v>
      </c>
      <c r="N51" s="31"/>
      <c r="O51" s="31">
        <v>2538312.1668899995</v>
      </c>
      <c r="P51" s="31"/>
      <c r="Q51" s="31">
        <v>1674870.1105500036</v>
      </c>
      <c r="R51" s="31"/>
      <c r="S51" s="36">
        <v>4213182.2774400031</v>
      </c>
      <c r="T51" s="12">
        <v>290034.63427000004</v>
      </c>
      <c r="U51" s="12">
        <v>144227.60161000001</v>
      </c>
      <c r="V51" s="12">
        <v>144035.81202999997</v>
      </c>
      <c r="Y51" s="91"/>
      <c r="Z51" s="128">
        <f t="shared" si="9"/>
        <v>45474</v>
      </c>
      <c r="AA51" s="94">
        <f t="shared" si="11"/>
        <v>5.9317614814255508E-2</v>
      </c>
      <c r="AB51" s="94">
        <f t="shared" si="12"/>
        <v>0.1918212414484031</v>
      </c>
      <c r="AC51" s="129">
        <f t="shared" si="13"/>
        <v>0.28983665485745957</v>
      </c>
      <c r="AD51" s="129">
        <f t="shared" si="14"/>
        <v>1.0123286338216211E-2</v>
      </c>
      <c r="AE51" s="92">
        <f t="shared" si="15"/>
        <v>9.0155342137135927E-2</v>
      </c>
      <c r="AF51" s="95">
        <f t="shared" si="16"/>
        <v>3.3367430681770935E-2</v>
      </c>
      <c r="AG51" s="95">
        <f t="shared" si="17"/>
        <v>4.6850639093797254E-2</v>
      </c>
      <c r="AH51" s="94">
        <f t="shared" si="18"/>
        <v>0.55109879745833434</v>
      </c>
      <c r="AI51" s="96">
        <f t="shared" si="19"/>
        <v>0.44890120254166566</v>
      </c>
    </row>
    <row r="52" spans="1:35">
      <c r="A52" s="25">
        <v>44866</v>
      </c>
      <c r="B52" s="26" t="str">
        <f t="shared" si="0"/>
        <v>2022-B6</v>
      </c>
      <c r="C52" s="27">
        <v>281205.25210999977</v>
      </c>
      <c r="D52" s="27">
        <v>44083.163999999997</v>
      </c>
      <c r="E52" s="27"/>
      <c r="F52" s="27">
        <v>1084664.1349399998</v>
      </c>
      <c r="G52" s="27">
        <v>4969906.8456000006</v>
      </c>
      <c r="H52" s="27"/>
      <c r="I52" s="27">
        <v>1453930.9647800003</v>
      </c>
      <c r="J52" s="27">
        <v>2753485.7014499996</v>
      </c>
      <c r="K52" s="27"/>
      <c r="L52" s="27">
        <v>49854.129489999992</v>
      </c>
      <c r="M52" s="27">
        <v>9882.2919999999995</v>
      </c>
      <c r="N52" s="27"/>
      <c r="O52" s="27">
        <v>2869654.4813199998</v>
      </c>
      <c r="P52" s="27"/>
      <c r="Q52" s="27">
        <v>1692593.1484899973</v>
      </c>
      <c r="R52" s="27"/>
      <c r="S52" s="35">
        <v>4562247.629809997</v>
      </c>
      <c r="T52" s="10">
        <v>258848.66357000003</v>
      </c>
      <c r="U52" s="10">
        <v>127457.49918999996</v>
      </c>
      <c r="V52" s="10">
        <v>149848.43606999982</v>
      </c>
      <c r="Y52" s="91"/>
      <c r="Z52" s="128">
        <f t="shared" si="9"/>
        <v>45505</v>
      </c>
      <c r="AA52" s="94">
        <f t="shared" si="11"/>
        <v>7.9362916786141047E-2</v>
      </c>
      <c r="AB52" s="94">
        <f t="shared" si="12"/>
        <v>9.1692089497469334E-2</v>
      </c>
      <c r="AC52" s="129">
        <f t="shared" si="13"/>
        <v>0.33615140898092954</v>
      </c>
      <c r="AD52" s="129">
        <f t="shared" si="14"/>
        <v>1.605459787544556E-2</v>
      </c>
      <c r="AE52" s="92">
        <f t="shared" si="15"/>
        <v>8.6199224599470867E-2</v>
      </c>
      <c r="AF52" s="95">
        <f t="shared" si="16"/>
        <v>3.9622803534509483E-2</v>
      </c>
      <c r="AG52" s="95">
        <f t="shared" si="17"/>
        <v>3.9760213716405902E-2</v>
      </c>
      <c r="AH52" s="94">
        <f t="shared" si="18"/>
        <v>0.52326101313998552</v>
      </c>
      <c r="AI52" s="96">
        <f t="shared" si="19"/>
        <v>0.47673898686001448</v>
      </c>
    </row>
    <row r="53" spans="1:35">
      <c r="A53" s="29">
        <v>44896</v>
      </c>
      <c r="B53" s="26" t="str">
        <f t="shared" si="0"/>
        <v>2022-B6</v>
      </c>
      <c r="C53" s="31">
        <v>336698.50393000006</v>
      </c>
      <c r="D53" s="31">
        <v>59090.6754</v>
      </c>
      <c r="E53" s="31"/>
      <c r="F53" s="31">
        <v>1131302.3938400003</v>
      </c>
      <c r="G53" s="31">
        <v>5435280.04</v>
      </c>
      <c r="H53" s="31"/>
      <c r="I53" s="31">
        <v>1320217.38968</v>
      </c>
      <c r="J53" s="31">
        <v>2844710.4468200002</v>
      </c>
      <c r="K53" s="31"/>
      <c r="L53" s="31">
        <v>66361.26651999999</v>
      </c>
      <c r="M53" s="31">
        <v>13762.654</v>
      </c>
      <c r="N53" s="31"/>
      <c r="O53" s="31">
        <v>2854579.5539700007</v>
      </c>
      <c r="P53" s="31"/>
      <c r="Q53" s="31">
        <v>1787504.0732400017</v>
      </c>
      <c r="R53" s="31"/>
      <c r="S53" s="36">
        <v>4642083.6272100024</v>
      </c>
      <c r="T53" s="12">
        <v>323684.67634000001</v>
      </c>
      <c r="U53" s="12">
        <v>135879.00685000006</v>
      </c>
      <c r="V53" s="12">
        <v>132492.67771000013</v>
      </c>
      <c r="Y53" s="91"/>
      <c r="Z53" s="128">
        <f t="shared" si="9"/>
        <v>45536</v>
      </c>
      <c r="AA53" s="94">
        <f t="shared" si="11"/>
        <v>6.4664512175077113E-2</v>
      </c>
      <c r="AB53" s="94">
        <f t="shared" si="12"/>
        <v>0.13051096636812828</v>
      </c>
      <c r="AC53" s="129">
        <f t="shared" si="13"/>
        <v>0.28561606229400222</v>
      </c>
      <c r="AD53" s="129">
        <f t="shared" si="14"/>
        <v>1.2683786235031882E-2</v>
      </c>
      <c r="AE53" s="92">
        <f t="shared" si="15"/>
        <v>0.10806996727120016</v>
      </c>
      <c r="AF53" s="95">
        <f t="shared" si="16"/>
        <v>3.055105926469515E-2</v>
      </c>
      <c r="AG53" s="95">
        <f t="shared" si="17"/>
        <v>4.1714596675891093E-2</v>
      </c>
      <c r="AH53" s="94">
        <f t="shared" si="18"/>
        <v>0.49347532707223951</v>
      </c>
      <c r="AI53" s="96">
        <f t="shared" si="19"/>
        <v>0.50652467292776049</v>
      </c>
    </row>
    <row r="54" spans="1:35">
      <c r="A54" s="25">
        <v>44927</v>
      </c>
      <c r="B54" s="26" t="str">
        <f t="shared" si="0"/>
        <v>2023-B1</v>
      </c>
      <c r="C54" s="27">
        <v>241349.47965999984</v>
      </c>
      <c r="D54" s="27">
        <v>45998.423820000004</v>
      </c>
      <c r="E54" s="27"/>
      <c r="F54" s="27">
        <v>909713.46447999973</v>
      </c>
      <c r="G54" s="27">
        <v>4393209.1390000004</v>
      </c>
      <c r="H54" s="27"/>
      <c r="I54" s="27">
        <v>1062703.5208099999</v>
      </c>
      <c r="J54" s="27">
        <v>2349657.0360900001</v>
      </c>
      <c r="K54" s="27"/>
      <c r="L54" s="27">
        <v>100433.60713999999</v>
      </c>
      <c r="M54" s="27">
        <v>17669.894</v>
      </c>
      <c r="N54" s="27"/>
      <c r="O54" s="27">
        <v>2314200.0720899994</v>
      </c>
      <c r="P54" s="27"/>
      <c r="Q54" s="27">
        <v>1418993.1761099966</v>
      </c>
      <c r="R54" s="27"/>
      <c r="S54" s="35">
        <v>3733193.2481999961</v>
      </c>
      <c r="T54" s="10">
        <v>258153.47490000009</v>
      </c>
      <c r="U54" s="10">
        <v>108354.06315000007</v>
      </c>
      <c r="V54" s="10">
        <v>159105.05202000006</v>
      </c>
      <c r="Y54" s="91"/>
      <c r="Z54" s="128">
        <f t="shared" si="9"/>
        <v>45566</v>
      </c>
      <c r="AA54" s="94">
        <f t="shared" si="11"/>
        <v>7.4943681614782209E-2</v>
      </c>
      <c r="AB54" s="94">
        <f t="shared" si="12"/>
        <v>0.10692922815654504</v>
      </c>
      <c r="AC54" s="129">
        <f t="shared" si="13"/>
        <v>0.28534551354970722</v>
      </c>
      <c r="AD54" s="129">
        <f t="shared" si="14"/>
        <v>8.8698954694092173E-3</v>
      </c>
      <c r="AE54" s="92">
        <f t="shared" si="15"/>
        <v>0.11959901063518637</v>
      </c>
      <c r="AF54" s="95">
        <f t="shared" si="16"/>
        <v>3.9750822202869081E-2</v>
      </c>
      <c r="AG54" s="95">
        <f t="shared" si="17"/>
        <v>4.1034903254533767E-2</v>
      </c>
      <c r="AH54" s="94">
        <f t="shared" si="18"/>
        <v>0.47608831879044372</v>
      </c>
      <c r="AI54" s="96">
        <f t="shared" si="19"/>
        <v>0.52391168120955622</v>
      </c>
    </row>
    <row r="55" spans="1:35">
      <c r="A55" s="29">
        <v>44958</v>
      </c>
      <c r="B55" s="26" t="str">
        <f t="shared" si="0"/>
        <v>2023-B1</v>
      </c>
      <c r="C55" s="31">
        <v>250106.24022999997</v>
      </c>
      <c r="D55" s="31">
        <v>48954.093500000003</v>
      </c>
      <c r="E55" s="31"/>
      <c r="F55" s="31">
        <v>987019.72177000006</v>
      </c>
      <c r="G55" s="31">
        <v>4695996.2926000003</v>
      </c>
      <c r="H55" s="31"/>
      <c r="I55" s="31">
        <v>1300693.2316200002</v>
      </c>
      <c r="J55" s="31">
        <v>2881860.9319500001</v>
      </c>
      <c r="K55" s="31"/>
      <c r="L55" s="31">
        <v>42209.03865000001</v>
      </c>
      <c r="M55" s="31">
        <v>6906.1080000000002</v>
      </c>
      <c r="N55" s="31"/>
      <c r="O55" s="31">
        <v>2580028.2322700005</v>
      </c>
      <c r="P55" s="31"/>
      <c r="Q55" s="31">
        <v>1658665.8381400043</v>
      </c>
      <c r="R55" s="31"/>
      <c r="S55" s="36">
        <v>4238694.0704100048</v>
      </c>
      <c r="T55" s="12">
        <v>269931.92745000008</v>
      </c>
      <c r="U55" s="12">
        <v>119966.83255000014</v>
      </c>
      <c r="V55" s="12">
        <v>225436.31913000008</v>
      </c>
      <c r="Y55" s="91"/>
      <c r="Z55" s="128">
        <f>+A76</f>
        <v>45597</v>
      </c>
      <c r="AA55" s="94">
        <f t="shared" si="11"/>
        <v>7.5863364201428404E-2</v>
      </c>
      <c r="AB55" s="94">
        <f t="shared" si="12"/>
        <v>0.18053484644848283</v>
      </c>
      <c r="AC55" s="129">
        <f t="shared" si="13"/>
        <v>0.2670494709953295</v>
      </c>
      <c r="AD55" s="129">
        <f t="shared" si="14"/>
        <v>8.1479509001012983E-3</v>
      </c>
      <c r="AE55" s="92">
        <f t="shared" si="15"/>
        <v>0.10206780405842833</v>
      </c>
      <c r="AF55" s="95">
        <f t="shared" si="16"/>
        <v>2.8522947051161641E-2</v>
      </c>
      <c r="AG55" s="95">
        <f t="shared" si="17"/>
        <v>4.2214706774284919E-2</v>
      </c>
      <c r="AH55" s="94">
        <f t="shared" si="18"/>
        <v>0.53159563254534203</v>
      </c>
      <c r="AI55" s="96">
        <f t="shared" si="19"/>
        <v>0.46840436745465802</v>
      </c>
    </row>
    <row r="56" spans="1:35">
      <c r="A56" s="25">
        <v>44986</v>
      </c>
      <c r="B56" s="26" t="str">
        <f t="shared" si="0"/>
        <v>2023-B2</v>
      </c>
      <c r="C56" s="27">
        <v>279267.56866999995</v>
      </c>
      <c r="D56" s="27">
        <v>53931.993000000002</v>
      </c>
      <c r="E56" s="27"/>
      <c r="F56" s="27">
        <v>958393.85150999983</v>
      </c>
      <c r="G56" s="27">
        <v>5025521.4560000002</v>
      </c>
      <c r="H56" s="27"/>
      <c r="I56" s="27">
        <v>1203325.7076200002</v>
      </c>
      <c r="J56" s="27">
        <v>2698908.8373600002</v>
      </c>
      <c r="K56" s="27"/>
      <c r="L56" s="27">
        <v>62562.480709999996</v>
      </c>
      <c r="M56" s="27">
        <v>11543.115</v>
      </c>
      <c r="N56" s="27"/>
      <c r="O56" s="27">
        <v>2503549.6085100002</v>
      </c>
      <c r="P56" s="27"/>
      <c r="Q56" s="27">
        <v>1961822.0446399883</v>
      </c>
      <c r="R56" s="27"/>
      <c r="S56" s="35">
        <v>4465371.6531499885</v>
      </c>
      <c r="T56" s="10">
        <v>317137.21048000007</v>
      </c>
      <c r="U56" s="10">
        <v>142656.22127000013</v>
      </c>
      <c r="V56" s="10">
        <v>215602.71648999999</v>
      </c>
      <c r="Y56" s="91"/>
      <c r="Z56" s="128">
        <f t="shared" si="9"/>
        <v>45627</v>
      </c>
      <c r="AA56" s="94">
        <f t="shared" si="11"/>
        <v>9.9108178596593793E-2</v>
      </c>
      <c r="AB56" s="94">
        <f t="shared" si="12"/>
        <v>0.12895514973008429</v>
      </c>
      <c r="AC56" s="129">
        <f t="shared" si="13"/>
        <v>0.27732393772206421</v>
      </c>
      <c r="AD56" s="129">
        <f t="shared" si="14"/>
        <v>1.2507087557015253E-2</v>
      </c>
      <c r="AE56" s="92">
        <f t="shared" si="15"/>
        <v>8.8943084606978001E-2</v>
      </c>
      <c r="AF56" s="95">
        <f t="shared" si="16"/>
        <v>3.1497198702664778E-2</v>
      </c>
      <c r="AG56" s="95">
        <f t="shared" si="17"/>
        <v>4.534237974465307E-2</v>
      </c>
      <c r="AH56" s="94">
        <f t="shared" si="18"/>
        <v>0.51789435360575753</v>
      </c>
      <c r="AI56" s="96">
        <f t="shared" si="19"/>
        <v>0.48210564639424247</v>
      </c>
    </row>
    <row r="57" spans="1:35">
      <c r="A57" s="29">
        <v>45017</v>
      </c>
      <c r="B57" s="26" t="str">
        <f t="shared" si="0"/>
        <v>2023-B2</v>
      </c>
      <c r="C57" s="31">
        <v>203471.48694</v>
      </c>
      <c r="D57" s="31">
        <v>38720.742460000001</v>
      </c>
      <c r="E57" s="31"/>
      <c r="F57" s="31">
        <v>543985.21732000005</v>
      </c>
      <c r="G57" s="31">
        <v>3090907.895</v>
      </c>
      <c r="H57" s="31"/>
      <c r="I57" s="31">
        <v>1289117.9177399999</v>
      </c>
      <c r="J57" s="31">
        <v>2818586.6103099999</v>
      </c>
      <c r="K57" s="31"/>
      <c r="L57" s="31">
        <v>47707.222460000005</v>
      </c>
      <c r="M57" s="31">
        <v>8205.0630000000001</v>
      </c>
      <c r="N57" s="31"/>
      <c r="O57" s="31">
        <v>2084281.8444600001</v>
      </c>
      <c r="P57" s="31"/>
      <c r="Q57" s="31">
        <v>1654931.9880300073</v>
      </c>
      <c r="R57" s="31"/>
      <c r="S57" s="36">
        <v>3739213.8324900074</v>
      </c>
      <c r="T57" s="12">
        <v>260903.9256299999</v>
      </c>
      <c r="U57" s="12">
        <v>115978.74461000001</v>
      </c>
      <c r="V57" s="12">
        <v>146754.82665999985</v>
      </c>
      <c r="Y57" s="91"/>
      <c r="Z57" s="128">
        <f t="shared" si="9"/>
        <v>45658</v>
      </c>
      <c r="AA57" s="94">
        <f t="shared" si="11"/>
        <v>0.12247147562984648</v>
      </c>
      <c r="AB57" s="94">
        <f t="shared" si="12"/>
        <v>8.6549340406992956E-2</v>
      </c>
      <c r="AC57" s="129">
        <f t="shared" si="13"/>
        <v>0.28754546757048138</v>
      </c>
      <c r="AD57" s="129">
        <f t="shared" si="14"/>
        <v>9.2356574492382538E-3</v>
      </c>
      <c r="AE57" s="92">
        <f t="shared" si="15"/>
        <v>9.0433873999364631E-2</v>
      </c>
      <c r="AF57" s="95">
        <f t="shared" si="16"/>
        <v>3.535027054252364E-2</v>
      </c>
      <c r="AG57" s="95">
        <f t="shared" si="17"/>
        <v>5.1031175876402192E-2</v>
      </c>
      <c r="AH57" s="94">
        <f t="shared" si="18"/>
        <v>0.50580194105655907</v>
      </c>
      <c r="AI57" s="96">
        <f t="shared" si="19"/>
        <v>0.49419805894344093</v>
      </c>
    </row>
    <row r="58" spans="1:35">
      <c r="A58" s="25">
        <v>45047</v>
      </c>
      <c r="B58" s="26" t="str">
        <f t="shared" si="0"/>
        <v>2023-B3</v>
      </c>
      <c r="C58" s="27">
        <v>241952.05254999993</v>
      </c>
      <c r="D58" s="27">
        <v>45756.106399999997</v>
      </c>
      <c r="E58" s="27"/>
      <c r="F58" s="27">
        <v>914939.47983000008</v>
      </c>
      <c r="G58" s="27">
        <v>5665968.8279099995</v>
      </c>
      <c r="H58" s="27"/>
      <c r="I58" s="27">
        <v>1191866.3341600001</v>
      </c>
      <c r="J58" s="27">
        <v>2765528.0600699997</v>
      </c>
      <c r="K58" s="27"/>
      <c r="L58" s="27">
        <v>80116.36510000001</v>
      </c>
      <c r="M58" s="27">
        <v>17002.984</v>
      </c>
      <c r="N58" s="27"/>
      <c r="O58" s="27">
        <v>2428874.2316400004</v>
      </c>
      <c r="P58" s="27"/>
      <c r="Q58" s="27">
        <v>2068988.1826700023</v>
      </c>
      <c r="R58" s="27"/>
      <c r="S58" s="35">
        <v>4497862.4143100027</v>
      </c>
      <c r="T58" s="10">
        <v>349822.40684999991</v>
      </c>
      <c r="U58" s="10">
        <v>129778.7750400001</v>
      </c>
      <c r="V58" s="10">
        <v>225073.35574999976</v>
      </c>
      <c r="Y58" s="91"/>
      <c r="Z58" s="128">
        <f t="shared" si="9"/>
        <v>45689</v>
      </c>
      <c r="AA58" s="94">
        <f t="shared" si="11"/>
        <v>0.11157952044767858</v>
      </c>
      <c r="AB58" s="94">
        <f t="shared" si="12"/>
        <v>0.12334912490152501</v>
      </c>
      <c r="AC58" s="129">
        <f t="shared" si="13"/>
        <v>0.22873999792761965</v>
      </c>
      <c r="AD58" s="129">
        <f t="shared" si="14"/>
        <v>8.0281274357259444E-3</v>
      </c>
      <c r="AE58" s="92">
        <f t="shared" si="15"/>
        <v>9.0774269962104109E-2</v>
      </c>
      <c r="AF58" s="95">
        <f t="shared" si="16"/>
        <v>3.4577175492883097E-2</v>
      </c>
      <c r="AG58" s="95">
        <f t="shared" si="17"/>
        <v>6.2275175811183879E-2</v>
      </c>
      <c r="AH58" s="94">
        <f t="shared" si="18"/>
        <v>0.47169677071254923</v>
      </c>
      <c r="AI58" s="96">
        <f t="shared" si="19"/>
        <v>0.52830322928745077</v>
      </c>
    </row>
    <row r="59" spans="1:35">
      <c r="A59" s="29">
        <v>45078</v>
      </c>
      <c r="B59" s="26" t="str">
        <f t="shared" si="0"/>
        <v>2023-B3</v>
      </c>
      <c r="C59" s="31">
        <v>211874.16779999988</v>
      </c>
      <c r="D59" s="31">
        <v>39997.096050000007</v>
      </c>
      <c r="E59" s="31">
        <v>0</v>
      </c>
      <c r="F59" s="31">
        <v>777418.20689999987</v>
      </c>
      <c r="G59" s="31">
        <v>5178975.9919999996</v>
      </c>
      <c r="H59" s="31">
        <v>0</v>
      </c>
      <c r="I59" s="31">
        <v>1188320.6601099998</v>
      </c>
      <c r="J59" s="31">
        <v>2685259.2582400003</v>
      </c>
      <c r="K59" s="31">
        <v>0</v>
      </c>
      <c r="L59" s="31">
        <v>49863.562260000006</v>
      </c>
      <c r="M59" s="31">
        <v>11110.86</v>
      </c>
      <c r="N59" s="31"/>
      <c r="O59" s="31">
        <v>2227476.5970699997</v>
      </c>
      <c r="P59" s="31"/>
      <c r="Q59" s="31">
        <v>1793942.6102300161</v>
      </c>
      <c r="R59" s="31"/>
      <c r="S59" s="36">
        <v>4021419.2073000157</v>
      </c>
      <c r="T59" s="12">
        <v>270336.58182999998</v>
      </c>
      <c r="U59" s="12">
        <v>128844.84490999972</v>
      </c>
      <c r="V59" s="12">
        <v>175349.03641999984</v>
      </c>
      <c r="Y59" s="91"/>
      <c r="Z59" s="128">
        <f t="shared" si="9"/>
        <v>45717</v>
      </c>
      <c r="AA59" s="94">
        <f t="shared" si="11"/>
        <v>0.12112037275481281</v>
      </c>
      <c r="AB59" s="94">
        <f t="shared" si="12"/>
        <v>5.2669575857527198E-2</v>
      </c>
      <c r="AC59" s="129">
        <f t="shared" si="13"/>
        <v>0.33178361055758893</v>
      </c>
      <c r="AD59" s="129">
        <f t="shared" si="14"/>
        <v>9.4455071974289539E-3</v>
      </c>
      <c r="AE59" s="92">
        <f t="shared" si="15"/>
        <v>8.1636261286934547E-2</v>
      </c>
      <c r="AF59" s="95">
        <f t="shared" si="16"/>
        <v>3.5700282322373766E-2</v>
      </c>
      <c r="AG59" s="95">
        <f t="shared" si="17"/>
        <v>6.2759979650056724E-2</v>
      </c>
      <c r="AH59" s="94">
        <f t="shared" si="18"/>
        <v>0.51501906636735795</v>
      </c>
      <c r="AI59" s="96">
        <f t="shared" si="19"/>
        <v>0.48498093363264205</v>
      </c>
    </row>
    <row r="60" spans="1:35">
      <c r="A60" s="25">
        <v>45108</v>
      </c>
      <c r="B60" s="26" t="str">
        <f t="shared" si="0"/>
        <v>2023-B4</v>
      </c>
      <c r="C60" s="27">
        <v>216248.78308000005</v>
      </c>
      <c r="D60" s="27">
        <v>43384.804720000007</v>
      </c>
      <c r="E60" s="27">
        <v>0</v>
      </c>
      <c r="F60" s="27">
        <v>679102.03734000004</v>
      </c>
      <c r="G60" s="27">
        <v>5001503.1540000001</v>
      </c>
      <c r="H60" s="27">
        <v>0</v>
      </c>
      <c r="I60" s="27">
        <v>1430174.7865800001</v>
      </c>
      <c r="J60" s="27">
        <v>2940684.82345</v>
      </c>
      <c r="K60" s="27">
        <v>0</v>
      </c>
      <c r="L60" s="27">
        <v>52275.812629999993</v>
      </c>
      <c r="M60" s="27">
        <v>14135.475</v>
      </c>
      <c r="N60" s="27"/>
      <c r="O60" s="27">
        <v>2377801.4196299999</v>
      </c>
      <c r="P60" s="27"/>
      <c r="Q60" s="27">
        <v>1789440.1988499919</v>
      </c>
      <c r="R60" s="27"/>
      <c r="S60" s="35">
        <v>4167241.6184799918</v>
      </c>
      <c r="T60" s="10">
        <v>332512.16430000012</v>
      </c>
      <c r="U60" s="10">
        <v>121686.11272999998</v>
      </c>
      <c r="V60" s="10">
        <v>216667.43506999995</v>
      </c>
      <c r="Y60" s="91"/>
      <c r="Z60" s="128">
        <f t="shared" si="9"/>
        <v>45748</v>
      </c>
      <c r="AA60" s="94">
        <f t="shared" si="11"/>
        <v>0.11283039615458429</v>
      </c>
      <c r="AB60" s="94">
        <f t="shared" si="12"/>
        <v>9.7992855465087403E-2</v>
      </c>
      <c r="AC60" s="129">
        <f t="shared" si="13"/>
        <v>0.22815201429048068</v>
      </c>
      <c r="AD60" s="129">
        <f t="shared" si="14"/>
        <v>1.0650943503736127E-2</v>
      </c>
      <c r="AE60" s="92">
        <f t="shared" si="15"/>
        <v>8.9296208565205676E-2</v>
      </c>
      <c r="AF60" s="95">
        <f t="shared" si="16"/>
        <v>3.5592865069838234E-2</v>
      </c>
      <c r="AG60" s="95">
        <f t="shared" si="17"/>
        <v>4.8307164741855556E-2</v>
      </c>
      <c r="AH60" s="94">
        <f t="shared" si="18"/>
        <v>0.44962620941388848</v>
      </c>
      <c r="AI60" s="96">
        <f t="shared" si="19"/>
        <v>0.55037379058611158</v>
      </c>
    </row>
    <row r="61" spans="1:35">
      <c r="A61" s="29">
        <v>45139</v>
      </c>
      <c r="B61" s="26" t="str">
        <f t="shared" si="0"/>
        <v>2023-B4</v>
      </c>
      <c r="C61" s="31">
        <v>214526.21200000015</v>
      </c>
      <c r="D61" s="31">
        <v>45608.238549999995</v>
      </c>
      <c r="E61" s="31">
        <v>0</v>
      </c>
      <c r="F61" s="31">
        <v>483627.78051999991</v>
      </c>
      <c r="G61" s="31">
        <v>3606715.2650000001</v>
      </c>
      <c r="H61" s="31">
        <v>0</v>
      </c>
      <c r="I61" s="31">
        <v>1437050.8906799997</v>
      </c>
      <c r="J61" s="31">
        <v>2711708.5782799996</v>
      </c>
      <c r="K61" s="31">
        <v>0</v>
      </c>
      <c r="L61" s="31">
        <v>65330.064910000001</v>
      </c>
      <c r="M61" s="31">
        <v>15022.437</v>
      </c>
      <c r="N61" s="31"/>
      <c r="O61" s="31">
        <v>2200534.9481099998</v>
      </c>
      <c r="P61" s="31"/>
      <c r="Q61" s="31">
        <v>1743360.1022299905</v>
      </c>
      <c r="R61" s="31"/>
      <c r="S61" s="36">
        <v>3943895.0503399903</v>
      </c>
      <c r="T61" s="12">
        <v>288067.95616</v>
      </c>
      <c r="U61" s="12">
        <v>129720.15133999991</v>
      </c>
      <c r="V61" s="12">
        <v>132231.00024000011</v>
      </c>
      <c r="Y61" s="91"/>
      <c r="Z61" s="128">
        <f>+A82</f>
        <v>45778</v>
      </c>
      <c r="AA61" s="94">
        <f t="shared" si="11"/>
        <v>9.3157857636082919E-2</v>
      </c>
      <c r="AB61" s="94">
        <f t="shared" si="12"/>
        <v>0.12688868211105317</v>
      </c>
      <c r="AC61" s="129">
        <f t="shared" si="13"/>
        <v>0.24401148254026869</v>
      </c>
      <c r="AD61" s="129">
        <f t="shared" si="14"/>
        <v>8.7125786266322221E-3</v>
      </c>
      <c r="AE61" s="92">
        <f t="shared" si="15"/>
        <v>8.4546010561729029E-2</v>
      </c>
      <c r="AF61" s="95">
        <f t="shared" si="16"/>
        <v>3.2812167688941546E-2</v>
      </c>
      <c r="AG61" s="95">
        <f t="shared" si="17"/>
        <v>5.5614182801231239E-2</v>
      </c>
      <c r="AH61" s="94">
        <f t="shared" si="18"/>
        <v>0.47277060091403705</v>
      </c>
      <c r="AI61" s="96">
        <f t="shared" si="19"/>
        <v>0.527229399085963</v>
      </c>
    </row>
    <row r="62" spans="1:35">
      <c r="A62" s="25">
        <v>45170</v>
      </c>
      <c r="B62" s="26" t="str">
        <f t="shared" si="0"/>
        <v>2023-B5</v>
      </c>
      <c r="C62" s="27">
        <v>221909.32733000006</v>
      </c>
      <c r="D62" s="27">
        <v>49422.839959999998</v>
      </c>
      <c r="E62" s="27"/>
      <c r="F62" s="27">
        <v>657793.23985999997</v>
      </c>
      <c r="G62" s="27">
        <v>4944678.9749999996</v>
      </c>
      <c r="H62" s="27"/>
      <c r="I62" s="27">
        <v>1515017.1988599999</v>
      </c>
      <c r="J62" s="27">
        <v>2664057.1681700004</v>
      </c>
      <c r="K62" s="27"/>
      <c r="L62" s="27">
        <v>21708.943650000001</v>
      </c>
      <c r="M62" s="27">
        <v>10128.661</v>
      </c>
      <c r="N62" s="27"/>
      <c r="O62" s="27">
        <v>2416428.7097</v>
      </c>
      <c r="P62" s="27"/>
      <c r="Q62" s="27">
        <v>1751290.3208200145</v>
      </c>
      <c r="R62" s="27"/>
      <c r="S62" s="35">
        <v>4167719.0305200145</v>
      </c>
      <c r="T62" s="10">
        <v>327607.35415999981</v>
      </c>
      <c r="U62" s="10">
        <v>130047.99348999998</v>
      </c>
      <c r="V62" s="10">
        <v>138956.58834000013</v>
      </c>
      <c r="Y62" s="91"/>
      <c r="Z62" s="128">
        <f t="shared" si="9"/>
        <v>45809</v>
      </c>
      <c r="AA62" s="94">
        <f t="shared" si="11"/>
        <v>0.10042085124118173</v>
      </c>
      <c r="AB62" s="94">
        <f t="shared" si="12"/>
        <v>9.8868653749891885E-2</v>
      </c>
      <c r="AC62" s="129">
        <f t="shared" si="13"/>
        <v>0.27193223375004938</v>
      </c>
      <c r="AD62" s="129">
        <f t="shared" si="14"/>
        <v>1.0246143054556544E-2</v>
      </c>
      <c r="AE62" s="92">
        <f t="shared" si="15"/>
        <v>8.1518417535118778E-2</v>
      </c>
      <c r="AF62" s="95">
        <f t="shared" si="16"/>
        <v>3.4914941058773713E-2</v>
      </c>
      <c r="AG62" s="95">
        <f t="shared" si="17"/>
        <v>6.8254313468014402E-2</v>
      </c>
      <c r="AH62" s="94">
        <f t="shared" si="18"/>
        <v>0.48146788179567951</v>
      </c>
      <c r="AI62" s="96">
        <f t="shared" si="19"/>
        <v>0.51853211820432044</v>
      </c>
    </row>
    <row r="63" spans="1:35">
      <c r="A63" s="29">
        <v>45200</v>
      </c>
      <c r="B63" s="26" t="str">
        <f t="shared" si="0"/>
        <v>2023-B5</v>
      </c>
      <c r="C63" s="31">
        <v>177362.11719999998</v>
      </c>
      <c r="D63" s="31">
        <v>41099.211299999995</v>
      </c>
      <c r="E63" s="31"/>
      <c r="F63" s="31">
        <v>617197.05047000002</v>
      </c>
      <c r="G63" s="31">
        <v>4871835.1540000001</v>
      </c>
      <c r="H63" s="31"/>
      <c r="I63" s="31">
        <v>1542660.2421000004</v>
      </c>
      <c r="J63" s="31">
        <v>2784095.1806199998</v>
      </c>
      <c r="K63" s="31"/>
      <c r="L63" s="31">
        <v>35394.018629999999</v>
      </c>
      <c r="M63" s="31">
        <v>10996.343000000001</v>
      </c>
      <c r="N63" s="31"/>
      <c r="O63" s="31">
        <v>2372613.4284000006</v>
      </c>
      <c r="P63" s="31"/>
      <c r="Q63" s="31">
        <v>1779535.4184899763</v>
      </c>
      <c r="R63" s="31"/>
      <c r="S63" s="36">
        <v>4152148.8468899769</v>
      </c>
      <c r="T63" s="12">
        <v>274799.60198000015</v>
      </c>
      <c r="U63" s="12">
        <v>154925.23844999992</v>
      </c>
      <c r="V63" s="12">
        <v>143965.95742999986</v>
      </c>
      <c r="Y63" s="91"/>
      <c r="Z63" s="128">
        <f t="shared" si="9"/>
        <v>45839</v>
      </c>
      <c r="AA63" s="94">
        <f t="shared" si="11"/>
        <v>0.10539533818440124</v>
      </c>
      <c r="AB63" s="94">
        <f t="shared" si="12"/>
        <v>0.10837521063053189</v>
      </c>
      <c r="AC63" s="129">
        <f t="shared" si="13"/>
        <v>0.24999031323783702</v>
      </c>
      <c r="AD63" s="129">
        <f t="shared" si="14"/>
        <v>9.0495266546460531E-3</v>
      </c>
      <c r="AE63" s="92">
        <f t="shared" si="15"/>
        <v>9.3604298649239581E-2</v>
      </c>
      <c r="AF63" s="95">
        <f t="shared" si="16"/>
        <v>3.6068134109912338E-2</v>
      </c>
      <c r="AG63" s="95">
        <f t="shared" si="17"/>
        <v>3.6714796694252781E-2</v>
      </c>
      <c r="AH63" s="94">
        <f t="shared" si="18"/>
        <v>0.47281038870741621</v>
      </c>
      <c r="AI63" s="96">
        <f t="shared" si="19"/>
        <v>0.52718961129258379</v>
      </c>
    </row>
    <row r="64" spans="1:35">
      <c r="A64" s="25">
        <v>45231</v>
      </c>
      <c r="B64" s="26" t="str">
        <f t="shared" si="0"/>
        <v>2023-B6</v>
      </c>
      <c r="C64" s="27">
        <v>239801.84870999982</v>
      </c>
      <c r="D64" s="27">
        <v>56180.347609999997</v>
      </c>
      <c r="E64" s="27">
        <v>0</v>
      </c>
      <c r="F64" s="27">
        <v>820970.23252000101</v>
      </c>
      <c r="G64" s="27">
        <v>7347376.8614999996</v>
      </c>
      <c r="H64" s="27">
        <v>0</v>
      </c>
      <c r="I64" s="27">
        <v>1213763.1376500002</v>
      </c>
      <c r="J64" s="27">
        <v>2452132.9704499999</v>
      </c>
      <c r="K64" s="27">
        <v>0</v>
      </c>
      <c r="L64" s="27">
        <v>46199.956709999991</v>
      </c>
      <c r="M64" s="27">
        <v>13428.2</v>
      </c>
      <c r="N64" s="27"/>
      <c r="O64" s="27">
        <v>2320735.175590001</v>
      </c>
      <c r="P64" s="27"/>
      <c r="Q64" s="27">
        <v>1873899.2297700122</v>
      </c>
      <c r="R64" s="27"/>
      <c r="S64" s="35">
        <v>4194634.4053600132</v>
      </c>
      <c r="T64" s="10">
        <v>342984.27026000008</v>
      </c>
      <c r="U64" s="10">
        <v>125164.17514000002</v>
      </c>
      <c r="V64" s="10">
        <v>170021.52689999994</v>
      </c>
      <c r="Y64" s="91"/>
      <c r="Z64" s="128">
        <f>+A85</f>
        <v>45870</v>
      </c>
      <c r="AA64" s="94">
        <f t="shared" si="11"/>
        <v>0.13506021325766096</v>
      </c>
      <c r="AB64" s="94">
        <f t="shared" si="12"/>
        <v>5.7976831005631682E-2</v>
      </c>
      <c r="AC64" s="129">
        <f t="shared" si="13"/>
        <v>0.25550510128601733</v>
      </c>
      <c r="AD64" s="129">
        <f t="shared" si="14"/>
        <v>1.0593127794488955E-2</v>
      </c>
      <c r="AE64" s="92">
        <f t="shared" si="15"/>
        <v>8.3797952795379563E-2</v>
      </c>
      <c r="AF64" s="95">
        <f t="shared" si="16"/>
        <v>3.469922729658808E-2</v>
      </c>
      <c r="AG64" s="95">
        <f t="shared" si="17"/>
        <v>3.9504256937092239E-2</v>
      </c>
      <c r="AH64" s="94">
        <f t="shared" si="18"/>
        <v>0.459135273343799</v>
      </c>
      <c r="AI64" s="96">
        <f t="shared" si="19"/>
        <v>0.540864726656201</v>
      </c>
    </row>
    <row r="65" spans="1:35">
      <c r="A65" s="29">
        <v>45261</v>
      </c>
      <c r="B65" s="26" t="str">
        <f t="shared" si="0"/>
        <v>2023-B6</v>
      </c>
      <c r="C65" s="31">
        <v>294080.23121999996</v>
      </c>
      <c r="D65" s="31">
        <v>66749.627999999997</v>
      </c>
      <c r="E65" s="31"/>
      <c r="F65" s="31">
        <v>813104.27309999987</v>
      </c>
      <c r="G65" s="31">
        <v>6472134.9002799997</v>
      </c>
      <c r="H65" s="31"/>
      <c r="I65" s="31">
        <v>1461661.5756699999</v>
      </c>
      <c r="J65" s="31">
        <v>3081637.6301800003</v>
      </c>
      <c r="K65" s="31"/>
      <c r="L65" s="31">
        <v>33535.548800000004</v>
      </c>
      <c r="M65" s="31">
        <v>10276.950999999999</v>
      </c>
      <c r="N65" s="31"/>
      <c r="O65" s="31">
        <v>2602381.62879</v>
      </c>
      <c r="P65" s="31"/>
      <c r="Q65" s="31">
        <v>1845351.3113300097</v>
      </c>
      <c r="R65" s="31"/>
      <c r="S65" s="36">
        <v>4447732.9401200097</v>
      </c>
      <c r="T65" s="12">
        <v>330051.86982000008</v>
      </c>
      <c r="U65" s="12">
        <v>144332.79304000014</v>
      </c>
      <c r="V65" s="12">
        <v>165986.12734999988</v>
      </c>
      <c r="Y65" s="91"/>
      <c r="Z65" s="128">
        <f t="shared" si="9"/>
        <v>45901</v>
      </c>
      <c r="AA65" s="94">
        <f t="shared" si="11"/>
        <v>0.10645539329851733</v>
      </c>
      <c r="AB65" s="94">
        <f t="shared" si="12"/>
        <v>0.11587406382351047</v>
      </c>
      <c r="AC65" s="129">
        <f t="shared" si="13"/>
        <v>0.22634566117862992</v>
      </c>
      <c r="AD65" s="129">
        <f t="shared" si="14"/>
        <v>7.8080760260718614E-3</v>
      </c>
      <c r="AE65" s="92">
        <f t="shared" si="15"/>
        <v>9.6883233575735375E-2</v>
      </c>
      <c r="AF65" s="95">
        <f t="shared" si="16"/>
        <v>3.4602648639062129E-2</v>
      </c>
      <c r="AG65" s="95">
        <f t="shared" si="17"/>
        <v>3.4356551712642201E-2</v>
      </c>
      <c r="AH65" s="94">
        <f t="shared" si="18"/>
        <v>0.45648319432672951</v>
      </c>
      <c r="AI65" s="96">
        <f t="shared" si="19"/>
        <v>0.54351680567327054</v>
      </c>
    </row>
    <row r="66" spans="1:35">
      <c r="A66" s="25">
        <v>45292</v>
      </c>
      <c r="B66" s="26" t="str">
        <f t="shared" si="0"/>
        <v>2024-B1</v>
      </c>
      <c r="C66" s="27">
        <v>221795.36718999999</v>
      </c>
      <c r="D66" s="27">
        <v>49446.221290000001</v>
      </c>
      <c r="E66" s="27"/>
      <c r="F66" s="27">
        <v>646982.37502000004</v>
      </c>
      <c r="G66" s="27">
        <v>4933924.1119999997</v>
      </c>
      <c r="H66" s="27"/>
      <c r="I66" s="27">
        <v>1060749.0291599999</v>
      </c>
      <c r="J66" s="27">
        <v>2308004.2478800002</v>
      </c>
      <c r="K66" s="27"/>
      <c r="L66" s="27">
        <v>39527.212579999999</v>
      </c>
      <c r="M66" s="27">
        <v>13060.634</v>
      </c>
      <c r="N66" s="27"/>
      <c r="O66" s="27">
        <v>1969053.98395</v>
      </c>
      <c r="P66" s="27"/>
      <c r="Q66" s="27">
        <v>1652070.00812999</v>
      </c>
      <c r="R66" s="27"/>
      <c r="S66" s="35">
        <v>3621123.99207999</v>
      </c>
      <c r="T66" s="10">
        <v>279058.18014999997</v>
      </c>
      <c r="U66" s="10">
        <v>121064.07414</v>
      </c>
      <c r="V66" s="10">
        <v>168251.14027999999</v>
      </c>
      <c r="Y66" s="91"/>
      <c r="Z66" s="128">
        <f t="shared" si="9"/>
        <v>45931</v>
      </c>
      <c r="AA66" s="94">
        <f t="shared" si="11"/>
        <v>0.12420862376208559</v>
      </c>
      <c r="AB66" s="94">
        <f t="shared" si="12"/>
        <v>9.9957335981926937E-2</v>
      </c>
      <c r="AC66" s="129">
        <f t="shared" si="13"/>
        <v>0.22238327184727313</v>
      </c>
      <c r="AD66" s="129">
        <f t="shared" si="14"/>
        <v>9.6136331119509259E-3</v>
      </c>
      <c r="AE66" s="92">
        <f t="shared" si="15"/>
        <v>0.10992154399205856</v>
      </c>
      <c r="AF66" s="95">
        <f t="shared" si="16"/>
        <v>3.9190744041113675E-2</v>
      </c>
      <c r="AG66" s="95">
        <f t="shared" si="17"/>
        <v>3.9683894547890577E-2</v>
      </c>
      <c r="AH66" s="94">
        <f t="shared" si="18"/>
        <v>0.45616286470323664</v>
      </c>
      <c r="AI66" s="96">
        <f t="shared" si="19"/>
        <v>0.54383713529676336</v>
      </c>
    </row>
    <row r="67" spans="1:35">
      <c r="A67" s="29">
        <v>45323</v>
      </c>
      <c r="B67" s="26" t="str">
        <f t="shared" si="0"/>
        <v>2024-B1</v>
      </c>
      <c r="C67" s="31">
        <v>246804.76733999999</v>
      </c>
      <c r="D67" s="31">
        <v>54447.286099999998</v>
      </c>
      <c r="E67" s="31"/>
      <c r="F67" s="31">
        <v>632518.46646000003</v>
      </c>
      <c r="G67" s="31">
        <v>5319248.8103900002</v>
      </c>
      <c r="H67" s="31"/>
      <c r="I67" s="31">
        <v>1118645.5178799999</v>
      </c>
      <c r="J67" s="31">
        <v>2351011.98814</v>
      </c>
      <c r="K67" s="31"/>
      <c r="L67" s="31">
        <v>31500.716820000001</v>
      </c>
      <c r="M67" s="31">
        <v>10379.901</v>
      </c>
      <c r="N67" s="31"/>
      <c r="O67" s="31">
        <v>2029469.4685</v>
      </c>
      <c r="P67" s="31"/>
      <c r="Q67" s="31">
        <v>1781481.5950599499</v>
      </c>
      <c r="R67" s="31"/>
      <c r="S67" s="36">
        <v>3810951.0635599499</v>
      </c>
      <c r="T67" s="12">
        <v>248400.01282</v>
      </c>
      <c r="U67" s="12">
        <v>134058.15734000001</v>
      </c>
      <c r="V67" s="12">
        <v>255049.755479999</v>
      </c>
      <c r="Y67" s="91"/>
      <c r="Z67" s="128">
        <f t="shared" si="9"/>
        <v>45962</v>
      </c>
      <c r="AA67" s="94">
        <f t="shared" si="11"/>
        <v>0.14383883761238014</v>
      </c>
      <c r="AB67" s="94">
        <f t="shared" si="12"/>
        <v>9.7555871822664217E-2</v>
      </c>
      <c r="AC67" s="129">
        <f t="shared" si="13"/>
        <v>0.22957467000530579</v>
      </c>
      <c r="AD67" s="129">
        <f t="shared" si="14"/>
        <v>1.0593740378129971E-2</v>
      </c>
      <c r="AE67" s="92">
        <f t="shared" si="15"/>
        <v>8.7030906175076986E-2</v>
      </c>
      <c r="AF67" s="95">
        <f t="shared" si="16"/>
        <v>3.4766957876976055E-2</v>
      </c>
      <c r="AG67" s="95">
        <f t="shared" si="17"/>
        <v>4.7980751181970191E-2</v>
      </c>
      <c r="AH67" s="94">
        <f t="shared" si="18"/>
        <v>0.48156311981848016</v>
      </c>
      <c r="AI67" s="96">
        <f t="shared" si="19"/>
        <v>0.5184368801815199</v>
      </c>
    </row>
    <row r="68" spans="1:35">
      <c r="A68" s="25">
        <v>45352</v>
      </c>
      <c r="B68" s="26" t="str">
        <f t="shared" si="0"/>
        <v>2024-B2</v>
      </c>
      <c r="C68" s="27">
        <v>224257.51663999999</v>
      </c>
      <c r="D68" s="27">
        <v>49096.030659999997</v>
      </c>
      <c r="E68" s="27"/>
      <c r="F68" s="27">
        <v>516883.08958000003</v>
      </c>
      <c r="G68" s="27">
        <v>4918777.74</v>
      </c>
      <c r="H68" s="27"/>
      <c r="I68" s="27">
        <v>1360588.9663499999</v>
      </c>
      <c r="J68" s="27">
        <v>2728115.4534800001</v>
      </c>
      <c r="K68" s="27"/>
      <c r="L68" s="27">
        <v>29384.618750000001</v>
      </c>
      <c r="M68" s="27">
        <v>9390.4269999999997</v>
      </c>
      <c r="N68" s="27"/>
      <c r="O68" s="27">
        <v>2131114.1913199998</v>
      </c>
      <c r="P68" s="27"/>
      <c r="Q68" s="27">
        <v>1735831.2806900302</v>
      </c>
      <c r="R68" s="27"/>
      <c r="S68" s="35">
        <v>3866945.4720100299</v>
      </c>
      <c r="T68" s="10">
        <v>242633.82981</v>
      </c>
      <c r="U68" s="10">
        <v>119223.42809</v>
      </c>
      <c r="V68" s="10">
        <v>223584.44920999999</v>
      </c>
      <c r="Y68" s="91"/>
      <c r="Z68" s="128">
        <f>+A89</f>
        <v>45992</v>
      </c>
      <c r="AA68" s="94">
        <f t="shared" si="11"/>
        <v>0.11143051956473696</v>
      </c>
      <c r="AB68" s="94">
        <f t="shared" si="12"/>
        <v>0.10209130361701139</v>
      </c>
      <c r="AC68" s="129">
        <f t="shared" si="13"/>
        <v>0.2124355892570641</v>
      </c>
      <c r="AD68" s="129">
        <f t="shared" si="14"/>
        <v>9.9067742585328862E-3</v>
      </c>
      <c r="AE68" s="92">
        <f t="shared" si="15"/>
        <v>0.1629130520208534</v>
      </c>
      <c r="AF68" s="95">
        <f t="shared" si="16"/>
        <v>2.7576966251744713E-2</v>
      </c>
      <c r="AG68" s="95">
        <f t="shared" si="17"/>
        <v>4.0753432524039644E-2</v>
      </c>
      <c r="AH68" s="94">
        <f t="shared" si="18"/>
        <v>0.43586418669734533</v>
      </c>
      <c r="AI68" s="96">
        <f t="shared" si="19"/>
        <v>0.56413581330265461</v>
      </c>
    </row>
    <row r="69" spans="1:35">
      <c r="A69" s="29">
        <v>45383</v>
      </c>
      <c r="B69" s="26" t="str">
        <f t="shared" si="0"/>
        <v>2024-B2</v>
      </c>
      <c r="C69" s="31">
        <v>248824.09138999999</v>
      </c>
      <c r="D69" s="31">
        <v>54005.882850000002</v>
      </c>
      <c r="E69" s="31">
        <v>0</v>
      </c>
      <c r="F69" s="31">
        <v>645708.41096999997</v>
      </c>
      <c r="G69" s="31">
        <v>6059298.5528800003</v>
      </c>
      <c r="H69" s="31">
        <v>0</v>
      </c>
      <c r="I69" s="31">
        <v>1369865.1058799999</v>
      </c>
      <c r="J69" s="31">
        <v>2639342.6677100002</v>
      </c>
      <c r="K69" s="31">
        <v>0</v>
      </c>
      <c r="L69" s="31">
        <v>54108.477140000003</v>
      </c>
      <c r="M69" s="31">
        <v>15604.977000000001</v>
      </c>
      <c r="N69" s="31"/>
      <c r="O69" s="31">
        <v>2318506.0853800001</v>
      </c>
      <c r="P69" s="31"/>
      <c r="Q69" s="31">
        <v>2090319.9387098998</v>
      </c>
      <c r="R69" s="31"/>
      <c r="S69" s="36">
        <v>4408826.0240898998</v>
      </c>
      <c r="T69" s="12">
        <v>390568.87053999997</v>
      </c>
      <c r="U69" s="12">
        <v>155654.67608999999</v>
      </c>
      <c r="V69" s="12">
        <v>180109.03335000001</v>
      </c>
      <c r="Y69" s="91"/>
      <c r="Z69" s="128">
        <f t="shared" si="9"/>
        <v>46023</v>
      </c>
      <c r="AA69" s="94">
        <f t="shared" si="11"/>
        <v>0.14498953704838483</v>
      </c>
      <c r="AB69" s="94">
        <f t="shared" si="12"/>
        <v>8.5426901388491544E-2</v>
      </c>
      <c r="AC69" s="129">
        <f t="shared" si="13"/>
        <v>0.23025882006973972</v>
      </c>
      <c r="AD69" s="129">
        <f t="shared" si="14"/>
        <v>0</v>
      </c>
      <c r="AE69" s="92">
        <f t="shared" si="15"/>
        <v>0.16588518740554001</v>
      </c>
      <c r="AF69" s="95">
        <f t="shared" si="16"/>
        <v>3.4346103187896451E-2</v>
      </c>
      <c r="AG69" s="95">
        <f t="shared" si="17"/>
        <v>4.3686498788008489E-2</v>
      </c>
      <c r="AH69" s="94">
        <f t="shared" si="18"/>
        <v>0.46067525850661611</v>
      </c>
      <c r="AI69" s="96">
        <f t="shared" si="19"/>
        <v>0.53932474149338383</v>
      </c>
    </row>
    <row r="70" spans="1:35">
      <c r="A70" s="25">
        <v>45413</v>
      </c>
      <c r="B70" s="26" t="str">
        <f t="shared" si="0"/>
        <v>2024-B3</v>
      </c>
      <c r="C70" s="27">
        <v>252141.31109999999</v>
      </c>
      <c r="D70" s="27">
        <v>51629.171459999998</v>
      </c>
      <c r="E70" s="27"/>
      <c r="F70" s="27">
        <v>638395.63442999998</v>
      </c>
      <c r="G70" s="27">
        <v>6597462.0657400005</v>
      </c>
      <c r="H70" s="27"/>
      <c r="I70" s="27">
        <v>1415502.6914599999</v>
      </c>
      <c r="J70" s="27">
        <v>2844178.4464199999</v>
      </c>
      <c r="K70" s="27"/>
      <c r="L70" s="27">
        <v>68915.361099999995</v>
      </c>
      <c r="M70" s="27">
        <v>18664.101070000001</v>
      </c>
      <c r="N70" s="27"/>
      <c r="O70" s="27">
        <v>2374954.9980899999</v>
      </c>
      <c r="P70" s="27"/>
      <c r="Q70" s="27">
        <v>2075957.9789999705</v>
      </c>
      <c r="R70" s="27"/>
      <c r="S70" s="35">
        <v>4450912.9770899704</v>
      </c>
      <c r="T70" s="10">
        <v>349993.83545000001</v>
      </c>
      <c r="U70" s="10">
        <v>139224.27059</v>
      </c>
      <c r="V70" s="10">
        <v>257444.57824000099</v>
      </c>
      <c r="Y70" s="91"/>
      <c r="Z70" s="128">
        <f t="shared" si="9"/>
        <v>46054</v>
      </c>
      <c r="AA70" s="94">
        <f t="shared" si="11"/>
        <v>9.5871800752585751E-2</v>
      </c>
      <c r="AB70" s="94">
        <f t="shared" si="12"/>
        <v>8.994277256490707E-2</v>
      </c>
      <c r="AC70" s="129">
        <f t="shared" si="13"/>
        <v>0.20649299515615277</v>
      </c>
      <c r="AD70" s="129">
        <f t="shared" si="14"/>
        <v>0</v>
      </c>
      <c r="AE70" s="92">
        <f t="shared" si="15"/>
        <v>0.19168266509499293</v>
      </c>
      <c r="AF70" s="95">
        <f t="shared" si="16"/>
        <v>2.9822865311712313E-2</v>
      </c>
      <c r="AG70" s="95">
        <f t="shared" si="17"/>
        <v>5.1791018420117567E-2</v>
      </c>
      <c r="AH70" s="94">
        <f t="shared" si="18"/>
        <v>0.39230756847364562</v>
      </c>
      <c r="AI70" s="96">
        <f t="shared" si="19"/>
        <v>0.60769243152635444</v>
      </c>
    </row>
    <row r="71" spans="1:35">
      <c r="A71" s="29">
        <v>45444</v>
      </c>
      <c r="B71" s="26" t="str">
        <f t="shared" ref="B71:B91" si="20">YEAR(A71)&amp;"-B"&amp;INT((MONTH(A71)-1)/2)+1</f>
        <v>2024-B3</v>
      </c>
      <c r="C71" s="31">
        <v>271496.24671999901</v>
      </c>
      <c r="D71" s="31">
        <v>53184.341399999998</v>
      </c>
      <c r="E71" s="31"/>
      <c r="F71" s="31">
        <v>461418.57105000003</v>
      </c>
      <c r="G71" s="31">
        <v>3760993.7949999999</v>
      </c>
      <c r="H71" s="31"/>
      <c r="I71" s="31">
        <v>1314212.19435</v>
      </c>
      <c r="J71" s="31">
        <v>2580412.3653500001</v>
      </c>
      <c r="K71" s="31"/>
      <c r="L71" s="31">
        <v>29589.767820000001</v>
      </c>
      <c r="M71" s="31">
        <v>7844.8850000000002</v>
      </c>
      <c r="N71" s="31"/>
      <c r="O71" s="31">
        <v>2076716.7799399991</v>
      </c>
      <c r="P71" s="31"/>
      <c r="Q71" s="31">
        <v>1782613.0321800311</v>
      </c>
      <c r="R71" s="31"/>
      <c r="S71" s="36">
        <v>3859329.8121200302</v>
      </c>
      <c r="T71" s="12">
        <v>282200.42616999999</v>
      </c>
      <c r="U71" s="12">
        <v>144058.86037000001</v>
      </c>
      <c r="V71" s="12">
        <v>204488.78042999899</v>
      </c>
      <c r="Y71" s="91"/>
      <c r="Z71" s="91"/>
      <c r="AA71" s="91"/>
      <c r="AB71" s="91"/>
      <c r="AC71" s="92"/>
      <c r="AD71" s="92"/>
      <c r="AE71" s="92"/>
      <c r="AF71" s="91"/>
      <c r="AG71" s="91"/>
    </row>
    <row r="72" spans="1:35">
      <c r="A72" s="25">
        <v>45474</v>
      </c>
      <c r="B72" s="26" t="str">
        <f t="shared" si="20"/>
        <v>2024-B4</v>
      </c>
      <c r="C72" s="27">
        <v>273945.66089</v>
      </c>
      <c r="D72" s="27">
        <v>51912.83943</v>
      </c>
      <c r="E72" s="27"/>
      <c r="F72" s="27">
        <v>885885.19490999996</v>
      </c>
      <c r="G72" s="27">
        <v>8532368.5989999995</v>
      </c>
      <c r="H72" s="27"/>
      <c r="I72" s="27">
        <v>1338548.3252099999</v>
      </c>
      <c r="J72" s="27">
        <v>2633497.5085300002</v>
      </c>
      <c r="K72" s="27"/>
      <c r="L72" s="27">
        <v>46752.223180000001</v>
      </c>
      <c r="M72" s="27">
        <v>10948.906999999999</v>
      </c>
      <c r="N72" s="27"/>
      <c r="O72" s="27">
        <v>2545131.4041899997</v>
      </c>
      <c r="P72" s="27"/>
      <c r="Q72" s="27">
        <v>2073153.7670499603</v>
      </c>
      <c r="R72" s="27"/>
      <c r="S72" s="35">
        <v>4618285.17123996</v>
      </c>
      <c r="T72" s="10">
        <v>416363.0797</v>
      </c>
      <c r="U72" s="10">
        <v>154100.31031999999</v>
      </c>
      <c r="V72" s="10">
        <v>216369.61178999901</v>
      </c>
      <c r="Y72" s="91"/>
      <c r="Z72" s="91"/>
      <c r="AA72" s="91"/>
      <c r="AB72" s="91"/>
      <c r="AC72" s="92"/>
      <c r="AD72" s="92"/>
      <c r="AE72" s="92"/>
      <c r="AF72" s="91"/>
      <c r="AG72" s="91"/>
    </row>
    <row r="73" spans="1:35">
      <c r="A73" s="29">
        <v>45505</v>
      </c>
      <c r="B73" s="26" t="str">
        <f t="shared" si="20"/>
        <v>2024-B4</v>
      </c>
      <c r="C73" s="31">
        <v>305206.80856000102</v>
      </c>
      <c r="D73" s="31">
        <v>55868.404499999997</v>
      </c>
      <c r="E73" s="31"/>
      <c r="F73" s="31">
        <v>352621.23846999998</v>
      </c>
      <c r="G73" s="31">
        <v>3046320.3469199999</v>
      </c>
      <c r="H73" s="31"/>
      <c r="I73" s="31">
        <v>1292741.0292199999</v>
      </c>
      <c r="J73" s="31">
        <v>2730522.0994299999</v>
      </c>
      <c r="K73" s="31"/>
      <c r="L73" s="31">
        <v>61741.336869999999</v>
      </c>
      <c r="M73" s="31">
        <v>14897.387000000001</v>
      </c>
      <c r="N73" s="31"/>
      <c r="O73" s="31">
        <v>2012310.4131200009</v>
      </c>
      <c r="P73" s="31"/>
      <c r="Q73" s="31">
        <v>1833400.164560009</v>
      </c>
      <c r="R73" s="31"/>
      <c r="S73" s="36">
        <v>3845710.5776800099</v>
      </c>
      <c r="T73" s="12">
        <v>331497.26983</v>
      </c>
      <c r="U73" s="12">
        <v>152377.83467000001</v>
      </c>
      <c r="V73" s="12">
        <v>152906.27445999999</v>
      </c>
      <c r="Y73" s="91"/>
      <c r="Z73" s="91"/>
      <c r="AA73" s="91"/>
      <c r="AB73" s="91"/>
      <c r="AC73" s="92"/>
      <c r="AD73" s="92"/>
      <c r="AE73" s="92"/>
      <c r="AF73" s="91"/>
      <c r="AG73" s="91"/>
    </row>
    <row r="74" spans="1:35">
      <c r="A74" s="25">
        <v>45536</v>
      </c>
      <c r="B74" s="26" t="str">
        <f t="shared" si="20"/>
        <v>2024-B5</v>
      </c>
      <c r="C74" s="27">
        <v>268919.78429000097</v>
      </c>
      <c r="D74" s="27">
        <v>48180.565900000001</v>
      </c>
      <c r="E74" s="27"/>
      <c r="F74" s="27">
        <v>542754.90130000003</v>
      </c>
      <c r="G74" s="27">
        <v>4898272.6100000003</v>
      </c>
      <c r="H74" s="27"/>
      <c r="I74" s="27">
        <v>1187789.21047</v>
      </c>
      <c r="J74" s="27">
        <v>2782940.2747999998</v>
      </c>
      <c r="K74" s="27"/>
      <c r="L74" s="27">
        <v>52747.959329999998</v>
      </c>
      <c r="M74" s="27">
        <v>14215.751</v>
      </c>
      <c r="N74" s="27"/>
      <c r="O74" s="27">
        <v>2052211.8553900011</v>
      </c>
      <c r="P74" s="27"/>
      <c r="Q74" s="27">
        <v>2106480.0645599891</v>
      </c>
      <c r="R74" s="27"/>
      <c r="S74" s="35">
        <v>4158691.9199499902</v>
      </c>
      <c r="T74" s="10">
        <v>449429.69968000002</v>
      </c>
      <c r="U74" s="10">
        <v>127052.44331000101</v>
      </c>
      <c r="V74" s="10">
        <v>173478.156140001</v>
      </c>
      <c r="Y74" s="91"/>
      <c r="Z74" s="91"/>
      <c r="AA74" s="91"/>
      <c r="AB74" s="91"/>
      <c r="AC74" s="92"/>
      <c r="AD74" s="92"/>
      <c r="AE74" s="92"/>
      <c r="AF74" s="91"/>
      <c r="AG74" s="91"/>
    </row>
    <row r="75" spans="1:35">
      <c r="A75" s="29">
        <v>45566</v>
      </c>
      <c r="B75" s="26" t="str">
        <f t="shared" si="20"/>
        <v>2024-B5</v>
      </c>
      <c r="C75" s="31">
        <v>322942.52711999998</v>
      </c>
      <c r="D75" s="31">
        <v>55298.208120000003</v>
      </c>
      <c r="E75" s="31"/>
      <c r="F75" s="31">
        <v>460772.60177000001</v>
      </c>
      <c r="G75" s="31">
        <v>4448321.1370000001</v>
      </c>
      <c r="H75" s="31"/>
      <c r="I75" s="31">
        <v>1229592.6656200001</v>
      </c>
      <c r="J75" s="31">
        <v>2788262.06458</v>
      </c>
      <c r="K75" s="31"/>
      <c r="L75" s="31">
        <v>38221.587149999999</v>
      </c>
      <c r="M75" s="31">
        <v>10639.959000000001</v>
      </c>
      <c r="N75" s="31"/>
      <c r="O75" s="31">
        <v>2051529.3816600002</v>
      </c>
      <c r="P75" s="31"/>
      <c r="Q75" s="31">
        <v>2257606.7611299399</v>
      </c>
      <c r="R75" s="31"/>
      <c r="S75" s="36">
        <v>4309136.1427899403</v>
      </c>
      <c r="T75" s="12">
        <v>515368.41937000002</v>
      </c>
      <c r="U75" s="12">
        <v>171291.70465999999</v>
      </c>
      <c r="V75" s="12">
        <v>176824.98473</v>
      </c>
    </row>
    <row r="76" spans="1:35">
      <c r="A76" s="25">
        <v>45597</v>
      </c>
      <c r="B76" s="26" t="str">
        <f t="shared" si="20"/>
        <v>2024-B6</v>
      </c>
      <c r="C76" s="27">
        <v>313019.80302000005</v>
      </c>
      <c r="D76" s="27">
        <v>52613.609200000006</v>
      </c>
      <c r="E76" s="27"/>
      <c r="F76" s="27">
        <v>744904.77279000008</v>
      </c>
      <c r="G76" s="27">
        <v>6752440.3499999996</v>
      </c>
      <c r="H76" s="27"/>
      <c r="I76" s="27">
        <v>1101872.7377500001</v>
      </c>
      <c r="J76" s="27">
        <v>2556794.1146199997</v>
      </c>
      <c r="K76" s="27"/>
      <c r="L76" s="27">
        <v>33619.25763</v>
      </c>
      <c r="M76" s="27">
        <v>10046.592000000001</v>
      </c>
      <c r="N76" s="27"/>
      <c r="O76" s="27">
        <v>2193416.57119</v>
      </c>
      <c r="P76" s="27"/>
      <c r="Q76" s="27">
        <v>1932683.1122999964</v>
      </c>
      <c r="R76" s="27"/>
      <c r="S76" s="35">
        <v>4126099.6834899965</v>
      </c>
      <c r="T76" s="10">
        <v>421141.9340200001</v>
      </c>
      <c r="U76" s="10">
        <v>117688.52279999998</v>
      </c>
      <c r="V76" s="10">
        <v>174182.08826000002</v>
      </c>
    </row>
    <row r="77" spans="1:35">
      <c r="A77" s="29">
        <v>45627</v>
      </c>
      <c r="B77" s="26" t="str">
        <f t="shared" si="20"/>
        <v>2024-B6</v>
      </c>
      <c r="C77" s="31">
        <v>444055.02156999992</v>
      </c>
      <c r="D77" s="31">
        <v>72279.162200000006</v>
      </c>
      <c r="E77" s="31"/>
      <c r="F77" s="31">
        <v>577784.62490000005</v>
      </c>
      <c r="G77" s="31">
        <v>5353492.8770000003</v>
      </c>
      <c r="H77" s="31"/>
      <c r="I77" s="31">
        <v>1242552.2180999999</v>
      </c>
      <c r="J77" s="31">
        <v>2814536.29501</v>
      </c>
      <c r="K77" s="31"/>
      <c r="L77" s="31">
        <v>56038.110209999999</v>
      </c>
      <c r="M77" s="31">
        <v>15826.466</v>
      </c>
      <c r="N77" s="31"/>
      <c r="O77" s="31">
        <v>2320429.9747799998</v>
      </c>
      <c r="P77" s="31"/>
      <c r="Q77" s="31">
        <v>2160078.3733500252</v>
      </c>
      <c r="R77" s="31"/>
      <c r="S77" s="36">
        <v>4480508.348130025</v>
      </c>
      <c r="T77" s="12">
        <v>398510.23309000005</v>
      </c>
      <c r="U77" s="12">
        <v>141123.46172999972</v>
      </c>
      <c r="V77" s="12">
        <v>203156.91096999982</v>
      </c>
    </row>
    <row r="78" spans="1:35">
      <c r="A78" s="25">
        <v>45658</v>
      </c>
      <c r="B78" s="26" t="str">
        <f t="shared" si="20"/>
        <v>2025-B1</v>
      </c>
      <c r="C78" s="27">
        <v>462540.63731000002</v>
      </c>
      <c r="D78" s="27">
        <v>70084.620239999989</v>
      </c>
      <c r="E78" s="27"/>
      <c r="F78" s="27">
        <v>326872.74211999989</v>
      </c>
      <c r="G78" s="27">
        <v>2713459.89</v>
      </c>
      <c r="H78" s="27"/>
      <c r="I78" s="27">
        <v>1085979.10772</v>
      </c>
      <c r="J78" s="27">
        <v>2418874.62842</v>
      </c>
      <c r="K78" s="27"/>
      <c r="L78" s="27">
        <v>34880.504710000008</v>
      </c>
      <c r="M78" s="27">
        <v>10004.294</v>
      </c>
      <c r="N78" s="27"/>
      <c r="O78" s="27">
        <v>1910272.99186</v>
      </c>
      <c r="P78" s="27"/>
      <c r="Q78" s="27">
        <v>1866448.3624900263</v>
      </c>
      <c r="R78" s="27"/>
      <c r="S78" s="35">
        <v>3776721.3543500262</v>
      </c>
      <c r="T78" s="10">
        <v>341543.54308999999</v>
      </c>
      <c r="U78" s="10">
        <v>133508.12163999971</v>
      </c>
      <c r="V78" s="10">
        <v>192730.53167000008</v>
      </c>
    </row>
    <row r="79" spans="1:35">
      <c r="A79" s="29">
        <v>45689</v>
      </c>
      <c r="B79" s="26" t="str">
        <f t="shared" si="20"/>
        <v>2025-B1</v>
      </c>
      <c r="C79" s="31">
        <v>421801.26496000012</v>
      </c>
      <c r="D79" s="31">
        <v>59295.765799999994</v>
      </c>
      <c r="E79" s="31"/>
      <c r="F79" s="31">
        <v>466293.60572999995</v>
      </c>
      <c r="G79" s="31">
        <v>4197585.76</v>
      </c>
      <c r="H79" s="31"/>
      <c r="I79" s="31">
        <v>864700.08192999999</v>
      </c>
      <c r="J79" s="31">
        <v>1988492.60381</v>
      </c>
      <c r="K79" s="31"/>
      <c r="L79" s="31">
        <v>30348.528959999996</v>
      </c>
      <c r="M79" s="31">
        <v>9234.2829999999994</v>
      </c>
      <c r="N79" s="31"/>
      <c r="O79" s="31">
        <v>1783143.4815800001</v>
      </c>
      <c r="P79" s="31"/>
      <c r="Q79" s="31">
        <v>1997131.4583700194</v>
      </c>
      <c r="R79" s="31"/>
      <c r="S79" s="36">
        <v>3780274.9399500196</v>
      </c>
      <c r="T79" s="12">
        <v>343151.69792999997</v>
      </c>
      <c r="U79" s="12">
        <v>130711.23000999993</v>
      </c>
      <c r="V79" s="12">
        <v>235417.28650000005</v>
      </c>
    </row>
    <row r="80" spans="1:35">
      <c r="A80" s="25">
        <v>45717</v>
      </c>
      <c r="B80" s="26" t="str">
        <f t="shared" si="20"/>
        <v>2025-B2</v>
      </c>
      <c r="C80" s="27">
        <v>532665.78103999991</v>
      </c>
      <c r="D80" s="27">
        <v>70631.24059999999</v>
      </c>
      <c r="E80" s="27"/>
      <c r="F80" s="27">
        <v>231631.39382000003</v>
      </c>
      <c r="G80" s="27">
        <v>2123917.86</v>
      </c>
      <c r="H80" s="27"/>
      <c r="I80" s="27">
        <v>1459125.10038</v>
      </c>
      <c r="J80" s="27">
        <v>3230093.9966000002</v>
      </c>
      <c r="K80" s="27"/>
      <c r="L80" s="27">
        <v>41539.654759999998</v>
      </c>
      <c r="M80" s="27">
        <v>12108.609</v>
      </c>
      <c r="N80" s="27"/>
      <c r="O80" s="27">
        <v>2264961.9300000002</v>
      </c>
      <c r="P80" s="27"/>
      <c r="Q80" s="27">
        <v>2132859.5836299933</v>
      </c>
      <c r="R80" s="27"/>
      <c r="S80" s="35">
        <v>4397821.5136299934</v>
      </c>
      <c r="T80" s="10">
        <v>359021.70618000015</v>
      </c>
      <c r="U80" s="10">
        <v>157003.46963999988</v>
      </c>
      <c r="V80" s="10">
        <v>276007.18870000006</v>
      </c>
    </row>
    <row r="81" spans="1:22">
      <c r="A81" s="29">
        <v>45748</v>
      </c>
      <c r="B81" s="26" t="str">
        <f t="shared" si="20"/>
        <v>2025-B2</v>
      </c>
      <c r="C81" s="31">
        <v>464794.6308799999</v>
      </c>
      <c r="D81" s="31">
        <v>57000.63884</v>
      </c>
      <c r="E81" s="31"/>
      <c r="F81" s="31">
        <v>403672.72151</v>
      </c>
      <c r="G81" s="31">
        <v>3901759.0633999999</v>
      </c>
      <c r="H81" s="31"/>
      <c r="I81" s="31">
        <v>939851.62581000011</v>
      </c>
      <c r="J81" s="31">
        <v>2272389.5386499995</v>
      </c>
      <c r="K81" s="31"/>
      <c r="L81" s="31">
        <v>43875.60022</v>
      </c>
      <c r="M81" s="31">
        <v>13628.114</v>
      </c>
      <c r="N81" s="31"/>
      <c r="O81" s="31">
        <v>1852194.5784199999</v>
      </c>
      <c r="P81" s="31"/>
      <c r="Q81" s="31">
        <v>2267215.1437899964</v>
      </c>
      <c r="R81" s="31"/>
      <c r="S81" s="36">
        <v>4119409.7222099961</v>
      </c>
      <c r="T81" s="12">
        <v>367847.66971999977</v>
      </c>
      <c r="U81" s="12">
        <v>146621.59441000019</v>
      </c>
      <c r="V81" s="12">
        <v>198997.00408999971</v>
      </c>
    </row>
    <row r="82" spans="1:22">
      <c r="A82" s="25">
        <v>45778</v>
      </c>
      <c r="B82" s="26" t="str">
        <f t="shared" si="20"/>
        <v>2025-B3</v>
      </c>
      <c r="C82" s="27">
        <v>405926.38559000002</v>
      </c>
      <c r="D82" s="27">
        <v>49042.159</v>
      </c>
      <c r="E82" s="27"/>
      <c r="F82" s="27">
        <v>552905.20208000019</v>
      </c>
      <c r="G82" s="27">
        <v>6088401.5070000002</v>
      </c>
      <c r="H82" s="27"/>
      <c r="I82" s="27">
        <v>1063256.51602</v>
      </c>
      <c r="J82" s="27">
        <v>2631534.72083</v>
      </c>
      <c r="K82" s="27"/>
      <c r="L82" s="27">
        <v>37964.221600000004</v>
      </c>
      <c r="M82" s="27">
        <v>10751.295</v>
      </c>
      <c r="N82" s="27"/>
      <c r="O82" s="27">
        <v>2060052.3252900003</v>
      </c>
      <c r="P82" s="27"/>
      <c r="Q82" s="27">
        <v>2297351.2892900351</v>
      </c>
      <c r="R82" s="27"/>
      <c r="S82" s="35">
        <v>4357403.6145800352</v>
      </c>
      <c r="T82" s="10">
        <v>368401.09201999992</v>
      </c>
      <c r="U82" s="10">
        <v>142975.85809000014</v>
      </c>
      <c r="V82" s="10">
        <v>242333.44115999984</v>
      </c>
    </row>
    <row r="83" spans="1:22">
      <c r="A83" s="29">
        <v>45809</v>
      </c>
      <c r="B83" s="26" t="str">
        <f t="shared" si="20"/>
        <v>2025-B3</v>
      </c>
      <c r="C83" s="31">
        <v>397433.48473000014</v>
      </c>
      <c r="D83" s="31">
        <v>47423.8724</v>
      </c>
      <c r="E83" s="31"/>
      <c r="F83" s="31">
        <v>391290.38546000008</v>
      </c>
      <c r="G83" s="31">
        <v>4209221.4689999996</v>
      </c>
      <c r="H83" s="31"/>
      <c r="I83" s="31">
        <v>1076220.46551</v>
      </c>
      <c r="J83" s="31">
        <v>2472029.0310299997</v>
      </c>
      <c r="K83" s="31"/>
      <c r="L83" s="31">
        <v>40550.944239999997</v>
      </c>
      <c r="M83" s="31">
        <v>12415.245999999999</v>
      </c>
      <c r="N83" s="31"/>
      <c r="O83" s="31">
        <v>1905495.2799400003</v>
      </c>
      <c r="P83" s="31"/>
      <c r="Q83" s="31">
        <v>2052183.6265600082</v>
      </c>
      <c r="R83" s="31"/>
      <c r="S83" s="36">
        <v>3957678.9065000084</v>
      </c>
      <c r="T83" s="12">
        <v>322623.72156999999</v>
      </c>
      <c r="U83" s="12">
        <v>138182.1257499998</v>
      </c>
      <c r="V83" s="12">
        <v>270128.65669000003</v>
      </c>
    </row>
    <row r="84" spans="1:22">
      <c r="A84" s="25">
        <v>45839</v>
      </c>
      <c r="B84" s="26" t="str">
        <f t="shared" si="20"/>
        <v>2025-B4</v>
      </c>
      <c r="C84" s="27">
        <v>466636.26059000019</v>
      </c>
      <c r="D84" s="27">
        <v>57746.766300000003</v>
      </c>
      <c r="E84" s="27"/>
      <c r="F84" s="27">
        <v>479829.60063</v>
      </c>
      <c r="G84" s="27">
        <v>5155491.83</v>
      </c>
      <c r="H84" s="27"/>
      <c r="I84" s="27">
        <v>1106828.3186199998</v>
      </c>
      <c r="J84" s="27">
        <v>2627316.1200100002</v>
      </c>
      <c r="K84" s="27"/>
      <c r="L84" s="27">
        <v>40066.641950000005</v>
      </c>
      <c r="M84" s="27">
        <v>12666.656999999999</v>
      </c>
      <c r="N84" s="27"/>
      <c r="O84" s="27">
        <v>2093360.82179</v>
      </c>
      <c r="P84" s="27"/>
      <c r="Q84" s="27">
        <v>2334124.0046599754</v>
      </c>
      <c r="R84" s="27"/>
      <c r="S84" s="35">
        <v>4427484.8264499754</v>
      </c>
      <c r="T84" s="10">
        <v>414431.61196000018</v>
      </c>
      <c r="U84" s="10">
        <v>159691.11648999967</v>
      </c>
      <c r="V84" s="10">
        <v>162554.20526999992</v>
      </c>
    </row>
    <row r="85" spans="1:22">
      <c r="A85" s="29">
        <v>45870</v>
      </c>
      <c r="B85" s="26" t="str">
        <f t="shared" si="20"/>
        <v>2025-B4</v>
      </c>
      <c r="C85" s="31">
        <v>522891.59469000017</v>
      </c>
      <c r="D85" s="31">
        <v>69639.53823000002</v>
      </c>
      <c r="E85" s="31"/>
      <c r="F85" s="31">
        <v>224459.86784999998</v>
      </c>
      <c r="G85" s="31">
        <v>2159694.49792</v>
      </c>
      <c r="H85" s="31"/>
      <c r="I85" s="31">
        <v>989199.31073999987</v>
      </c>
      <c r="J85" s="31">
        <v>2345155.2439899999</v>
      </c>
      <c r="K85" s="31"/>
      <c r="L85" s="31">
        <v>41011.763209999997</v>
      </c>
      <c r="M85" s="31">
        <v>12527.255999999999</v>
      </c>
      <c r="N85" s="31"/>
      <c r="O85" s="31">
        <v>1777562.5364900001</v>
      </c>
      <c r="P85" s="31"/>
      <c r="Q85" s="31">
        <v>2093981.7331199872</v>
      </c>
      <c r="R85" s="31"/>
      <c r="S85" s="36">
        <v>3871544.2696099873</v>
      </c>
      <c r="T85" s="12">
        <v>324427.48394999997</v>
      </c>
      <c r="U85" s="12">
        <v>134339.59460000004</v>
      </c>
      <c r="V85" s="12">
        <v>152942.47957000005</v>
      </c>
    </row>
    <row r="86" spans="1:22">
      <c r="A86" s="25">
        <v>45901</v>
      </c>
      <c r="B86" s="26" t="str">
        <f t="shared" si="20"/>
        <v>2025-B5</v>
      </c>
      <c r="C86" s="27">
        <v>495053.12446000025</v>
      </c>
      <c r="D86" s="27">
        <v>65525.711200000005</v>
      </c>
      <c r="E86" s="27"/>
      <c r="F86" s="27">
        <v>538853.08730999997</v>
      </c>
      <c r="G86" s="27">
        <v>5545264.2560000001</v>
      </c>
      <c r="H86" s="27"/>
      <c r="I86" s="27">
        <v>1052582.9016499999</v>
      </c>
      <c r="J86" s="27">
        <v>2533371.5653000004</v>
      </c>
      <c r="K86" s="27"/>
      <c r="L86" s="27">
        <v>36310.160649999998</v>
      </c>
      <c r="M86" s="27">
        <v>11143.744000000001</v>
      </c>
      <c r="N86" s="27"/>
      <c r="O86" s="27">
        <v>2122799.2740699998</v>
      </c>
      <c r="P86" s="27"/>
      <c r="Q86" s="27">
        <v>2527534.627490018</v>
      </c>
      <c r="R86" s="27"/>
      <c r="S86" s="35">
        <v>4650333.9015600178</v>
      </c>
      <c r="T86" s="10">
        <v>450539.38559000002</v>
      </c>
      <c r="U86" s="10">
        <v>160913.87005000023</v>
      </c>
      <c r="V86" s="10">
        <v>159769.43716999993</v>
      </c>
    </row>
    <row r="87" spans="1:22">
      <c r="A87" s="29">
        <v>45931</v>
      </c>
      <c r="B87" s="26" t="str">
        <f t="shared" si="20"/>
        <v>2025-B5</v>
      </c>
      <c r="C87" s="31">
        <v>533991.48942999996</v>
      </c>
      <c r="D87" s="31">
        <v>65022.231580000007</v>
      </c>
      <c r="E87" s="31"/>
      <c r="F87" s="31">
        <v>429731.5685799999</v>
      </c>
      <c r="G87" s="31">
        <v>4990539.3931</v>
      </c>
      <c r="H87" s="31"/>
      <c r="I87" s="31">
        <v>956059.01555999985</v>
      </c>
      <c r="J87" s="31">
        <v>2485780.9049300002</v>
      </c>
      <c r="K87" s="31"/>
      <c r="L87" s="31">
        <v>41330.449599999993</v>
      </c>
      <c r="M87" s="31">
        <v>12327.51</v>
      </c>
      <c r="N87" s="31"/>
      <c r="O87" s="31">
        <v>1961112.5231699999</v>
      </c>
      <c r="P87" s="31"/>
      <c r="Q87" s="31">
        <v>2338037.3527100328</v>
      </c>
      <c r="R87" s="31"/>
      <c r="S87" s="36">
        <v>4299149.8758800328</v>
      </c>
      <c r="T87" s="12">
        <v>472569.19221000012</v>
      </c>
      <c r="U87" s="12">
        <v>168486.88238</v>
      </c>
      <c r="V87" s="12">
        <v>170607.01032000009</v>
      </c>
    </row>
    <row r="88" spans="1:22">
      <c r="A88" s="25">
        <v>45962</v>
      </c>
      <c r="B88" s="26" t="str">
        <f t="shared" si="20"/>
        <v>2025-B6</v>
      </c>
      <c r="C88" s="27">
        <v>578015.31342000002</v>
      </c>
      <c r="D88" s="27">
        <v>66535.986839999998</v>
      </c>
      <c r="E88" s="27"/>
      <c r="F88" s="27">
        <v>392027.55503000011</v>
      </c>
      <c r="G88" s="27">
        <v>4563389.8793000001</v>
      </c>
      <c r="H88" s="27"/>
      <c r="I88" s="27">
        <v>922544.12673999998</v>
      </c>
      <c r="J88" s="27">
        <v>2404117.8044300005</v>
      </c>
      <c r="K88" s="27"/>
      <c r="L88" s="27">
        <v>42570.867969999999</v>
      </c>
      <c r="M88" s="27">
        <v>13210.878000000001</v>
      </c>
      <c r="N88" s="27"/>
      <c r="O88" s="27">
        <v>1935157.8631600002</v>
      </c>
      <c r="P88" s="27"/>
      <c r="Q88" s="27">
        <v>2083334.7985900035</v>
      </c>
      <c r="R88" s="27"/>
      <c r="S88" s="35">
        <v>4018492.6617500037</v>
      </c>
      <c r="T88" s="10">
        <v>349733.05780999997</v>
      </c>
      <c r="U88" s="10">
        <v>139710.76509999976</v>
      </c>
      <c r="V88" s="10">
        <v>192810.29653000002</v>
      </c>
    </row>
    <row r="89" spans="1:22">
      <c r="A89" s="29">
        <v>45992</v>
      </c>
      <c r="B89" s="26" t="str">
        <f t="shared" si="20"/>
        <v>2025-B6</v>
      </c>
      <c r="C89" s="31">
        <v>506472.09618000017</v>
      </c>
      <c r="D89" s="31">
        <v>56340.590529999994</v>
      </c>
      <c r="E89" s="31"/>
      <c r="F89" s="31">
        <v>464023.6512100001</v>
      </c>
      <c r="G89" s="31">
        <v>5836771.3649599999</v>
      </c>
      <c r="H89" s="31"/>
      <c r="I89" s="31">
        <v>965558.61549</v>
      </c>
      <c r="J89" s="31">
        <v>2652968.7181100002</v>
      </c>
      <c r="K89" s="31"/>
      <c r="L89" s="31">
        <v>45028.101319999994</v>
      </c>
      <c r="M89" s="31">
        <v>14530.721</v>
      </c>
      <c r="N89" s="31"/>
      <c r="O89" s="31">
        <v>1981082.4642000003</v>
      </c>
      <c r="P89" s="31"/>
      <c r="Q89" s="31">
        <v>2564100.4727399899</v>
      </c>
      <c r="R89" s="31"/>
      <c r="S89" s="36">
        <v>4545182.9369399901</v>
      </c>
      <c r="T89" s="12">
        <v>740469.62424999988</v>
      </c>
      <c r="U89" s="12">
        <v>125342.35646000002</v>
      </c>
      <c r="V89" s="12">
        <v>185231.80613000022</v>
      </c>
    </row>
    <row r="90" spans="1:22">
      <c r="A90" s="25">
        <v>46023</v>
      </c>
      <c r="B90" s="26" t="str">
        <f t="shared" si="20"/>
        <v>2026-B1</v>
      </c>
      <c r="C90" s="27">
        <v>617460.22621000011</v>
      </c>
      <c r="D90" s="27">
        <v>70595.058799999999</v>
      </c>
      <c r="E90" s="27"/>
      <c r="F90" s="27">
        <v>363803.58838000003</v>
      </c>
      <c r="G90" s="27">
        <v>4205203.1194200004</v>
      </c>
      <c r="H90" s="27"/>
      <c r="I90" s="27">
        <v>980592.57254999992</v>
      </c>
      <c r="J90" s="27">
        <v>2603866.8544700001</v>
      </c>
      <c r="K90" s="27"/>
      <c r="L90" s="27">
        <v>0</v>
      </c>
      <c r="M90" s="27">
        <v>0</v>
      </c>
      <c r="N90" s="27"/>
      <c r="O90" s="27">
        <v>1961856.3871400002</v>
      </c>
      <c r="P90" s="27"/>
      <c r="Q90" s="27">
        <v>2296797.2976700002</v>
      </c>
      <c r="R90" s="27"/>
      <c r="S90" s="35">
        <v>4258653.6848100005</v>
      </c>
      <c r="T90" s="10">
        <v>706447.56460000039</v>
      </c>
      <c r="U90" s="10">
        <v>146268.15889999972</v>
      </c>
      <c r="V90" s="10">
        <v>186045.66903999998</v>
      </c>
    </row>
    <row r="91" spans="1:22">
      <c r="A91" s="25">
        <v>46054</v>
      </c>
      <c r="B91" s="26" t="str">
        <f t="shared" si="20"/>
        <v>2026-B1</v>
      </c>
      <c r="C91" s="27">
        <v>403772.83416000009</v>
      </c>
      <c r="D91" s="27">
        <v>46920.775289999998</v>
      </c>
      <c r="E91" s="27"/>
      <c r="F91" s="27">
        <v>378802.19111000001</v>
      </c>
      <c r="G91" s="27">
        <v>4143100.4706999999</v>
      </c>
      <c r="H91" s="27"/>
      <c r="I91" s="27">
        <v>869664.08510000003</v>
      </c>
      <c r="J91" s="27">
        <v>2245143.2574499999</v>
      </c>
      <c r="K91" s="27"/>
      <c r="L91" s="27"/>
      <c r="M91" s="27"/>
      <c r="N91" s="27"/>
      <c r="O91" s="27">
        <v>1652239.1103700001</v>
      </c>
      <c r="P91" s="27"/>
      <c r="Q91" s="27">
        <v>2559352.108219998</v>
      </c>
      <c r="R91" s="27"/>
      <c r="S91" s="35">
        <v>4211591.2185899979</v>
      </c>
      <c r="T91" s="21">
        <v>807289.0290699997</v>
      </c>
      <c r="U91" s="21">
        <v>125601.71765999983</v>
      </c>
      <c r="V91" s="21">
        <v>218122.59837999998</v>
      </c>
    </row>
    <row r="92" spans="1:22" ht="16" thickBot="1"/>
    <row r="93" spans="1:22" ht="16" thickBot="1">
      <c r="C93" s="147" t="s">
        <v>119</v>
      </c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37"/>
      <c r="Q93" s="142" t="s">
        <v>120</v>
      </c>
      <c r="R93" s="37"/>
      <c r="S93" s="144" t="s">
        <v>6</v>
      </c>
    </row>
    <row r="94" spans="1:22" ht="16" customHeight="1">
      <c r="C94" s="148" t="s">
        <v>129</v>
      </c>
      <c r="D94" s="148"/>
      <c r="E94" s="38"/>
      <c r="F94" s="148" t="s">
        <v>122</v>
      </c>
      <c r="G94" s="148"/>
      <c r="H94" s="39"/>
      <c r="I94" s="148" t="s">
        <v>123</v>
      </c>
      <c r="J94" s="148"/>
      <c r="K94" s="38"/>
      <c r="L94" s="148" t="s">
        <v>124</v>
      </c>
      <c r="M94" s="148"/>
      <c r="N94" s="38"/>
      <c r="O94" s="40" t="s">
        <v>125</v>
      </c>
      <c r="P94" s="41"/>
      <c r="Q94" s="143"/>
      <c r="R94" s="41"/>
      <c r="S94" s="145"/>
      <c r="T94" s="5"/>
    </row>
    <row r="95" spans="1:22" ht="53" thickBot="1">
      <c r="A95" t="s">
        <v>398</v>
      </c>
      <c r="B95" t="s">
        <v>399</v>
      </c>
      <c r="C95" s="43" t="s">
        <v>126</v>
      </c>
      <c r="D95" s="43" t="s">
        <v>127</v>
      </c>
      <c r="E95" s="43"/>
      <c r="F95" s="43" t="s">
        <v>126</v>
      </c>
      <c r="G95" s="43" t="s">
        <v>127</v>
      </c>
      <c r="H95" s="43"/>
      <c r="I95" s="43" t="s">
        <v>126</v>
      </c>
      <c r="J95" s="43" t="s">
        <v>127</v>
      </c>
      <c r="K95" s="43"/>
      <c r="L95" s="43" t="s">
        <v>126</v>
      </c>
      <c r="M95" s="43" t="s">
        <v>127</v>
      </c>
      <c r="N95" s="43"/>
      <c r="O95" s="43" t="s">
        <v>126</v>
      </c>
      <c r="P95" s="43"/>
      <c r="Q95" s="43" t="s">
        <v>126</v>
      </c>
      <c r="R95" s="44"/>
      <c r="S95" s="45" t="s">
        <v>126</v>
      </c>
      <c r="T95" s="6" t="s">
        <v>72</v>
      </c>
      <c r="U95" s="6" t="s">
        <v>43</v>
      </c>
      <c r="V95" s="6" t="s">
        <v>12</v>
      </c>
    </row>
    <row r="96" spans="1:22">
      <c r="A96">
        <v>2021</v>
      </c>
      <c r="B96" t="str">
        <f>A96&amp;"-B"&amp;MOD(ROW()-ROW($B$96),6)+1</f>
        <v>2021-B1</v>
      </c>
      <c r="C96" s="46">
        <f>SUMIF($B$30:$B$91,$B96,C$30:C$91)</f>
        <v>507812.57723000005</v>
      </c>
      <c r="D96" s="46">
        <f t="shared" ref="D96:V110" si="21">SUMIF($B$30:$B$91,$B96,D$30:D$91)</f>
        <v>132806.59360999998</v>
      </c>
      <c r="E96" s="46">
        <f t="shared" si="21"/>
        <v>0</v>
      </c>
      <c r="F96" s="46">
        <f t="shared" si="21"/>
        <v>696017.53833000001</v>
      </c>
      <c r="G96" s="46">
        <f t="shared" si="21"/>
        <v>11259816.125739999</v>
      </c>
      <c r="H96" s="46"/>
      <c r="I96" s="46">
        <f t="shared" si="21"/>
        <v>1737684.077</v>
      </c>
      <c r="J96" s="46">
        <f t="shared" si="21"/>
        <v>4753768.09332</v>
      </c>
      <c r="K96" s="46">
        <f t="shared" si="21"/>
        <v>0</v>
      </c>
      <c r="L96" s="46">
        <f t="shared" si="21"/>
        <v>62116.958839999999</v>
      </c>
      <c r="M96" s="46">
        <f t="shared" si="21"/>
        <v>14715.300999999999</v>
      </c>
      <c r="N96" s="46">
        <f t="shared" si="21"/>
        <v>0</v>
      </c>
      <c r="O96" s="46">
        <f t="shared" si="21"/>
        <v>3003631.1513999999</v>
      </c>
      <c r="P96" s="46">
        <f t="shared" si="21"/>
        <v>0</v>
      </c>
      <c r="Q96" s="46">
        <f t="shared" si="21"/>
        <v>2546299.387749997</v>
      </c>
      <c r="R96" s="46">
        <f t="shared" si="21"/>
        <v>0</v>
      </c>
      <c r="S96" s="46">
        <f t="shared" si="21"/>
        <v>5549930.5391499968</v>
      </c>
      <c r="T96" s="46">
        <f t="shared" si="21"/>
        <v>452244.42129999987</v>
      </c>
      <c r="U96" s="46">
        <f t="shared" si="21"/>
        <v>289830.98314000003</v>
      </c>
      <c r="V96" s="46">
        <f t="shared" si="21"/>
        <v>284667.00232000009</v>
      </c>
    </row>
    <row r="97" spans="1:22">
      <c r="A97">
        <v>2021</v>
      </c>
      <c r="B97" t="str">
        <f t="shared" ref="B97:B126" si="22">A97&amp;"-B"&amp;MOD(ROW()-ROW($B$96),6)+1</f>
        <v>2021-B2</v>
      </c>
      <c r="C97" s="46">
        <f t="shared" ref="C97:R126" si="23">SUMIF($B$30:$B$91,$B97,C$30:C$91)</f>
        <v>501357.47844000009</v>
      </c>
      <c r="D97" s="46">
        <f t="shared" si="23"/>
        <v>125777.18928999998</v>
      </c>
      <c r="E97" s="46">
        <f t="shared" si="23"/>
        <v>0</v>
      </c>
      <c r="F97" s="46">
        <f t="shared" si="23"/>
        <v>605760.54738999996</v>
      </c>
      <c r="G97" s="46">
        <f t="shared" si="23"/>
        <v>7560269.34956</v>
      </c>
      <c r="H97" s="46">
        <f t="shared" si="23"/>
        <v>0</v>
      </c>
      <c r="I97" s="46">
        <f t="shared" si="23"/>
        <v>1996922.4825799998</v>
      </c>
      <c r="J97" s="46">
        <f t="shared" si="23"/>
        <v>5040256.3410800006</v>
      </c>
      <c r="K97" s="46">
        <f t="shared" si="23"/>
        <v>0</v>
      </c>
      <c r="L97" s="46">
        <f t="shared" si="23"/>
        <v>61081.071160000007</v>
      </c>
      <c r="M97" s="46">
        <f t="shared" si="23"/>
        <v>12168.039000000001</v>
      </c>
      <c r="N97" s="46">
        <f t="shared" si="23"/>
        <v>0</v>
      </c>
      <c r="O97" s="46">
        <f t="shared" si="23"/>
        <v>3165121.5795700001</v>
      </c>
      <c r="P97" s="46">
        <f t="shared" si="23"/>
        <v>0</v>
      </c>
      <c r="Q97" s="46">
        <f t="shared" si="23"/>
        <v>3194804.8408700014</v>
      </c>
      <c r="R97" s="46">
        <f t="shared" si="23"/>
        <v>0</v>
      </c>
      <c r="S97" s="46">
        <f t="shared" si="21"/>
        <v>6359926.4204400014</v>
      </c>
      <c r="T97" s="46">
        <f t="shared" si="21"/>
        <v>551541.2143199998</v>
      </c>
      <c r="U97" s="46">
        <f t="shared" si="21"/>
        <v>317569.68439000042</v>
      </c>
      <c r="V97" s="46">
        <f t="shared" si="21"/>
        <v>351967.00388000021</v>
      </c>
    </row>
    <row r="98" spans="1:22">
      <c r="A98">
        <v>2021</v>
      </c>
      <c r="B98" t="str">
        <f t="shared" si="22"/>
        <v>2021-B3</v>
      </c>
      <c r="C98" s="46">
        <f t="shared" si="23"/>
        <v>224195.81079000002</v>
      </c>
      <c r="D98" s="46">
        <f t="shared" si="21"/>
        <v>53888.276610000001</v>
      </c>
      <c r="E98" s="46">
        <f t="shared" si="21"/>
        <v>0</v>
      </c>
      <c r="F98" s="46">
        <f t="shared" si="21"/>
        <v>751841.01343999989</v>
      </c>
      <c r="G98" s="46">
        <f t="shared" si="21"/>
        <v>10183046.922</v>
      </c>
      <c r="H98" s="46">
        <f t="shared" si="21"/>
        <v>0</v>
      </c>
      <c r="I98" s="46">
        <f t="shared" si="21"/>
        <v>2356585.2079600003</v>
      </c>
      <c r="J98" s="46">
        <f t="shared" si="21"/>
        <v>5404859.1961300001</v>
      </c>
      <c r="K98" s="46">
        <f t="shared" si="21"/>
        <v>0</v>
      </c>
      <c r="L98" s="46">
        <f t="shared" si="21"/>
        <v>64319.049279999999</v>
      </c>
      <c r="M98" s="46">
        <f t="shared" si="21"/>
        <v>14730.557000000001</v>
      </c>
      <c r="N98" s="46">
        <f t="shared" si="21"/>
        <v>0</v>
      </c>
      <c r="O98" s="46">
        <f t="shared" si="21"/>
        <v>3396941.0814699996</v>
      </c>
      <c r="P98" s="46">
        <f t="shared" si="21"/>
        <v>0</v>
      </c>
      <c r="Q98" s="46">
        <f t="shared" si="21"/>
        <v>2882187.9048599862</v>
      </c>
      <c r="R98" s="46">
        <f t="shared" si="21"/>
        <v>0</v>
      </c>
      <c r="S98" s="46">
        <f t="shared" si="21"/>
        <v>6279128.9863299858</v>
      </c>
      <c r="T98" s="46">
        <f t="shared" si="21"/>
        <v>588486.27496999968</v>
      </c>
      <c r="U98" s="46">
        <f t="shared" si="21"/>
        <v>306096.61570000008</v>
      </c>
      <c r="V98" s="46">
        <f t="shared" si="21"/>
        <v>343328.50541000004</v>
      </c>
    </row>
    <row r="99" spans="1:22">
      <c r="A99">
        <v>2021</v>
      </c>
      <c r="B99" t="str">
        <f t="shared" si="22"/>
        <v>2021-B4</v>
      </c>
      <c r="C99" s="46">
        <f t="shared" si="23"/>
        <v>614574.58299000002</v>
      </c>
      <c r="D99" s="46">
        <f t="shared" si="21"/>
        <v>137698.41870000001</v>
      </c>
      <c r="E99" s="46">
        <f t="shared" si="21"/>
        <v>0</v>
      </c>
      <c r="F99" s="46">
        <f t="shared" si="21"/>
        <v>899861.30116000003</v>
      </c>
      <c r="G99" s="46">
        <f t="shared" si="21"/>
        <v>9734309.0411599986</v>
      </c>
      <c r="H99" s="46">
        <f t="shared" si="21"/>
        <v>0</v>
      </c>
      <c r="I99" s="46">
        <f t="shared" si="21"/>
        <v>2026821.1883700001</v>
      </c>
      <c r="J99" s="46">
        <f t="shared" si="21"/>
        <v>4706819.7935300004</v>
      </c>
      <c r="K99" s="46">
        <f t="shared" si="21"/>
        <v>0</v>
      </c>
      <c r="L99" s="46">
        <f t="shared" si="21"/>
        <v>85789.431490000003</v>
      </c>
      <c r="M99" s="46">
        <f t="shared" si="21"/>
        <v>18278.108</v>
      </c>
      <c r="N99" s="46">
        <f t="shared" si="21"/>
        <v>0</v>
      </c>
      <c r="O99" s="46">
        <f t="shared" si="21"/>
        <v>3627046.5040100003</v>
      </c>
      <c r="P99" s="46">
        <f t="shared" si="21"/>
        <v>0</v>
      </c>
      <c r="Q99" s="46">
        <f t="shared" si="21"/>
        <v>3282254.2800999936</v>
      </c>
      <c r="R99" s="46">
        <f t="shared" si="21"/>
        <v>0</v>
      </c>
      <c r="S99" s="46">
        <f t="shared" si="21"/>
        <v>6909300.7841099929</v>
      </c>
      <c r="T99" s="46">
        <f t="shared" si="21"/>
        <v>539071.7724299999</v>
      </c>
      <c r="U99" s="46">
        <f t="shared" si="21"/>
        <v>351754.65127000003</v>
      </c>
      <c r="V99" s="46">
        <f t="shared" si="21"/>
        <v>221356.1849799999</v>
      </c>
    </row>
    <row r="100" spans="1:22">
      <c r="A100">
        <v>2021</v>
      </c>
      <c r="B100" t="str">
        <f t="shared" si="22"/>
        <v>2021-B5</v>
      </c>
      <c r="C100" s="46">
        <f t="shared" si="23"/>
        <v>574806.0054100001</v>
      </c>
      <c r="D100" s="46">
        <f t="shared" si="21"/>
        <v>114653.44771000001</v>
      </c>
      <c r="E100" s="46">
        <f t="shared" si="21"/>
        <v>0</v>
      </c>
      <c r="F100" s="46">
        <f t="shared" si="21"/>
        <v>1173531.05611</v>
      </c>
      <c r="G100" s="46">
        <f t="shared" si="21"/>
        <v>10031947.012</v>
      </c>
      <c r="H100" s="46">
        <f t="shared" si="21"/>
        <v>0</v>
      </c>
      <c r="I100" s="46">
        <f t="shared" si="21"/>
        <v>2566829.7409699997</v>
      </c>
      <c r="J100" s="46">
        <f t="shared" si="21"/>
        <v>5290333.4349800004</v>
      </c>
      <c r="K100" s="46">
        <f t="shared" si="21"/>
        <v>0</v>
      </c>
      <c r="L100" s="46">
        <f t="shared" si="21"/>
        <v>113293.41743999999</v>
      </c>
      <c r="M100" s="46">
        <f t="shared" si="21"/>
        <v>22524.743000000002</v>
      </c>
      <c r="N100" s="46">
        <f t="shared" si="21"/>
        <v>0</v>
      </c>
      <c r="O100" s="46">
        <f t="shared" si="21"/>
        <v>4428460.2199300006</v>
      </c>
      <c r="P100" s="46">
        <f t="shared" si="21"/>
        <v>0</v>
      </c>
      <c r="Q100" s="46">
        <f t="shared" si="21"/>
        <v>3162886.5970599828</v>
      </c>
      <c r="R100" s="46">
        <f t="shared" si="21"/>
        <v>0</v>
      </c>
      <c r="S100" s="46">
        <f t="shared" si="21"/>
        <v>7591346.8169899825</v>
      </c>
      <c r="T100" s="46">
        <f t="shared" si="21"/>
        <v>529960.41734999977</v>
      </c>
      <c r="U100" s="46">
        <f t="shared" si="21"/>
        <v>354382.10266000003</v>
      </c>
      <c r="V100" s="46">
        <f t="shared" si="21"/>
        <v>246885.8073800001</v>
      </c>
    </row>
    <row r="101" spans="1:22">
      <c r="A101">
        <v>2021</v>
      </c>
      <c r="B101" t="str">
        <f t="shared" si="22"/>
        <v>2021-B6</v>
      </c>
      <c r="C101" s="46">
        <f t="shared" si="23"/>
        <v>669091.78099000012</v>
      </c>
      <c r="D101" s="46">
        <f t="shared" si="21"/>
        <v>120249.38914000001</v>
      </c>
      <c r="E101" s="46">
        <f t="shared" si="21"/>
        <v>0</v>
      </c>
      <c r="F101" s="46">
        <f t="shared" si="21"/>
        <v>1525246.6669800002</v>
      </c>
      <c r="G101" s="46">
        <f t="shared" si="21"/>
        <v>10863404.614</v>
      </c>
      <c r="H101" s="46">
        <f t="shared" si="21"/>
        <v>0</v>
      </c>
      <c r="I101" s="46">
        <f t="shared" si="21"/>
        <v>2829567.8960600002</v>
      </c>
      <c r="J101" s="46">
        <f t="shared" si="21"/>
        <v>5847138.2825000007</v>
      </c>
      <c r="K101" s="46">
        <f t="shared" si="21"/>
        <v>0</v>
      </c>
      <c r="L101" s="46">
        <f t="shared" si="21"/>
        <v>141847.67120999997</v>
      </c>
      <c r="M101" s="46">
        <f t="shared" si="21"/>
        <v>26120.688999999998</v>
      </c>
      <c r="N101" s="46">
        <f t="shared" si="21"/>
        <v>0</v>
      </c>
      <c r="O101" s="46">
        <f t="shared" si="21"/>
        <v>5165754.0152400006</v>
      </c>
      <c r="P101" s="46">
        <f t="shared" si="21"/>
        <v>0</v>
      </c>
      <c r="Q101" s="46">
        <f t="shared" si="21"/>
        <v>3534601.5084900148</v>
      </c>
      <c r="R101" s="46">
        <f t="shared" si="21"/>
        <v>0</v>
      </c>
      <c r="S101" s="46">
        <f t="shared" si="21"/>
        <v>8700355.5237300154</v>
      </c>
      <c r="T101" s="46">
        <f t="shared" si="21"/>
        <v>684230.51491999999</v>
      </c>
      <c r="U101" s="46">
        <f t="shared" si="21"/>
        <v>363710.13254000008</v>
      </c>
      <c r="V101" s="46">
        <f t="shared" si="21"/>
        <v>307892.91472000023</v>
      </c>
    </row>
    <row r="102" spans="1:22">
      <c r="A102">
        <v>2022</v>
      </c>
      <c r="B102" t="str">
        <f t="shared" si="22"/>
        <v>2022-B1</v>
      </c>
      <c r="C102" s="46">
        <f t="shared" si="23"/>
        <v>691293.98711999995</v>
      </c>
      <c r="D102" s="46">
        <f t="shared" si="21"/>
        <v>113646.3444</v>
      </c>
      <c r="E102" s="46">
        <f t="shared" si="21"/>
        <v>0</v>
      </c>
      <c r="F102" s="46">
        <f t="shared" si="21"/>
        <v>1340401.7455199996</v>
      </c>
      <c r="G102" s="46">
        <f t="shared" si="21"/>
        <v>9298559.9070000015</v>
      </c>
      <c r="H102" s="46">
        <f t="shared" si="21"/>
        <v>0</v>
      </c>
      <c r="I102" s="46">
        <f t="shared" si="21"/>
        <v>2696034.3403500002</v>
      </c>
      <c r="J102" s="46">
        <f t="shared" si="21"/>
        <v>4863591.2816599999</v>
      </c>
      <c r="K102" s="46">
        <f t="shared" si="21"/>
        <v>0</v>
      </c>
      <c r="L102" s="46">
        <f t="shared" si="21"/>
        <v>118016.68408000001</v>
      </c>
      <c r="M102" s="46">
        <f t="shared" si="21"/>
        <v>21242.652000000002</v>
      </c>
      <c r="N102" s="46">
        <f t="shared" si="21"/>
        <v>0</v>
      </c>
      <c r="O102" s="46">
        <f t="shared" si="21"/>
        <v>4845746.7570700003</v>
      </c>
      <c r="P102" s="46">
        <f t="shared" si="21"/>
        <v>0</v>
      </c>
      <c r="Q102" s="46">
        <f t="shared" si="21"/>
        <v>3165060.3022199972</v>
      </c>
      <c r="R102" s="46">
        <f t="shared" si="21"/>
        <v>0</v>
      </c>
      <c r="S102" s="46">
        <f t="shared" si="21"/>
        <v>8010807.0592899974</v>
      </c>
      <c r="T102" s="46">
        <f t="shared" si="21"/>
        <v>459230.04971999989</v>
      </c>
      <c r="U102" s="46">
        <f t="shared" si="21"/>
        <v>342019.50461999979</v>
      </c>
      <c r="V102" s="46">
        <f t="shared" si="21"/>
        <v>401381.71811000025</v>
      </c>
    </row>
    <row r="103" spans="1:22">
      <c r="A103">
        <v>2022</v>
      </c>
      <c r="B103" t="str">
        <f t="shared" si="22"/>
        <v>2022-B2</v>
      </c>
      <c r="C103" s="46">
        <f t="shared" si="23"/>
        <v>714309.82749000017</v>
      </c>
      <c r="D103" s="46">
        <f t="shared" si="21"/>
        <v>110588.13528</v>
      </c>
      <c r="E103" s="46">
        <f t="shared" si="21"/>
        <v>0</v>
      </c>
      <c r="F103" s="46">
        <f t="shared" si="21"/>
        <v>1939356.0489600003</v>
      </c>
      <c r="G103" s="46">
        <f t="shared" si="21"/>
        <v>11525556.441</v>
      </c>
      <c r="H103" s="46">
        <f t="shared" si="21"/>
        <v>0</v>
      </c>
      <c r="I103" s="46">
        <f t="shared" si="21"/>
        <v>3784400.6542700003</v>
      </c>
      <c r="J103" s="46">
        <f t="shared" si="21"/>
        <v>5605120.5923500005</v>
      </c>
      <c r="K103" s="46">
        <f t="shared" si="21"/>
        <v>0</v>
      </c>
      <c r="L103" s="46">
        <f t="shared" si="21"/>
        <v>172432.19504999998</v>
      </c>
      <c r="M103" s="46">
        <f t="shared" si="21"/>
        <v>27869.112999999998</v>
      </c>
      <c r="N103" s="46">
        <f t="shared" si="21"/>
        <v>0</v>
      </c>
      <c r="O103" s="46">
        <f t="shared" si="21"/>
        <v>6610498.7257700004</v>
      </c>
      <c r="P103" s="46">
        <f t="shared" si="21"/>
        <v>0</v>
      </c>
      <c r="Q103" s="46">
        <f t="shared" si="21"/>
        <v>3630242.260609929</v>
      </c>
      <c r="R103" s="46">
        <f t="shared" si="21"/>
        <v>0</v>
      </c>
      <c r="S103" s="46">
        <f t="shared" si="21"/>
        <v>10240740.986379929</v>
      </c>
      <c r="T103" s="46">
        <f t="shared" si="21"/>
        <v>507050.15426999988</v>
      </c>
      <c r="U103" s="46">
        <f t="shared" si="21"/>
        <v>344912.66779999982</v>
      </c>
      <c r="V103" s="46">
        <f t="shared" si="21"/>
        <v>412393.23999999964</v>
      </c>
    </row>
    <row r="104" spans="1:22">
      <c r="A104">
        <v>2022</v>
      </c>
      <c r="B104" t="str">
        <f t="shared" si="22"/>
        <v>2022-B3</v>
      </c>
      <c r="C104" s="46">
        <f t="shared" si="23"/>
        <v>615320.14998000022</v>
      </c>
      <c r="D104" s="46">
        <f t="shared" si="21"/>
        <v>95354.643530000001</v>
      </c>
      <c r="E104" s="46">
        <f t="shared" si="21"/>
        <v>0</v>
      </c>
      <c r="F104" s="46">
        <f t="shared" si="21"/>
        <v>2050144.7238200004</v>
      </c>
      <c r="G104" s="46">
        <f t="shared" si="21"/>
        <v>9030601.7122200001</v>
      </c>
      <c r="H104" s="46">
        <f t="shared" si="21"/>
        <v>0</v>
      </c>
      <c r="I104" s="46">
        <f t="shared" si="21"/>
        <v>3569016.2760100001</v>
      </c>
      <c r="J104" s="46">
        <f t="shared" si="21"/>
        <v>5004768.4378599999</v>
      </c>
      <c r="K104" s="46">
        <f t="shared" si="21"/>
        <v>0</v>
      </c>
      <c r="L104" s="46">
        <f t="shared" si="21"/>
        <v>213845.57807000002</v>
      </c>
      <c r="M104" s="46">
        <f t="shared" si="21"/>
        <v>25277.921000000002</v>
      </c>
      <c r="N104" s="46">
        <f t="shared" si="21"/>
        <v>0</v>
      </c>
      <c r="O104" s="46">
        <f t="shared" si="21"/>
        <v>6448326.7278800011</v>
      </c>
      <c r="P104" s="46">
        <f t="shared" si="21"/>
        <v>0</v>
      </c>
      <c r="Q104" s="46">
        <f t="shared" si="21"/>
        <v>3711810.3180300291</v>
      </c>
      <c r="R104" s="46">
        <f t="shared" si="21"/>
        <v>0</v>
      </c>
      <c r="S104" s="46">
        <f t="shared" si="21"/>
        <v>10160137.045910031</v>
      </c>
      <c r="T104" s="46">
        <f t="shared" si="21"/>
        <v>476298.62337999989</v>
      </c>
      <c r="U104" s="46">
        <f t="shared" si="21"/>
        <v>328503.05896999955</v>
      </c>
      <c r="V104" s="46">
        <f t="shared" si="21"/>
        <v>428256.64364000037</v>
      </c>
    </row>
    <row r="105" spans="1:22">
      <c r="A105">
        <v>2022</v>
      </c>
      <c r="B105" t="str">
        <f t="shared" si="22"/>
        <v>2022-B4</v>
      </c>
      <c r="C105" s="46">
        <f t="shared" si="23"/>
        <v>687522.7808000003</v>
      </c>
      <c r="D105" s="46">
        <f t="shared" si="21"/>
        <v>105653.4256</v>
      </c>
      <c r="E105" s="46">
        <f t="shared" si="21"/>
        <v>0</v>
      </c>
      <c r="F105" s="46">
        <f t="shared" si="21"/>
        <v>2519031.5848000003</v>
      </c>
      <c r="G105" s="46">
        <f t="shared" si="21"/>
        <v>10623931.916999999</v>
      </c>
      <c r="H105" s="46">
        <f t="shared" si="21"/>
        <v>0</v>
      </c>
      <c r="I105" s="46">
        <f t="shared" si="21"/>
        <v>3355213.3614800004</v>
      </c>
      <c r="J105" s="46">
        <f t="shared" si="21"/>
        <v>5255407.8758300003</v>
      </c>
      <c r="K105" s="46">
        <f t="shared" si="21"/>
        <v>0</v>
      </c>
      <c r="L105" s="46">
        <f t="shared" si="21"/>
        <v>159273.24765</v>
      </c>
      <c r="M105" s="46">
        <f t="shared" si="21"/>
        <v>21948.579000000002</v>
      </c>
      <c r="N105" s="46">
        <f t="shared" si="21"/>
        <v>0</v>
      </c>
      <c r="O105" s="46">
        <f t="shared" si="21"/>
        <v>6721040.9747300008</v>
      </c>
      <c r="P105" s="46">
        <f t="shared" si="21"/>
        <v>0</v>
      </c>
      <c r="Q105" s="46">
        <f t="shared" si="21"/>
        <v>3581377.4700200204</v>
      </c>
      <c r="R105" s="46">
        <f t="shared" si="21"/>
        <v>0</v>
      </c>
      <c r="S105" s="46">
        <f t="shared" si="21"/>
        <v>10302418.444750022</v>
      </c>
      <c r="T105" s="46">
        <f t="shared" si="21"/>
        <v>580357.42806999991</v>
      </c>
      <c r="U105" s="46">
        <f t="shared" si="21"/>
        <v>416199.46937999915</v>
      </c>
      <c r="V105" s="46">
        <f t="shared" si="21"/>
        <v>288998.97893999977</v>
      </c>
    </row>
    <row r="106" spans="1:22">
      <c r="A106">
        <v>2022</v>
      </c>
      <c r="B106" t="str">
        <f t="shared" si="22"/>
        <v>2022-B5</v>
      </c>
      <c r="C106" s="46">
        <f t="shared" si="23"/>
        <v>635969.14152000006</v>
      </c>
      <c r="D106" s="46">
        <f t="shared" si="21"/>
        <v>96391.284400000004</v>
      </c>
      <c r="E106" s="46">
        <f t="shared" si="21"/>
        <v>0</v>
      </c>
      <c r="F106" s="46">
        <f t="shared" si="21"/>
        <v>2223926.26462</v>
      </c>
      <c r="G106" s="46">
        <f t="shared" si="21"/>
        <v>10051192.919</v>
      </c>
      <c r="H106" s="46">
        <f t="shared" si="21"/>
        <v>0</v>
      </c>
      <c r="I106" s="46">
        <f t="shared" si="21"/>
        <v>2545221.0167199997</v>
      </c>
      <c r="J106" s="46">
        <f t="shared" si="21"/>
        <v>4806690.7857499998</v>
      </c>
      <c r="K106" s="46">
        <f t="shared" si="21"/>
        <v>0</v>
      </c>
      <c r="L106" s="46">
        <f t="shared" si="21"/>
        <v>128654.4276</v>
      </c>
      <c r="M106" s="46">
        <f t="shared" si="21"/>
        <v>24025.351999999999</v>
      </c>
      <c r="N106" s="46">
        <f t="shared" si="21"/>
        <v>0</v>
      </c>
      <c r="O106" s="46">
        <f t="shared" si="21"/>
        <v>5533770.8504600003</v>
      </c>
      <c r="P106" s="46">
        <f t="shared" si="21"/>
        <v>0</v>
      </c>
      <c r="Q106" s="46">
        <f t="shared" si="21"/>
        <v>3457931.003909999</v>
      </c>
      <c r="R106" s="46">
        <f t="shared" si="21"/>
        <v>0</v>
      </c>
      <c r="S106" s="46">
        <f t="shared" si="21"/>
        <v>8991701.854369998</v>
      </c>
      <c r="T106" s="46">
        <f t="shared" si="21"/>
        <v>541876.8987100001</v>
      </c>
      <c r="U106" s="46">
        <f t="shared" si="21"/>
        <v>304693.75772999995</v>
      </c>
      <c r="V106" s="46">
        <f t="shared" si="21"/>
        <v>269468.15074999991</v>
      </c>
    </row>
    <row r="107" spans="1:22">
      <c r="A107">
        <v>2022</v>
      </c>
      <c r="B107" t="str">
        <f t="shared" si="22"/>
        <v>2022-B6</v>
      </c>
      <c r="C107" s="46">
        <f t="shared" si="23"/>
        <v>617903.75603999989</v>
      </c>
      <c r="D107" s="46">
        <f t="shared" si="21"/>
        <v>103173.8394</v>
      </c>
      <c r="E107" s="46">
        <f t="shared" si="21"/>
        <v>0</v>
      </c>
      <c r="F107" s="46">
        <f t="shared" si="21"/>
        <v>2215966.5287800003</v>
      </c>
      <c r="G107" s="46">
        <f t="shared" si="21"/>
        <v>10405186.885600001</v>
      </c>
      <c r="H107" s="46">
        <f t="shared" si="21"/>
        <v>0</v>
      </c>
      <c r="I107" s="46">
        <f t="shared" si="21"/>
        <v>2774148.3544600001</v>
      </c>
      <c r="J107" s="46">
        <f t="shared" si="21"/>
        <v>5598196.1482699998</v>
      </c>
      <c r="K107" s="46">
        <f t="shared" si="21"/>
        <v>0</v>
      </c>
      <c r="L107" s="46">
        <f t="shared" si="21"/>
        <v>116215.39600999998</v>
      </c>
      <c r="M107" s="46">
        <f t="shared" si="21"/>
        <v>23644.946</v>
      </c>
      <c r="N107" s="46">
        <f t="shared" si="21"/>
        <v>0</v>
      </c>
      <c r="O107" s="46">
        <f t="shared" si="21"/>
        <v>5724234.035290001</v>
      </c>
      <c r="P107" s="46">
        <f t="shared" si="21"/>
        <v>0</v>
      </c>
      <c r="Q107" s="46">
        <f t="shared" si="21"/>
        <v>3480097.2217299989</v>
      </c>
      <c r="R107" s="46">
        <f t="shared" si="21"/>
        <v>0</v>
      </c>
      <c r="S107" s="46">
        <f t="shared" si="21"/>
        <v>9204331.2570200004</v>
      </c>
      <c r="T107" s="46">
        <f t="shared" si="21"/>
        <v>582533.3399100001</v>
      </c>
      <c r="U107" s="46">
        <f t="shared" si="21"/>
        <v>263336.50604000001</v>
      </c>
      <c r="V107" s="46">
        <f t="shared" si="21"/>
        <v>282341.11377999996</v>
      </c>
    </row>
    <row r="108" spans="1:22">
      <c r="A108">
        <v>2023</v>
      </c>
      <c r="B108" t="str">
        <f t="shared" si="22"/>
        <v>2023-B1</v>
      </c>
      <c r="C108" s="46">
        <f t="shared" si="23"/>
        <v>491455.71988999983</v>
      </c>
      <c r="D108" s="46">
        <f t="shared" si="21"/>
        <v>94952.517320000014</v>
      </c>
      <c r="E108" s="46">
        <f t="shared" si="21"/>
        <v>0</v>
      </c>
      <c r="F108" s="46">
        <f t="shared" si="21"/>
        <v>1896733.1862499998</v>
      </c>
      <c r="G108" s="46">
        <f t="shared" si="21"/>
        <v>9089205.4316000007</v>
      </c>
      <c r="H108" s="46">
        <f t="shared" si="21"/>
        <v>0</v>
      </c>
      <c r="I108" s="46">
        <f t="shared" si="21"/>
        <v>2363396.7524300003</v>
      </c>
      <c r="J108" s="46">
        <f t="shared" si="21"/>
        <v>5231517.9680400006</v>
      </c>
      <c r="K108" s="46">
        <f t="shared" si="21"/>
        <v>0</v>
      </c>
      <c r="L108" s="46">
        <f t="shared" si="21"/>
        <v>142642.64579000001</v>
      </c>
      <c r="M108" s="46">
        <f t="shared" si="21"/>
        <v>24576.002</v>
      </c>
      <c r="N108" s="46">
        <f t="shared" si="21"/>
        <v>0</v>
      </c>
      <c r="O108" s="46">
        <f t="shared" si="21"/>
        <v>4894228.3043600004</v>
      </c>
      <c r="P108" s="46">
        <f t="shared" si="21"/>
        <v>0</v>
      </c>
      <c r="Q108" s="46">
        <f t="shared" si="21"/>
        <v>3077659.0142500009</v>
      </c>
      <c r="R108" s="46">
        <f t="shared" si="21"/>
        <v>0</v>
      </c>
      <c r="S108" s="46">
        <f t="shared" si="21"/>
        <v>7971887.3186100014</v>
      </c>
      <c r="T108" s="46">
        <f t="shared" si="21"/>
        <v>528085.40235000011</v>
      </c>
      <c r="U108" s="46">
        <f t="shared" si="21"/>
        <v>228320.89570000023</v>
      </c>
      <c r="V108" s="46">
        <f t="shared" si="21"/>
        <v>384541.37115000014</v>
      </c>
    </row>
    <row r="109" spans="1:22">
      <c r="A109">
        <v>2023</v>
      </c>
      <c r="B109" t="str">
        <f t="shared" si="22"/>
        <v>2023-B2</v>
      </c>
      <c r="C109" s="46">
        <f t="shared" si="23"/>
        <v>482739.05560999992</v>
      </c>
      <c r="D109" s="46">
        <f t="shared" si="21"/>
        <v>92652.735459999996</v>
      </c>
      <c r="E109" s="46">
        <f t="shared" si="21"/>
        <v>0</v>
      </c>
      <c r="F109" s="46">
        <f t="shared" si="21"/>
        <v>1502379.0688299998</v>
      </c>
      <c r="G109" s="46">
        <f t="shared" si="21"/>
        <v>8116429.3509999998</v>
      </c>
      <c r="H109" s="46">
        <f t="shared" si="21"/>
        <v>0</v>
      </c>
      <c r="I109" s="46">
        <f t="shared" si="21"/>
        <v>2492443.6253599999</v>
      </c>
      <c r="J109" s="46">
        <f t="shared" si="21"/>
        <v>5517495.4476699997</v>
      </c>
      <c r="K109" s="46">
        <f t="shared" si="21"/>
        <v>0</v>
      </c>
      <c r="L109" s="46">
        <f t="shared" si="21"/>
        <v>110269.70316999999</v>
      </c>
      <c r="M109" s="46">
        <f t="shared" si="21"/>
        <v>19748.178</v>
      </c>
      <c r="N109" s="46">
        <f t="shared" si="21"/>
        <v>0</v>
      </c>
      <c r="O109" s="46">
        <f t="shared" si="21"/>
        <v>4587831.45297</v>
      </c>
      <c r="P109" s="46">
        <f t="shared" si="21"/>
        <v>0</v>
      </c>
      <c r="Q109" s="46">
        <f t="shared" si="21"/>
        <v>3616754.0326699959</v>
      </c>
      <c r="R109" s="46">
        <f t="shared" si="21"/>
        <v>0</v>
      </c>
      <c r="S109" s="46">
        <f t="shared" si="21"/>
        <v>8204585.4856399959</v>
      </c>
      <c r="T109" s="46">
        <f t="shared" si="21"/>
        <v>578041.13610999996</v>
      </c>
      <c r="U109" s="46">
        <f t="shared" si="21"/>
        <v>258634.96588000015</v>
      </c>
      <c r="V109" s="46">
        <f t="shared" si="21"/>
        <v>362357.54314999981</v>
      </c>
    </row>
    <row r="110" spans="1:22">
      <c r="A110">
        <v>2023</v>
      </c>
      <c r="B110" t="str">
        <f t="shared" si="22"/>
        <v>2023-B3</v>
      </c>
      <c r="C110" s="46">
        <f t="shared" si="23"/>
        <v>453826.22034999984</v>
      </c>
      <c r="D110" s="46">
        <f t="shared" si="21"/>
        <v>85753.202450000012</v>
      </c>
      <c r="E110" s="46">
        <f t="shared" si="21"/>
        <v>0</v>
      </c>
      <c r="F110" s="46">
        <f t="shared" si="21"/>
        <v>1692357.68673</v>
      </c>
      <c r="G110" s="46">
        <f t="shared" si="21"/>
        <v>10844944.819909999</v>
      </c>
      <c r="H110" s="46">
        <f t="shared" ref="D110:V123" si="24">SUMIF($B$30:$B$91,$B110,H$30:H$91)</f>
        <v>0</v>
      </c>
      <c r="I110" s="46">
        <f t="shared" si="24"/>
        <v>2380186.9942699997</v>
      </c>
      <c r="J110" s="46">
        <f t="shared" si="24"/>
        <v>5450787.31831</v>
      </c>
      <c r="K110" s="46">
        <f t="shared" si="24"/>
        <v>0</v>
      </c>
      <c r="L110" s="46">
        <f t="shared" si="24"/>
        <v>129979.92736000002</v>
      </c>
      <c r="M110" s="46">
        <f t="shared" si="24"/>
        <v>28113.844000000001</v>
      </c>
      <c r="N110" s="46">
        <f t="shared" si="24"/>
        <v>0</v>
      </c>
      <c r="O110" s="46">
        <f t="shared" si="24"/>
        <v>4656350.82871</v>
      </c>
      <c r="P110" s="46">
        <f t="shared" si="24"/>
        <v>0</v>
      </c>
      <c r="Q110" s="46">
        <f t="shared" si="24"/>
        <v>3862930.7929000184</v>
      </c>
      <c r="R110" s="46">
        <f t="shared" si="24"/>
        <v>0</v>
      </c>
      <c r="S110" s="46">
        <f t="shared" si="24"/>
        <v>8519281.6216100194</v>
      </c>
      <c r="T110" s="46">
        <f t="shared" si="24"/>
        <v>620158.98867999995</v>
      </c>
      <c r="U110" s="46">
        <f t="shared" si="24"/>
        <v>258623.61994999982</v>
      </c>
      <c r="V110" s="46">
        <f t="shared" si="24"/>
        <v>400422.3921699996</v>
      </c>
    </row>
    <row r="111" spans="1:22">
      <c r="A111">
        <v>2023</v>
      </c>
      <c r="B111" t="str">
        <f t="shared" si="22"/>
        <v>2023-B4</v>
      </c>
      <c r="C111" s="46">
        <f t="shared" si="23"/>
        <v>430774.9950800002</v>
      </c>
      <c r="D111" s="46">
        <f t="shared" si="24"/>
        <v>88993.043269999995</v>
      </c>
      <c r="E111" s="46">
        <f t="shared" si="24"/>
        <v>0</v>
      </c>
      <c r="F111" s="46">
        <f t="shared" si="24"/>
        <v>1162729.8178599998</v>
      </c>
      <c r="G111" s="46">
        <f t="shared" si="24"/>
        <v>8608218.4189999998</v>
      </c>
      <c r="H111" s="46">
        <f t="shared" si="24"/>
        <v>0</v>
      </c>
      <c r="I111" s="46">
        <f t="shared" si="24"/>
        <v>2867225.6772599998</v>
      </c>
      <c r="J111" s="46">
        <f t="shared" si="24"/>
        <v>5652393.4017299991</v>
      </c>
      <c r="K111" s="46">
        <f t="shared" si="24"/>
        <v>0</v>
      </c>
      <c r="L111" s="46">
        <f t="shared" si="24"/>
        <v>117605.87753999999</v>
      </c>
      <c r="M111" s="46">
        <f t="shared" si="24"/>
        <v>29157.912</v>
      </c>
      <c r="N111" s="46">
        <f t="shared" si="24"/>
        <v>0</v>
      </c>
      <c r="O111" s="46">
        <f t="shared" si="24"/>
        <v>4578336.3677399997</v>
      </c>
      <c r="P111" s="46">
        <f t="shared" si="24"/>
        <v>0</v>
      </c>
      <c r="Q111" s="46">
        <f t="shared" si="24"/>
        <v>3532800.3010799824</v>
      </c>
      <c r="R111" s="46">
        <f t="shared" si="24"/>
        <v>0</v>
      </c>
      <c r="S111" s="46">
        <f t="shared" si="24"/>
        <v>8111136.6688199826</v>
      </c>
      <c r="T111" s="46">
        <f t="shared" si="24"/>
        <v>620580.12046000012</v>
      </c>
      <c r="U111" s="46">
        <f t="shared" si="24"/>
        <v>251406.26406999989</v>
      </c>
      <c r="V111" s="46">
        <f t="shared" si="24"/>
        <v>348898.43531000009</v>
      </c>
    </row>
    <row r="112" spans="1:22">
      <c r="A112">
        <v>2023</v>
      </c>
      <c r="B112" t="str">
        <f t="shared" si="22"/>
        <v>2023-B5</v>
      </c>
      <c r="C112" s="46">
        <f t="shared" si="23"/>
        <v>399271.44453000004</v>
      </c>
      <c r="D112" s="46">
        <f t="shared" si="24"/>
        <v>90522.051259999993</v>
      </c>
      <c r="E112" s="46">
        <f t="shared" si="24"/>
        <v>0</v>
      </c>
      <c r="F112" s="46">
        <f t="shared" si="24"/>
        <v>1274990.29033</v>
      </c>
      <c r="G112" s="46">
        <f t="shared" si="24"/>
        <v>9816514.1290000007</v>
      </c>
      <c r="H112" s="46">
        <f t="shared" si="24"/>
        <v>0</v>
      </c>
      <c r="I112" s="46">
        <f t="shared" si="24"/>
        <v>3057677.4409600003</v>
      </c>
      <c r="J112" s="46">
        <f t="shared" si="24"/>
        <v>5448152.3487900002</v>
      </c>
      <c r="K112" s="46">
        <f t="shared" si="24"/>
        <v>0</v>
      </c>
      <c r="L112" s="46">
        <f t="shared" si="24"/>
        <v>57102.96228</v>
      </c>
      <c r="M112" s="46">
        <f t="shared" si="24"/>
        <v>21125.004000000001</v>
      </c>
      <c r="N112" s="46">
        <f t="shared" si="24"/>
        <v>0</v>
      </c>
      <c r="O112" s="46">
        <f t="shared" si="24"/>
        <v>4789042.1381000001</v>
      </c>
      <c r="P112" s="46">
        <f t="shared" si="24"/>
        <v>0</v>
      </c>
      <c r="Q112" s="46">
        <f t="shared" si="24"/>
        <v>3530825.7393099908</v>
      </c>
      <c r="R112" s="46">
        <f t="shared" si="24"/>
        <v>0</v>
      </c>
      <c r="S112" s="46">
        <f t="shared" si="24"/>
        <v>8319867.8774099909</v>
      </c>
      <c r="T112" s="46">
        <f t="shared" si="24"/>
        <v>602406.95613999991</v>
      </c>
      <c r="U112" s="46">
        <f t="shared" si="24"/>
        <v>284973.23193999991</v>
      </c>
      <c r="V112" s="46">
        <f t="shared" si="24"/>
        <v>282922.54576999997</v>
      </c>
    </row>
    <row r="113" spans="1:22">
      <c r="A113">
        <v>2023</v>
      </c>
      <c r="B113" t="str">
        <f t="shared" si="22"/>
        <v>2023-B6</v>
      </c>
      <c r="C113" s="46">
        <f t="shared" si="23"/>
        <v>533882.07992999977</v>
      </c>
      <c r="D113" s="46">
        <f t="shared" si="24"/>
        <v>122929.97560999999</v>
      </c>
      <c r="E113" s="46">
        <f t="shared" si="24"/>
        <v>0</v>
      </c>
      <c r="F113" s="46">
        <f t="shared" si="24"/>
        <v>1634074.5056200009</v>
      </c>
      <c r="G113" s="46">
        <f t="shared" si="24"/>
        <v>13819511.761779999</v>
      </c>
      <c r="H113" s="46">
        <f t="shared" si="24"/>
        <v>0</v>
      </c>
      <c r="I113" s="46">
        <f t="shared" si="24"/>
        <v>2675424.7133200001</v>
      </c>
      <c r="J113" s="46">
        <f t="shared" si="24"/>
        <v>5533770.6006300002</v>
      </c>
      <c r="K113" s="46">
        <f t="shared" si="24"/>
        <v>0</v>
      </c>
      <c r="L113" s="46">
        <f t="shared" si="24"/>
        <v>79735.505509999988</v>
      </c>
      <c r="M113" s="46">
        <f t="shared" si="24"/>
        <v>23705.150999999998</v>
      </c>
      <c r="N113" s="46">
        <f t="shared" si="24"/>
        <v>0</v>
      </c>
      <c r="O113" s="46">
        <f t="shared" si="24"/>
        <v>4923116.8043800015</v>
      </c>
      <c r="P113" s="46">
        <f t="shared" si="24"/>
        <v>0</v>
      </c>
      <c r="Q113" s="46">
        <f t="shared" si="24"/>
        <v>3719250.5411000219</v>
      </c>
      <c r="R113" s="46">
        <f t="shared" si="24"/>
        <v>0</v>
      </c>
      <c r="S113" s="46">
        <f t="shared" si="24"/>
        <v>8642367.345480023</v>
      </c>
      <c r="T113" s="46">
        <f t="shared" si="24"/>
        <v>673036.14008000016</v>
      </c>
      <c r="U113" s="46">
        <f t="shared" si="24"/>
        <v>269496.96818000014</v>
      </c>
      <c r="V113" s="46">
        <f t="shared" si="24"/>
        <v>336007.65424999979</v>
      </c>
    </row>
    <row r="114" spans="1:22">
      <c r="A114">
        <v>2024</v>
      </c>
      <c r="B114" t="str">
        <f t="shared" si="22"/>
        <v>2024-B1</v>
      </c>
      <c r="C114" s="46">
        <f t="shared" si="23"/>
        <v>468600.13452999998</v>
      </c>
      <c r="D114" s="46">
        <f t="shared" si="24"/>
        <v>103893.50739</v>
      </c>
      <c r="E114" s="46">
        <f t="shared" si="24"/>
        <v>0</v>
      </c>
      <c r="F114" s="46">
        <f t="shared" si="24"/>
        <v>1279500.8414799999</v>
      </c>
      <c r="G114" s="46">
        <f t="shared" si="24"/>
        <v>10253172.922389999</v>
      </c>
      <c r="H114" s="46">
        <f t="shared" si="24"/>
        <v>0</v>
      </c>
      <c r="I114" s="46">
        <f t="shared" si="24"/>
        <v>2179394.5470399996</v>
      </c>
      <c r="J114" s="46">
        <f t="shared" si="24"/>
        <v>4659016.2360200007</v>
      </c>
      <c r="K114" s="46">
        <f t="shared" si="24"/>
        <v>0</v>
      </c>
      <c r="L114" s="46">
        <f t="shared" si="24"/>
        <v>71027.929399999994</v>
      </c>
      <c r="M114" s="46">
        <f t="shared" si="24"/>
        <v>23440.535</v>
      </c>
      <c r="N114" s="46">
        <f t="shared" si="24"/>
        <v>0</v>
      </c>
      <c r="O114" s="46">
        <f t="shared" si="24"/>
        <v>3998523.4524499997</v>
      </c>
      <c r="P114" s="46">
        <f t="shared" si="24"/>
        <v>0</v>
      </c>
      <c r="Q114" s="46">
        <f t="shared" si="24"/>
        <v>3433551.6031899396</v>
      </c>
      <c r="R114" s="46">
        <f t="shared" si="24"/>
        <v>0</v>
      </c>
      <c r="S114" s="46">
        <f t="shared" si="24"/>
        <v>7432075.0556399394</v>
      </c>
      <c r="T114" s="46">
        <f t="shared" si="24"/>
        <v>527458.19296999997</v>
      </c>
      <c r="U114" s="46">
        <f t="shared" si="24"/>
        <v>255122.23148000002</v>
      </c>
      <c r="V114" s="46">
        <f t="shared" si="24"/>
        <v>423300.895759999</v>
      </c>
    </row>
    <row r="115" spans="1:22">
      <c r="A115">
        <v>2024</v>
      </c>
      <c r="B115" t="str">
        <f t="shared" si="22"/>
        <v>2024-B2</v>
      </c>
      <c r="C115" s="46">
        <f t="shared" si="23"/>
        <v>473081.60803</v>
      </c>
      <c r="D115" s="46">
        <f t="shared" si="24"/>
        <v>103101.91351</v>
      </c>
      <c r="E115" s="46">
        <f t="shared" si="24"/>
        <v>0</v>
      </c>
      <c r="F115" s="46">
        <f t="shared" si="24"/>
        <v>1162591.50055</v>
      </c>
      <c r="G115" s="46">
        <f t="shared" si="24"/>
        <v>10978076.292880001</v>
      </c>
      <c r="H115" s="46">
        <f t="shared" si="24"/>
        <v>0</v>
      </c>
      <c r="I115" s="46">
        <f t="shared" si="24"/>
        <v>2730454.07223</v>
      </c>
      <c r="J115" s="46">
        <f t="shared" si="24"/>
        <v>5367458.1211900003</v>
      </c>
      <c r="K115" s="46">
        <f t="shared" si="24"/>
        <v>0</v>
      </c>
      <c r="L115" s="46">
        <f t="shared" si="24"/>
        <v>83493.095889999997</v>
      </c>
      <c r="M115" s="46">
        <f t="shared" si="24"/>
        <v>24995.404000000002</v>
      </c>
      <c r="N115" s="46">
        <f t="shared" si="24"/>
        <v>0</v>
      </c>
      <c r="O115" s="46">
        <f t="shared" si="24"/>
        <v>4449620.2766999993</v>
      </c>
      <c r="P115" s="46">
        <f t="shared" si="24"/>
        <v>0</v>
      </c>
      <c r="Q115" s="46">
        <f t="shared" si="24"/>
        <v>3826151.21939993</v>
      </c>
      <c r="R115" s="46">
        <f t="shared" si="24"/>
        <v>0</v>
      </c>
      <c r="S115" s="46">
        <f t="shared" si="24"/>
        <v>8275771.4960999303</v>
      </c>
      <c r="T115" s="46">
        <f t="shared" si="24"/>
        <v>633202.70034999994</v>
      </c>
      <c r="U115" s="46">
        <f t="shared" si="24"/>
        <v>274878.10418000002</v>
      </c>
      <c r="V115" s="46">
        <f t="shared" si="24"/>
        <v>403693.48256000003</v>
      </c>
    </row>
    <row r="116" spans="1:22">
      <c r="A116">
        <v>2024</v>
      </c>
      <c r="B116" t="str">
        <f t="shared" si="22"/>
        <v>2024-B3</v>
      </c>
      <c r="C116" s="46">
        <f t="shared" si="23"/>
        <v>523637.557819999</v>
      </c>
      <c r="D116" s="46">
        <f t="shared" si="24"/>
        <v>104813.51285999999</v>
      </c>
      <c r="E116" s="46">
        <f t="shared" si="24"/>
        <v>0</v>
      </c>
      <c r="F116" s="46">
        <f t="shared" si="24"/>
        <v>1099814.20548</v>
      </c>
      <c r="G116" s="46">
        <f t="shared" si="24"/>
        <v>10358455.86074</v>
      </c>
      <c r="H116" s="46">
        <f t="shared" si="24"/>
        <v>0</v>
      </c>
      <c r="I116" s="46">
        <f t="shared" si="24"/>
        <v>2729714.8858099999</v>
      </c>
      <c r="J116" s="46">
        <f t="shared" si="24"/>
        <v>5424590.8117699996</v>
      </c>
      <c r="K116" s="46">
        <f t="shared" si="24"/>
        <v>0</v>
      </c>
      <c r="L116" s="46">
        <f t="shared" si="24"/>
        <v>98505.128919999988</v>
      </c>
      <c r="M116" s="46">
        <f t="shared" si="24"/>
        <v>26508.986069999999</v>
      </c>
      <c r="N116" s="46">
        <f t="shared" si="24"/>
        <v>0</v>
      </c>
      <c r="O116" s="46">
        <f t="shared" si="24"/>
        <v>4451671.7780299988</v>
      </c>
      <c r="P116" s="46">
        <f t="shared" si="24"/>
        <v>0</v>
      </c>
      <c r="Q116" s="46">
        <f t="shared" si="24"/>
        <v>3858571.0111800013</v>
      </c>
      <c r="R116" s="46">
        <f t="shared" si="24"/>
        <v>0</v>
      </c>
      <c r="S116" s="46">
        <f t="shared" si="24"/>
        <v>8310242.789210001</v>
      </c>
      <c r="T116" s="46">
        <f t="shared" si="24"/>
        <v>632194.26162</v>
      </c>
      <c r="U116" s="46">
        <f t="shared" si="24"/>
        <v>283283.13095999998</v>
      </c>
      <c r="V116" s="46">
        <f t="shared" si="24"/>
        <v>461933.35866999999</v>
      </c>
    </row>
    <row r="117" spans="1:22">
      <c r="A117">
        <v>2024</v>
      </c>
      <c r="B117" t="str">
        <f t="shared" si="22"/>
        <v>2024-B4</v>
      </c>
      <c r="C117" s="46">
        <f t="shared" si="23"/>
        <v>579152.46945000102</v>
      </c>
      <c r="D117" s="46">
        <f t="shared" si="24"/>
        <v>107781.24393</v>
      </c>
      <c r="E117" s="46">
        <f t="shared" si="24"/>
        <v>0</v>
      </c>
      <c r="F117" s="46">
        <f t="shared" si="24"/>
        <v>1238506.4333799998</v>
      </c>
      <c r="G117" s="46">
        <f t="shared" si="24"/>
        <v>11578688.94592</v>
      </c>
      <c r="H117" s="46">
        <f t="shared" si="24"/>
        <v>0</v>
      </c>
      <c r="I117" s="46">
        <f t="shared" si="24"/>
        <v>2631289.3544299998</v>
      </c>
      <c r="J117" s="46">
        <f t="shared" si="24"/>
        <v>5364019.6079600006</v>
      </c>
      <c r="K117" s="46">
        <f t="shared" si="24"/>
        <v>0</v>
      </c>
      <c r="L117" s="46">
        <f t="shared" si="24"/>
        <v>108493.56005</v>
      </c>
      <c r="M117" s="46">
        <f t="shared" si="24"/>
        <v>25846.294000000002</v>
      </c>
      <c r="N117" s="46">
        <f t="shared" si="24"/>
        <v>0</v>
      </c>
      <c r="O117" s="46">
        <f t="shared" si="24"/>
        <v>4557441.8173100008</v>
      </c>
      <c r="P117" s="46">
        <f t="shared" si="24"/>
        <v>0</v>
      </c>
      <c r="Q117" s="46">
        <f t="shared" si="24"/>
        <v>3906553.9316099696</v>
      </c>
      <c r="R117" s="46">
        <f t="shared" si="24"/>
        <v>0</v>
      </c>
      <c r="S117" s="46">
        <f t="shared" si="24"/>
        <v>8463995.7489199694</v>
      </c>
      <c r="T117" s="46">
        <f t="shared" si="24"/>
        <v>747860.34953000001</v>
      </c>
      <c r="U117" s="46">
        <f t="shared" si="24"/>
        <v>306478.14499</v>
      </c>
      <c r="V117" s="46">
        <f t="shared" si="24"/>
        <v>369275.88624999899</v>
      </c>
    </row>
    <row r="118" spans="1:22">
      <c r="A118">
        <v>2024</v>
      </c>
      <c r="B118" t="str">
        <f t="shared" si="22"/>
        <v>2024-B5</v>
      </c>
      <c r="C118" s="46">
        <f t="shared" si="23"/>
        <v>591862.31141000101</v>
      </c>
      <c r="D118" s="46">
        <f t="shared" si="24"/>
        <v>103478.77402000001</v>
      </c>
      <c r="E118" s="46">
        <f t="shared" si="24"/>
        <v>0</v>
      </c>
      <c r="F118" s="46">
        <f t="shared" si="24"/>
        <v>1003527.5030700001</v>
      </c>
      <c r="G118" s="46">
        <f t="shared" si="24"/>
        <v>9346593.7470000014</v>
      </c>
      <c r="H118" s="46">
        <f t="shared" si="24"/>
        <v>0</v>
      </c>
      <c r="I118" s="46">
        <f t="shared" si="24"/>
        <v>2417381.8760900004</v>
      </c>
      <c r="J118" s="46">
        <f t="shared" si="24"/>
        <v>5571202.3393799998</v>
      </c>
      <c r="K118" s="46">
        <f t="shared" si="24"/>
        <v>0</v>
      </c>
      <c r="L118" s="46">
        <f t="shared" si="24"/>
        <v>90969.54647999999</v>
      </c>
      <c r="M118" s="46">
        <f t="shared" si="24"/>
        <v>24855.71</v>
      </c>
      <c r="N118" s="46">
        <f t="shared" si="24"/>
        <v>0</v>
      </c>
      <c r="O118" s="46">
        <f t="shared" si="24"/>
        <v>4103741.2370500015</v>
      </c>
      <c r="P118" s="46">
        <f t="shared" si="24"/>
        <v>0</v>
      </c>
      <c r="Q118" s="46">
        <f t="shared" si="24"/>
        <v>4364086.8256899286</v>
      </c>
      <c r="R118" s="46">
        <f t="shared" si="24"/>
        <v>0</v>
      </c>
      <c r="S118" s="46">
        <f t="shared" si="24"/>
        <v>8467828.062739931</v>
      </c>
      <c r="T118" s="46">
        <f t="shared" si="24"/>
        <v>964798.1190500001</v>
      </c>
      <c r="U118" s="46">
        <f t="shared" si="24"/>
        <v>298344.14797000098</v>
      </c>
      <c r="V118" s="46">
        <f t="shared" si="24"/>
        <v>350303.14087000099</v>
      </c>
    </row>
    <row r="119" spans="1:22">
      <c r="A119">
        <v>2024</v>
      </c>
      <c r="B119" t="str">
        <f t="shared" si="22"/>
        <v>2024-B6</v>
      </c>
      <c r="C119" s="46">
        <f t="shared" si="23"/>
        <v>757074.82458999997</v>
      </c>
      <c r="D119" s="46">
        <f t="shared" si="24"/>
        <v>124892.77140000001</v>
      </c>
      <c r="E119" s="46">
        <f t="shared" si="24"/>
        <v>0</v>
      </c>
      <c r="F119" s="46">
        <f t="shared" si="24"/>
        <v>1322689.39769</v>
      </c>
      <c r="G119" s="46">
        <f t="shared" si="24"/>
        <v>12105933.227</v>
      </c>
      <c r="H119" s="46">
        <f t="shared" si="24"/>
        <v>0</v>
      </c>
      <c r="I119" s="46">
        <f t="shared" si="24"/>
        <v>2344424.95585</v>
      </c>
      <c r="J119" s="46">
        <f t="shared" si="24"/>
        <v>5371330.4096299997</v>
      </c>
      <c r="K119" s="46">
        <f t="shared" si="24"/>
        <v>0</v>
      </c>
      <c r="L119" s="46">
        <f t="shared" si="24"/>
        <v>89657.367839999992</v>
      </c>
      <c r="M119" s="46">
        <f t="shared" si="24"/>
        <v>25873.058000000001</v>
      </c>
      <c r="N119" s="46">
        <f t="shared" si="24"/>
        <v>0</v>
      </c>
      <c r="O119" s="46">
        <f t="shared" si="24"/>
        <v>4513846.5459700003</v>
      </c>
      <c r="P119" s="46">
        <f t="shared" si="24"/>
        <v>0</v>
      </c>
      <c r="Q119" s="46">
        <f t="shared" si="24"/>
        <v>4092761.4856500216</v>
      </c>
      <c r="R119" s="46">
        <f t="shared" si="24"/>
        <v>0</v>
      </c>
      <c r="S119" s="46">
        <f t="shared" si="24"/>
        <v>8606608.0316200219</v>
      </c>
      <c r="T119" s="46">
        <f t="shared" si="24"/>
        <v>819652.16711000015</v>
      </c>
      <c r="U119" s="46">
        <f t="shared" si="24"/>
        <v>258811.9845299997</v>
      </c>
      <c r="V119" s="46">
        <f t="shared" si="24"/>
        <v>377338.99922999984</v>
      </c>
    </row>
    <row r="120" spans="1:22">
      <c r="A120">
        <v>2025</v>
      </c>
      <c r="B120" t="str">
        <f t="shared" si="22"/>
        <v>2025-B1</v>
      </c>
      <c r="C120" s="46">
        <f t="shared" si="23"/>
        <v>884341.9022700002</v>
      </c>
      <c r="D120" s="46">
        <f t="shared" si="24"/>
        <v>129380.38603999998</v>
      </c>
      <c r="E120" s="46">
        <f t="shared" si="24"/>
        <v>0</v>
      </c>
      <c r="F120" s="46">
        <f t="shared" si="24"/>
        <v>793166.34784999979</v>
      </c>
      <c r="G120" s="46">
        <f t="shared" si="24"/>
        <v>6911045.6500000004</v>
      </c>
      <c r="H120" s="46">
        <f t="shared" si="24"/>
        <v>0</v>
      </c>
      <c r="I120" s="46">
        <f t="shared" si="24"/>
        <v>1950679.1896500001</v>
      </c>
      <c r="J120" s="46">
        <f t="shared" si="24"/>
        <v>4407367.2322300002</v>
      </c>
      <c r="K120" s="46">
        <f t="shared" si="24"/>
        <v>0</v>
      </c>
      <c r="L120" s="46">
        <f t="shared" si="24"/>
        <v>65229.033670000004</v>
      </c>
      <c r="M120" s="46">
        <f t="shared" si="24"/>
        <v>19238.576999999997</v>
      </c>
      <c r="N120" s="46">
        <f t="shared" si="24"/>
        <v>0</v>
      </c>
      <c r="O120" s="46">
        <f t="shared" si="24"/>
        <v>3693416.4734399999</v>
      </c>
      <c r="P120" s="46">
        <f t="shared" si="24"/>
        <v>0</v>
      </c>
      <c r="Q120" s="46">
        <f t="shared" si="24"/>
        <v>3863579.820860046</v>
      </c>
      <c r="R120" s="46">
        <f t="shared" si="24"/>
        <v>0</v>
      </c>
      <c r="S120" s="46">
        <f t="shared" si="24"/>
        <v>7556996.2943000458</v>
      </c>
      <c r="T120" s="46">
        <f t="shared" si="24"/>
        <v>684695.24101999996</v>
      </c>
      <c r="U120" s="46">
        <f t="shared" si="24"/>
        <v>264219.35164999962</v>
      </c>
      <c r="V120" s="46">
        <f t="shared" si="24"/>
        <v>428147.8181700001</v>
      </c>
    </row>
    <row r="121" spans="1:22">
      <c r="A121">
        <v>2025</v>
      </c>
      <c r="B121" t="str">
        <f t="shared" si="22"/>
        <v>2025-B2</v>
      </c>
      <c r="C121" s="46">
        <f t="shared" si="23"/>
        <v>997460.41191999987</v>
      </c>
      <c r="D121" s="46">
        <f t="shared" si="24"/>
        <v>127631.87943999999</v>
      </c>
      <c r="E121" s="46">
        <f t="shared" si="24"/>
        <v>0</v>
      </c>
      <c r="F121" s="46">
        <f t="shared" si="24"/>
        <v>635304.11533000006</v>
      </c>
      <c r="G121" s="46">
        <f t="shared" si="24"/>
        <v>6025676.9233999997</v>
      </c>
      <c r="H121" s="46">
        <f t="shared" si="24"/>
        <v>0</v>
      </c>
      <c r="I121" s="46">
        <f t="shared" si="24"/>
        <v>2398976.7261899998</v>
      </c>
      <c r="J121" s="46">
        <f t="shared" si="24"/>
        <v>5502483.5352499997</v>
      </c>
      <c r="K121" s="46">
        <f t="shared" si="24"/>
        <v>0</v>
      </c>
      <c r="L121" s="46">
        <f t="shared" si="24"/>
        <v>85415.254979999998</v>
      </c>
      <c r="M121" s="46">
        <f t="shared" si="24"/>
        <v>25736.722999999998</v>
      </c>
      <c r="N121" s="46">
        <f t="shared" si="24"/>
        <v>0</v>
      </c>
      <c r="O121" s="46">
        <f t="shared" si="24"/>
        <v>4117156.5084199999</v>
      </c>
      <c r="P121" s="46">
        <f t="shared" si="24"/>
        <v>0</v>
      </c>
      <c r="Q121" s="46">
        <f t="shared" si="24"/>
        <v>4400074.7274199892</v>
      </c>
      <c r="R121" s="46">
        <f t="shared" si="24"/>
        <v>0</v>
      </c>
      <c r="S121" s="46">
        <f t="shared" si="24"/>
        <v>8517231.235839989</v>
      </c>
      <c r="T121" s="46">
        <f t="shared" si="24"/>
        <v>726869.37589999987</v>
      </c>
      <c r="U121" s="46">
        <f t="shared" si="24"/>
        <v>303625.06405000004</v>
      </c>
      <c r="V121" s="46">
        <f t="shared" si="24"/>
        <v>475004.19278999977</v>
      </c>
    </row>
    <row r="122" spans="1:22">
      <c r="A122">
        <v>2025</v>
      </c>
      <c r="B122" t="str">
        <f t="shared" si="22"/>
        <v>2025-B3</v>
      </c>
      <c r="C122" s="46">
        <f t="shared" si="23"/>
        <v>803359.87032000022</v>
      </c>
      <c r="D122" s="46">
        <f t="shared" si="24"/>
        <v>96466.031400000007</v>
      </c>
      <c r="E122" s="46">
        <f t="shared" si="24"/>
        <v>0</v>
      </c>
      <c r="F122" s="46">
        <f t="shared" si="24"/>
        <v>944195.58754000021</v>
      </c>
      <c r="G122" s="46">
        <f t="shared" si="24"/>
        <v>10297622.976</v>
      </c>
      <c r="H122" s="46">
        <f t="shared" si="24"/>
        <v>0</v>
      </c>
      <c r="I122" s="46">
        <f t="shared" si="24"/>
        <v>2139476.98153</v>
      </c>
      <c r="J122" s="46">
        <f t="shared" si="24"/>
        <v>5103563.7518600002</v>
      </c>
      <c r="K122" s="46">
        <f t="shared" si="24"/>
        <v>0</v>
      </c>
      <c r="L122" s="46">
        <f t="shared" si="24"/>
        <v>78515.165840000001</v>
      </c>
      <c r="M122" s="46">
        <f t="shared" si="24"/>
        <v>23166.540999999997</v>
      </c>
      <c r="N122" s="46">
        <f t="shared" si="24"/>
        <v>0</v>
      </c>
      <c r="O122" s="46">
        <f t="shared" si="24"/>
        <v>3965547.6052300008</v>
      </c>
      <c r="P122" s="46">
        <f t="shared" si="24"/>
        <v>0</v>
      </c>
      <c r="Q122" s="46">
        <f t="shared" si="24"/>
        <v>4349534.9158500433</v>
      </c>
      <c r="R122" s="46">
        <f t="shared" si="24"/>
        <v>0</v>
      </c>
      <c r="S122" s="46">
        <f t="shared" si="24"/>
        <v>8315082.5210800432</v>
      </c>
      <c r="T122" s="46">
        <f t="shared" si="24"/>
        <v>691024.81358999992</v>
      </c>
      <c r="U122" s="46">
        <f t="shared" si="24"/>
        <v>281157.98383999994</v>
      </c>
      <c r="V122" s="46">
        <f t="shared" si="24"/>
        <v>512462.0978499999</v>
      </c>
    </row>
    <row r="123" spans="1:22">
      <c r="A123">
        <v>2025</v>
      </c>
      <c r="B123" t="str">
        <f t="shared" si="22"/>
        <v>2025-B4</v>
      </c>
      <c r="C123" s="46">
        <f t="shared" si="23"/>
        <v>989527.85528000037</v>
      </c>
      <c r="D123" s="46">
        <f t="shared" si="24"/>
        <v>127386.30453000002</v>
      </c>
      <c r="E123" s="46">
        <f t="shared" si="24"/>
        <v>0</v>
      </c>
      <c r="F123" s="46">
        <f t="shared" si="24"/>
        <v>704289.46848000004</v>
      </c>
      <c r="G123" s="46">
        <f t="shared" si="24"/>
        <v>7315186.3279200001</v>
      </c>
      <c r="H123" s="46">
        <f t="shared" si="24"/>
        <v>0</v>
      </c>
      <c r="I123" s="46">
        <f t="shared" si="24"/>
        <v>2096027.6293599997</v>
      </c>
      <c r="J123" s="46">
        <f t="shared" si="24"/>
        <v>4972471.3640000001</v>
      </c>
      <c r="K123" s="46">
        <f t="shared" si="24"/>
        <v>0</v>
      </c>
      <c r="L123" s="46">
        <f t="shared" si="24"/>
        <v>81078.405159999995</v>
      </c>
      <c r="M123" s="46">
        <f t="shared" si="24"/>
        <v>25193.913</v>
      </c>
      <c r="N123" s="46">
        <f t="shared" si="24"/>
        <v>0</v>
      </c>
      <c r="O123" s="46">
        <f t="shared" si="24"/>
        <v>3870923.3582800003</v>
      </c>
      <c r="P123" s="46">
        <f t="shared" ref="D123:V126" si="25">SUMIF($B$30:$B$91,$B123,P$30:P$91)</f>
        <v>0</v>
      </c>
      <c r="Q123" s="46">
        <f t="shared" si="25"/>
        <v>4428105.7377799628</v>
      </c>
      <c r="R123" s="46">
        <f t="shared" si="25"/>
        <v>0</v>
      </c>
      <c r="S123" s="46">
        <f t="shared" si="25"/>
        <v>8299029.0960599631</v>
      </c>
      <c r="T123" s="46">
        <f t="shared" si="25"/>
        <v>738859.09591000015</v>
      </c>
      <c r="U123" s="46">
        <f t="shared" si="25"/>
        <v>294030.71108999971</v>
      </c>
      <c r="V123" s="46">
        <f t="shared" si="25"/>
        <v>315496.68484</v>
      </c>
    </row>
    <row r="124" spans="1:22">
      <c r="A124">
        <v>2025</v>
      </c>
      <c r="B124" t="str">
        <f t="shared" si="22"/>
        <v>2025-B5</v>
      </c>
      <c r="C124" s="46">
        <f t="shared" si="23"/>
        <v>1029044.6138900002</v>
      </c>
      <c r="D124" s="46">
        <f t="shared" si="25"/>
        <v>130547.94278000001</v>
      </c>
      <c r="E124" s="46">
        <f t="shared" si="25"/>
        <v>0</v>
      </c>
      <c r="F124" s="46">
        <f t="shared" si="25"/>
        <v>968584.65588999982</v>
      </c>
      <c r="G124" s="46">
        <f t="shared" si="25"/>
        <v>10535803.6491</v>
      </c>
      <c r="H124" s="46">
        <f t="shared" si="25"/>
        <v>0</v>
      </c>
      <c r="I124" s="46">
        <f t="shared" si="25"/>
        <v>2008641.9172099996</v>
      </c>
      <c r="J124" s="46">
        <f t="shared" si="25"/>
        <v>5019152.4702300001</v>
      </c>
      <c r="K124" s="46">
        <f t="shared" si="25"/>
        <v>0</v>
      </c>
      <c r="L124" s="46">
        <f t="shared" si="25"/>
        <v>77640.610249999998</v>
      </c>
      <c r="M124" s="46">
        <f t="shared" si="25"/>
        <v>23471.254000000001</v>
      </c>
      <c r="N124" s="46">
        <f t="shared" si="25"/>
        <v>0</v>
      </c>
      <c r="O124" s="46">
        <f t="shared" si="25"/>
        <v>4083911.7972399998</v>
      </c>
      <c r="P124" s="46">
        <f t="shared" si="25"/>
        <v>0</v>
      </c>
      <c r="Q124" s="46">
        <f t="shared" si="25"/>
        <v>4865571.9802000504</v>
      </c>
      <c r="R124" s="46">
        <f t="shared" si="25"/>
        <v>0</v>
      </c>
      <c r="S124" s="46">
        <f t="shared" si="25"/>
        <v>8949483.7774400506</v>
      </c>
      <c r="T124" s="46">
        <f t="shared" si="25"/>
        <v>923108.57780000009</v>
      </c>
      <c r="U124" s="46">
        <f t="shared" si="25"/>
        <v>329400.75243000023</v>
      </c>
      <c r="V124" s="46">
        <f t="shared" si="25"/>
        <v>330376.44749000005</v>
      </c>
    </row>
    <row r="125" spans="1:22">
      <c r="A125">
        <v>2025</v>
      </c>
      <c r="B125" t="str">
        <f t="shared" si="22"/>
        <v>2025-B6</v>
      </c>
      <c r="C125" s="46">
        <f t="shared" si="23"/>
        <v>1084487.4096000001</v>
      </c>
      <c r="D125" s="46">
        <f t="shared" si="25"/>
        <v>122876.57736999998</v>
      </c>
      <c r="E125" s="46">
        <f t="shared" si="25"/>
        <v>0</v>
      </c>
      <c r="F125" s="46">
        <f t="shared" si="25"/>
        <v>856051.2062400002</v>
      </c>
      <c r="G125" s="46">
        <f t="shared" si="25"/>
        <v>10400161.24426</v>
      </c>
      <c r="H125" s="46">
        <f t="shared" si="25"/>
        <v>0</v>
      </c>
      <c r="I125" s="46">
        <f t="shared" si="25"/>
        <v>1888102.74223</v>
      </c>
      <c r="J125" s="46">
        <f t="shared" si="25"/>
        <v>5057086.5225400012</v>
      </c>
      <c r="K125" s="46">
        <f t="shared" si="25"/>
        <v>0</v>
      </c>
      <c r="L125" s="46">
        <f t="shared" si="25"/>
        <v>87598.969289999994</v>
      </c>
      <c r="M125" s="46">
        <f t="shared" si="25"/>
        <v>27741.599000000002</v>
      </c>
      <c r="N125" s="46">
        <f t="shared" si="25"/>
        <v>0</v>
      </c>
      <c r="O125" s="46">
        <f t="shared" si="25"/>
        <v>3916240.3273600005</v>
      </c>
      <c r="P125" s="46">
        <f t="shared" si="25"/>
        <v>0</v>
      </c>
      <c r="Q125" s="46">
        <f t="shared" si="25"/>
        <v>4647435.2713299934</v>
      </c>
      <c r="R125" s="46">
        <f t="shared" si="25"/>
        <v>0</v>
      </c>
      <c r="S125" s="46">
        <f t="shared" si="25"/>
        <v>8563675.5986899938</v>
      </c>
      <c r="T125" s="46">
        <f t="shared" si="25"/>
        <v>1090202.6820599998</v>
      </c>
      <c r="U125" s="46">
        <f t="shared" si="25"/>
        <v>265053.12155999977</v>
      </c>
      <c r="V125" s="46">
        <f t="shared" si="25"/>
        <v>378042.10266000021</v>
      </c>
    </row>
    <row r="126" spans="1:22">
      <c r="A126">
        <v>2026</v>
      </c>
      <c r="B126" t="str">
        <f t="shared" si="22"/>
        <v>2026-B1</v>
      </c>
      <c r="C126" s="46">
        <f t="shared" si="23"/>
        <v>1021233.0603700002</v>
      </c>
      <c r="D126" s="46">
        <f t="shared" si="25"/>
        <v>117515.83408999999</v>
      </c>
      <c r="E126" s="46">
        <f t="shared" si="25"/>
        <v>0</v>
      </c>
      <c r="F126" s="46">
        <f t="shared" si="25"/>
        <v>742605.7794900001</v>
      </c>
      <c r="G126" s="46">
        <f t="shared" si="25"/>
        <v>8348303.5901200008</v>
      </c>
      <c r="H126" s="46"/>
      <c r="I126" s="46">
        <f t="shared" si="25"/>
        <v>1850256.65765</v>
      </c>
      <c r="J126" s="46">
        <f t="shared" si="25"/>
        <v>4849010.1119200001</v>
      </c>
      <c r="K126" s="46">
        <f t="shared" si="25"/>
        <v>0</v>
      </c>
      <c r="L126" s="46">
        <f t="shared" si="25"/>
        <v>0</v>
      </c>
      <c r="M126" s="46">
        <f t="shared" si="25"/>
        <v>0</v>
      </c>
      <c r="N126" s="46">
        <f t="shared" si="25"/>
        <v>0</v>
      </c>
      <c r="O126" s="46">
        <f t="shared" si="25"/>
        <v>3614095.4975100001</v>
      </c>
      <c r="P126" s="46">
        <f t="shared" si="25"/>
        <v>0</v>
      </c>
      <c r="Q126" s="46">
        <f t="shared" si="25"/>
        <v>4856149.4058899982</v>
      </c>
      <c r="R126" s="46">
        <f t="shared" si="25"/>
        <v>0</v>
      </c>
      <c r="S126" s="46">
        <f t="shared" si="25"/>
        <v>8470244.9033999983</v>
      </c>
      <c r="T126" s="46">
        <f t="shared" si="25"/>
        <v>1513736.5936700001</v>
      </c>
      <c r="U126" s="46">
        <f t="shared" si="25"/>
        <v>271869.87655999954</v>
      </c>
      <c r="V126" s="46">
        <f t="shared" si="25"/>
        <v>404168.26741999993</v>
      </c>
    </row>
    <row r="127" spans="1:22">
      <c r="C127" s="46"/>
      <c r="D127" s="46"/>
    </row>
    <row r="128" spans="1:22" ht="16" customHeight="1"/>
  </sheetData>
  <mergeCells count="14">
    <mergeCell ref="C93:O93"/>
    <mergeCell ref="S93:S94"/>
    <mergeCell ref="C94:D94"/>
    <mergeCell ref="F94:G94"/>
    <mergeCell ref="I94:J94"/>
    <mergeCell ref="L94:M94"/>
    <mergeCell ref="Q93:Q94"/>
    <mergeCell ref="Q3:Q4"/>
    <mergeCell ref="S3:S4"/>
    <mergeCell ref="C4:D4"/>
    <mergeCell ref="F4:G4"/>
    <mergeCell ref="I4:J4"/>
    <mergeCell ref="L4:M4"/>
    <mergeCell ref="C3:O3"/>
  </mergeCells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BF6A-43C2-1248-B4E2-01C3D6F8B58F}">
  <dimension ref="A1:M410"/>
  <sheetViews>
    <sheetView topLeftCell="F45" workbookViewId="0">
      <selection activeCell="D82" sqref="D82"/>
    </sheetView>
  </sheetViews>
  <sheetFormatPr baseColWidth="10" defaultRowHeight="15"/>
  <cols>
    <col min="1" max="1" width="124.83203125" bestFit="1" customWidth="1"/>
    <col min="2" max="3" width="10.6640625" bestFit="1" customWidth="1"/>
    <col min="6" max="6" width="81.5" customWidth="1"/>
    <col min="7" max="7" width="10" customWidth="1"/>
    <col min="8" max="8" width="10.33203125" customWidth="1"/>
    <col min="9" max="9" width="12.6640625" customWidth="1"/>
    <col min="10" max="10" width="12.1640625" bestFit="1" customWidth="1"/>
    <col min="12" max="12" width="9" bestFit="1" customWidth="1"/>
    <col min="13" max="13" width="12.6640625" bestFit="1" customWidth="1"/>
  </cols>
  <sheetData>
    <row r="1" spans="1:13">
      <c r="A1" s="49" t="s">
        <v>130</v>
      </c>
      <c r="B1" s="50"/>
      <c r="C1" s="51"/>
    </row>
    <row r="2" spans="1:13">
      <c r="A2" s="49" t="s">
        <v>130</v>
      </c>
      <c r="B2" s="49"/>
      <c r="C2" s="49"/>
    </row>
    <row r="3" spans="1:13">
      <c r="A3" s="49" t="s">
        <v>130</v>
      </c>
      <c r="B3" s="49">
        <v>2024</v>
      </c>
      <c r="C3" s="49">
        <v>2025</v>
      </c>
      <c r="F3" s="52" t="s">
        <v>131</v>
      </c>
      <c r="G3" s="53">
        <v>2024</v>
      </c>
      <c r="H3" s="54">
        <v>2025</v>
      </c>
    </row>
    <row r="4" spans="1:13">
      <c r="A4" s="55" t="s">
        <v>132</v>
      </c>
      <c r="B4" s="49" t="s">
        <v>133</v>
      </c>
      <c r="C4" s="49" t="s">
        <v>133</v>
      </c>
      <c r="F4" s="56" t="s">
        <v>134</v>
      </c>
      <c r="G4" s="56" t="s">
        <v>133</v>
      </c>
      <c r="H4" s="56" t="s">
        <v>133</v>
      </c>
      <c r="I4" s="149" t="s">
        <v>128</v>
      </c>
      <c r="J4" s="151"/>
      <c r="K4" s="56" t="s">
        <v>5</v>
      </c>
      <c r="L4" s="56" t="s">
        <v>135</v>
      </c>
      <c r="M4" s="56" t="s">
        <v>136</v>
      </c>
    </row>
    <row r="5" spans="1:13">
      <c r="A5" s="57" t="s">
        <v>137</v>
      </c>
      <c r="B5" s="58">
        <v>-2697.2831269999997</v>
      </c>
      <c r="C5" s="58">
        <v>-3538.3716290000002</v>
      </c>
      <c r="D5" s="85">
        <f>C5-B5</f>
        <v>-841.08850200000052</v>
      </c>
      <c r="F5" s="59" t="str">
        <f>+A8</f>
        <v>                                    3.1.1 Participaciones de capital y participaciones en fondos de inversión</v>
      </c>
      <c r="G5" s="60">
        <f t="shared" ref="G5:H5" si="0">+B8</f>
        <v>1996.1574808400001</v>
      </c>
      <c r="H5" s="60">
        <f t="shared" si="0"/>
        <v>1809.2454271900001</v>
      </c>
      <c r="I5" s="61">
        <f>G5/$B$7</f>
        <v>0.87034409421187897</v>
      </c>
      <c r="J5" s="62">
        <f>-H5/$C$7</f>
        <v>-0.7968065850234658</v>
      </c>
      <c r="K5" s="63">
        <f>+(H5/G5)-1</f>
        <v>-9.363592574436852E-2</v>
      </c>
      <c r="L5" s="64">
        <f>+H5-G5</f>
        <v>-186.91205364999996</v>
      </c>
      <c r="M5" s="63">
        <f>+I5*K5</f>
        <v>-8.1495474977673177E-2</v>
      </c>
    </row>
    <row r="6" spans="1:13">
      <c r="A6" s="57" t="s">
        <v>138</v>
      </c>
      <c r="B6" s="58">
        <v>-4186.421002</v>
      </c>
      <c r="C6" s="58">
        <v>-4308.2564030000003</v>
      </c>
      <c r="D6" s="85">
        <f t="shared" ref="D6:D69" si="1">C6-B6</f>
        <v>-121.83540100000027</v>
      </c>
      <c r="F6" s="65" t="str">
        <f>+A16</f>
        <v>                                                  3.1.1.2 Reinversión de utilidades</v>
      </c>
      <c r="G6" s="60">
        <f t="shared" ref="G6:H6" si="2">+B16</f>
        <v>1118.59560842</v>
      </c>
      <c r="H6" s="60">
        <f t="shared" si="2"/>
        <v>1158.74399851</v>
      </c>
      <c r="I6" s="61">
        <f>G6/$B$7</f>
        <v>0.48771857478399294</v>
      </c>
      <c r="J6" s="62">
        <f t="shared" ref="J6:J7" si="3">-H6/$C$7</f>
        <v>-0.5103203990423727</v>
      </c>
      <c r="K6" s="63">
        <f>+(H6/G6)-1</f>
        <v>3.5891782327582167E-2</v>
      </c>
      <c r="L6" s="66">
        <f t="shared" ref="L6:L7" si="4">+H6-G6</f>
        <v>40.148390090000021</v>
      </c>
      <c r="M6" s="63">
        <f t="shared" ref="M6:M7" si="5">+I6*K6</f>
        <v>1.7505088923265678E-2</v>
      </c>
    </row>
    <row r="7" spans="1:13">
      <c r="A7" s="57" t="s">
        <v>139</v>
      </c>
      <c r="B7" s="58">
        <v>2293.5267718999999</v>
      </c>
      <c r="C7" s="58">
        <v>2270.6205761800002</v>
      </c>
      <c r="D7" s="85">
        <f t="shared" si="1"/>
        <v>-22.906195719999687</v>
      </c>
      <c r="F7" s="67" t="str">
        <f>+A19</f>
        <v>                                    3.1.2 Instrumentos de deuda</v>
      </c>
      <c r="G7" s="68">
        <f t="shared" ref="G7:H7" si="6">+B19</f>
        <v>297.36929103</v>
      </c>
      <c r="H7" s="68">
        <f t="shared" si="6"/>
        <v>461.37514901999998</v>
      </c>
      <c r="I7" s="61">
        <f>G7/$B$7</f>
        <v>0.12965590577504085</v>
      </c>
      <c r="J7" s="62">
        <f t="shared" si="3"/>
        <v>-0.20319341498974647</v>
      </c>
      <c r="K7" s="70">
        <f>+(H7/G7)-1</f>
        <v>0.55152251068673497</v>
      </c>
      <c r="L7" s="71">
        <f t="shared" si="4"/>
        <v>164.00585798999998</v>
      </c>
      <c r="M7" s="70">
        <f t="shared" si="5"/>
        <v>7.1508150678413276E-2</v>
      </c>
    </row>
    <row r="8" spans="1:13">
      <c r="A8" s="57" t="s">
        <v>140</v>
      </c>
      <c r="B8" s="58">
        <v>1996.1574808400001</v>
      </c>
      <c r="C8" s="58">
        <v>1809.2454271900001</v>
      </c>
      <c r="D8" s="85">
        <f t="shared" si="1"/>
        <v>-186.91205364999996</v>
      </c>
    </row>
    <row r="9" spans="1:13">
      <c r="A9" s="57" t="s">
        <v>141</v>
      </c>
      <c r="B9" s="58">
        <v>877.56187239999997</v>
      </c>
      <c r="C9" s="58">
        <v>650.50142868</v>
      </c>
      <c r="D9" s="85">
        <f t="shared" si="1"/>
        <v>-227.06044371999997</v>
      </c>
      <c r="F9" s="52" t="s">
        <v>142</v>
      </c>
      <c r="G9" s="53">
        <v>2024</v>
      </c>
      <c r="H9" s="54">
        <v>2025</v>
      </c>
    </row>
    <row r="10" spans="1:13">
      <c r="A10" s="57" t="s">
        <v>143</v>
      </c>
      <c r="B10" s="58">
        <v>877.56187239999997</v>
      </c>
      <c r="C10" s="58">
        <v>650.50142868</v>
      </c>
      <c r="D10" s="85">
        <f t="shared" si="1"/>
        <v>-227.06044371999997</v>
      </c>
      <c r="F10" s="56" t="s">
        <v>134</v>
      </c>
      <c r="G10" s="56" t="s">
        <v>133</v>
      </c>
      <c r="H10" s="56" t="s">
        <v>133</v>
      </c>
      <c r="I10" s="149" t="s">
        <v>128</v>
      </c>
      <c r="J10" s="151"/>
      <c r="K10" s="56" t="s">
        <v>5</v>
      </c>
      <c r="L10" s="56" t="s">
        <v>135</v>
      </c>
      <c r="M10" s="56" t="s">
        <v>136</v>
      </c>
    </row>
    <row r="11" spans="1:13">
      <c r="A11" s="57" t="s">
        <v>144</v>
      </c>
      <c r="B11" s="58"/>
      <c r="C11" s="58"/>
      <c r="D11" s="85">
        <f t="shared" si="1"/>
        <v>0</v>
      </c>
      <c r="F11" s="59" t="str">
        <f>+A34</f>
        <v>                                    3.1.1 Participaciones de capital y participaciones en fondos de inversión</v>
      </c>
      <c r="G11" s="60">
        <f t="shared" ref="G11:H11" si="7">+B34</f>
        <v>6638.3866295999997</v>
      </c>
      <c r="H11" s="60">
        <f t="shared" si="7"/>
        <v>5512.0114530000001</v>
      </c>
      <c r="I11" s="61">
        <f>G11/$B$33</f>
        <v>1.0244506378038256</v>
      </c>
      <c r="J11" s="61">
        <f>H11/$C$33</f>
        <v>0.83783470497216761</v>
      </c>
      <c r="K11" s="63">
        <f>+(H11/G11)-1</f>
        <v>-0.16967604320869001</v>
      </c>
      <c r="L11" s="64">
        <f>+H11-G11</f>
        <v>-1126.3751765999996</v>
      </c>
      <c r="M11" s="63">
        <f>+I11*K11</f>
        <v>-0.17382473068517196</v>
      </c>
    </row>
    <row r="12" spans="1:13">
      <c r="A12" s="57" t="s">
        <v>145</v>
      </c>
      <c r="B12" s="58"/>
      <c r="C12" s="58"/>
      <c r="D12" s="85">
        <f t="shared" si="1"/>
        <v>0</v>
      </c>
      <c r="F12" s="65" t="str">
        <f>+A42</f>
        <v>                                                  3.1.1.2 Reinversión de utilidades</v>
      </c>
      <c r="G12" s="60">
        <f t="shared" ref="G12:H12" si="8">+B42</f>
        <v>2380.1916507999999</v>
      </c>
      <c r="H12" s="60">
        <f t="shared" si="8"/>
        <v>2489.0664176999999</v>
      </c>
      <c r="I12" s="61">
        <f>G12/$B$33</f>
        <v>0.3673164867928651</v>
      </c>
      <c r="J12" s="61">
        <f t="shared" ref="J12" si="9">H12/$C$33</f>
        <v>0.37834214342838185</v>
      </c>
      <c r="K12" s="63">
        <f>+(H12/G12)-1</f>
        <v>4.5742016977249111E-2</v>
      </c>
      <c r="L12" s="66">
        <f>+H12-G12</f>
        <v>108.87476689999994</v>
      </c>
      <c r="M12" s="63">
        <f t="shared" ref="M12:M13" si="10">+I12*K12</f>
        <v>1.6801796974902736E-2</v>
      </c>
    </row>
    <row r="13" spans="1:13">
      <c r="A13" s="57" t="s">
        <v>146</v>
      </c>
      <c r="B13" s="58"/>
      <c r="C13" s="58"/>
      <c r="D13" s="85">
        <f t="shared" si="1"/>
        <v>0</v>
      </c>
      <c r="F13" s="67" t="str">
        <f>+A45</f>
        <v>                                    3.1.2 Instrumentos de deuda</v>
      </c>
      <c r="G13" s="68">
        <f t="shared" ref="G13:H13" si="11">+B45</f>
        <v>-158.43885612000008</v>
      </c>
      <c r="H13" s="68">
        <f t="shared" si="11"/>
        <v>1066.8655263000001</v>
      </c>
      <c r="I13" s="61">
        <f>G13/$B$33</f>
        <v>-2.4450637822344329E-2</v>
      </c>
      <c r="J13" s="61">
        <f>H13/$C$33</f>
        <v>0.16216529502783253</v>
      </c>
      <c r="K13" s="70">
        <f>+(H13/G13)-1</f>
        <v>-7.7336103808523227</v>
      </c>
      <c r="L13" s="71">
        <f>+H13-G13</f>
        <v>1225.3043824200001</v>
      </c>
      <c r="M13" s="70">
        <f t="shared" si="10"/>
        <v>0.18909170648134252</v>
      </c>
    </row>
    <row r="14" spans="1:13">
      <c r="A14" s="57" t="s">
        <v>147</v>
      </c>
      <c r="B14" s="58"/>
      <c r="C14" s="58"/>
      <c r="D14" s="85">
        <f t="shared" si="1"/>
        <v>0</v>
      </c>
    </row>
    <row r="15" spans="1:13" ht="16" thickBot="1">
      <c r="A15" s="57" t="s">
        <v>148</v>
      </c>
      <c r="B15" s="58"/>
      <c r="C15" s="58"/>
      <c r="D15" s="85">
        <f t="shared" si="1"/>
        <v>0</v>
      </c>
      <c r="F15" s="72"/>
      <c r="G15" s="72"/>
      <c r="H15" s="72"/>
      <c r="I15" s="72"/>
      <c r="J15" s="72"/>
      <c r="K15" s="72"/>
      <c r="L15" s="72"/>
      <c r="M15" s="72"/>
    </row>
    <row r="16" spans="1:13">
      <c r="A16" s="57" t="s">
        <v>149</v>
      </c>
      <c r="B16" s="58">
        <v>1118.59560842</v>
      </c>
      <c r="C16" s="58">
        <v>1158.74399851</v>
      </c>
      <c r="D16" s="85">
        <f t="shared" si="1"/>
        <v>40.148390090000021</v>
      </c>
    </row>
    <row r="17" spans="1:13">
      <c r="A17" s="57" t="s">
        <v>150</v>
      </c>
      <c r="B17" s="58">
        <v>1118.59560842</v>
      </c>
      <c r="C17" s="58">
        <v>1158.74399851</v>
      </c>
      <c r="D17" s="85">
        <f t="shared" si="1"/>
        <v>40.148390090000021</v>
      </c>
      <c r="F17" s="52" t="s">
        <v>151</v>
      </c>
      <c r="G17" s="53">
        <v>2024</v>
      </c>
      <c r="H17" s="54">
        <v>2025</v>
      </c>
    </row>
    <row r="18" spans="1:13">
      <c r="A18" s="57" t="s">
        <v>152</v>
      </c>
      <c r="B18" s="58"/>
      <c r="C18" s="58"/>
      <c r="D18" s="85">
        <f t="shared" si="1"/>
        <v>0</v>
      </c>
      <c r="F18" s="56" t="s">
        <v>134</v>
      </c>
      <c r="G18" s="56" t="s">
        <v>133</v>
      </c>
      <c r="H18" s="56" t="s">
        <v>133</v>
      </c>
      <c r="I18" s="149" t="s">
        <v>128</v>
      </c>
      <c r="J18" s="151"/>
      <c r="K18" s="56" t="s">
        <v>5</v>
      </c>
      <c r="L18" s="56" t="s">
        <v>135</v>
      </c>
      <c r="M18" s="56" t="s">
        <v>136</v>
      </c>
    </row>
    <row r="19" spans="1:13">
      <c r="A19" s="57" t="s">
        <v>153</v>
      </c>
      <c r="B19" s="58">
        <v>297.36929103</v>
      </c>
      <c r="C19" s="58">
        <v>461.37514901999998</v>
      </c>
      <c r="D19" s="85">
        <f t="shared" si="1"/>
        <v>164.00585798999998</v>
      </c>
      <c r="F19" s="59" t="str">
        <f>+A61</f>
        <v>                                    3.2.1 Participaciones de capital y participaciones en fondos de inversión</v>
      </c>
      <c r="G19" s="73">
        <f t="shared" ref="G19:H19" si="12">+B61</f>
        <v>2334.3123251699999</v>
      </c>
      <c r="H19" s="73">
        <f t="shared" si="12"/>
        <v>3806.7003337999995</v>
      </c>
      <c r="I19" s="74">
        <f>G19/$B$60</f>
        <v>0.72391028224876586</v>
      </c>
      <c r="J19" s="74">
        <f>H19/$C$60</f>
        <v>0.58821187704092592</v>
      </c>
      <c r="K19" s="63">
        <f>+(H19/G19)-1</f>
        <v>0.6307587861117816</v>
      </c>
      <c r="L19" s="64">
        <f>+H19-G19</f>
        <v>1472.3880086299996</v>
      </c>
      <c r="M19" s="63">
        <f>+I19*K19</f>
        <v>0.45661277088506874</v>
      </c>
    </row>
    <row r="20" spans="1:13">
      <c r="A20" s="57" t="s">
        <v>154</v>
      </c>
      <c r="B20" s="58">
        <v>297.36929103</v>
      </c>
      <c r="C20" s="58">
        <v>461.37514901999998</v>
      </c>
      <c r="D20" s="85">
        <f t="shared" si="1"/>
        <v>164.00585798999998</v>
      </c>
      <c r="F20" s="65" t="str">
        <f>+A75</f>
        <v>                                    3.2.2 Títulos de deuda</v>
      </c>
      <c r="G20" s="60">
        <f t="shared" ref="G20:H20" si="13">+B75</f>
        <v>890.27555867000001</v>
      </c>
      <c r="H20" s="60">
        <f t="shared" si="13"/>
        <v>2664.9478635750002</v>
      </c>
      <c r="I20" s="74">
        <f t="shared" ref="I20:I21" si="14">G20/$B$60</f>
        <v>0.27608971773262697</v>
      </c>
      <c r="J20" s="74">
        <f t="shared" ref="J20:J21" si="15">H20/$C$60</f>
        <v>0.41178812293975908</v>
      </c>
      <c r="K20" s="63">
        <f>+(H20/G20)-1</f>
        <v>1.9933966372796057</v>
      </c>
      <c r="L20" s="66">
        <f t="shared" ref="L20:L21" si="16">+H20-G20</f>
        <v>1774.6723049050001</v>
      </c>
      <c r="M20" s="63">
        <f t="shared" ref="M20:M21" si="17">+I20*K20</f>
        <v>0.55035631491569414</v>
      </c>
    </row>
    <row r="21" spans="1:13">
      <c r="A21" s="57" t="s">
        <v>155</v>
      </c>
      <c r="B21" s="58"/>
      <c r="C21" s="58"/>
      <c r="D21" s="85">
        <f t="shared" si="1"/>
        <v>0</v>
      </c>
      <c r="F21" s="67" t="str">
        <f>+A88</f>
        <v>                                                  3.2.2.4 Otros sectores</v>
      </c>
      <c r="G21" s="68">
        <f t="shared" ref="G21:H21" si="18">+B88</f>
        <v>514.01536646</v>
      </c>
      <c r="H21" s="68">
        <f t="shared" si="18"/>
        <v>2572.9990363799998</v>
      </c>
      <c r="I21" s="74">
        <f t="shared" si="14"/>
        <v>0.1594049797887104</v>
      </c>
      <c r="J21" s="74">
        <f t="shared" si="15"/>
        <v>0.39758017708285665</v>
      </c>
      <c r="K21" s="70">
        <f>+(H21/G21)-1</f>
        <v>4.0056850519861396</v>
      </c>
      <c r="L21" s="71">
        <f t="shared" si="16"/>
        <v>2058.9836699199996</v>
      </c>
      <c r="M21" s="70">
        <f t="shared" si="17"/>
        <v>0.63852614475178993</v>
      </c>
    </row>
    <row r="22" spans="1:13">
      <c r="A22" s="57" t="s">
        <v>156</v>
      </c>
      <c r="B22" s="58"/>
      <c r="C22" s="58"/>
      <c r="D22" s="85">
        <f t="shared" si="1"/>
        <v>0</v>
      </c>
    </row>
    <row r="23" spans="1:13">
      <c r="A23" s="57" t="s">
        <v>157</v>
      </c>
      <c r="B23" s="58"/>
      <c r="C23" s="58"/>
      <c r="D23" s="85">
        <f t="shared" si="1"/>
        <v>0</v>
      </c>
      <c r="F23" s="52" t="s">
        <v>158</v>
      </c>
      <c r="G23" s="53">
        <v>2024</v>
      </c>
      <c r="H23" s="54">
        <v>2025</v>
      </c>
    </row>
    <row r="24" spans="1:13">
      <c r="A24" s="57" t="s">
        <v>159</v>
      </c>
      <c r="B24" s="58"/>
      <c r="C24" s="58"/>
      <c r="D24" s="85">
        <f t="shared" si="1"/>
        <v>0</v>
      </c>
      <c r="F24" s="56" t="s">
        <v>134</v>
      </c>
      <c r="G24" s="56" t="s">
        <v>133</v>
      </c>
      <c r="H24" s="56" t="s">
        <v>133</v>
      </c>
      <c r="I24" s="149" t="s">
        <v>128</v>
      </c>
      <c r="J24" s="151"/>
      <c r="K24" s="56" t="s">
        <v>5</v>
      </c>
      <c r="L24" s="56" t="s">
        <v>135</v>
      </c>
      <c r="M24" s="56" t="s">
        <v>136</v>
      </c>
    </row>
    <row r="25" spans="1:13">
      <c r="A25" s="57" t="s">
        <v>160</v>
      </c>
      <c r="B25" s="58"/>
      <c r="C25" s="58"/>
      <c r="D25" s="85">
        <f t="shared" si="1"/>
        <v>0</v>
      </c>
      <c r="F25" s="59" t="str">
        <f>+A112</f>
        <v>                                    3.2.2 Títulos de deuda</v>
      </c>
      <c r="G25" s="73">
        <f t="shared" ref="G25:H25" si="19">+B112</f>
        <v>2127.7365903499999</v>
      </c>
      <c r="H25" s="73">
        <f t="shared" si="19"/>
        <v>6898.9132260000006</v>
      </c>
      <c r="I25" s="74">
        <f>G25/$B$97</f>
        <v>0.94147595170404763</v>
      </c>
      <c r="J25" s="74">
        <f>H25/$C$97</f>
        <v>0.93281420914604496</v>
      </c>
      <c r="K25" s="63">
        <f>+(H25/G25)-1</f>
        <v>2.2423718505800432</v>
      </c>
      <c r="L25" s="64">
        <f>+H25-G25</f>
        <v>4771.1766356500011</v>
      </c>
      <c r="M25" s="63">
        <f>+I25*K25</f>
        <v>2.1111391720992128</v>
      </c>
    </row>
    <row r="26" spans="1:13">
      <c r="A26" s="57" t="s">
        <v>161</v>
      </c>
      <c r="B26" s="58"/>
      <c r="C26" s="58"/>
      <c r="D26" s="85">
        <f t="shared" si="1"/>
        <v>0</v>
      </c>
      <c r="F26" s="65" t="str">
        <f>+A122</f>
        <v>                                                  3.2.2.3 Gobierno general</v>
      </c>
      <c r="G26" s="60">
        <f t="shared" ref="G26:H26" si="20">+B122</f>
        <v>1265.6561352499998</v>
      </c>
      <c r="H26" s="60">
        <f t="shared" si="20"/>
        <v>5017.2948655</v>
      </c>
      <c r="I26" s="74">
        <f t="shared" ref="I26:I27" si="21">G26/$B$97</f>
        <v>0.56002459132807969</v>
      </c>
      <c r="J26" s="74">
        <f t="shared" ref="J26:J27" si="22">H26/$C$97</f>
        <v>0.67839727630948665</v>
      </c>
      <c r="K26" s="63">
        <f>+(H26/G26)-1</f>
        <v>2.9641848411764342</v>
      </c>
      <c r="L26" s="66">
        <f t="shared" ref="L26:L27" si="23">+H26-G26</f>
        <v>3751.6387302500002</v>
      </c>
      <c r="M26" s="63">
        <f t="shared" ref="M26:M27" si="24">+I26*K26</f>
        <v>1.6600164043007213</v>
      </c>
    </row>
    <row r="27" spans="1:13">
      <c r="A27" s="57" t="s">
        <v>162</v>
      </c>
      <c r="B27" s="58"/>
      <c r="C27" s="58"/>
      <c r="D27" s="85">
        <f t="shared" si="1"/>
        <v>0</v>
      </c>
      <c r="F27" s="67" t="str">
        <f>+A133</f>
        <v>                                                                3.2.2.4.2 Sociedades no financieras, hogares e ISFLSH</v>
      </c>
      <c r="G27" s="68">
        <f t="shared" ref="G27:H27" si="25">+B133</f>
        <v>614.77345513</v>
      </c>
      <c r="H27" s="68">
        <f t="shared" si="25"/>
        <v>1956.6183605000001</v>
      </c>
      <c r="I27" s="74">
        <f t="shared" si="21"/>
        <v>0.27202353260075962</v>
      </c>
      <c r="J27" s="74">
        <f t="shared" si="22"/>
        <v>0.2645578149427848</v>
      </c>
      <c r="K27" s="70">
        <f>+(H27/G27)-1</f>
        <v>2.1826656537833982</v>
      </c>
      <c r="L27" s="71">
        <f t="shared" si="23"/>
        <v>1341.8449053700001</v>
      </c>
      <c r="M27" s="70">
        <f t="shared" si="24"/>
        <v>0.59373642162850648</v>
      </c>
    </row>
    <row r="28" spans="1:13">
      <c r="A28" s="57" t="s">
        <v>163</v>
      </c>
      <c r="B28" s="58"/>
      <c r="C28" s="58"/>
      <c r="D28" s="85">
        <f t="shared" si="1"/>
        <v>0</v>
      </c>
    </row>
    <row r="29" spans="1:13" ht="16" thickBot="1">
      <c r="A29" s="57" t="s">
        <v>164</v>
      </c>
      <c r="B29" s="58"/>
      <c r="C29" s="58"/>
      <c r="D29" s="85">
        <f t="shared" si="1"/>
        <v>0</v>
      </c>
      <c r="F29" s="72"/>
      <c r="G29" s="72"/>
      <c r="H29" s="72"/>
      <c r="I29" s="72"/>
      <c r="J29" s="72"/>
      <c r="K29" s="72"/>
      <c r="L29" s="72"/>
      <c r="M29" s="72"/>
    </row>
    <row r="30" spans="1:13">
      <c r="A30" s="57" t="s">
        <v>165</v>
      </c>
      <c r="B30" s="58"/>
      <c r="C30" s="58"/>
      <c r="D30" s="85">
        <f t="shared" si="1"/>
        <v>0</v>
      </c>
    </row>
    <row r="31" spans="1:13">
      <c r="A31" s="57" t="s">
        <v>166</v>
      </c>
      <c r="B31" s="58"/>
      <c r="C31" s="58"/>
      <c r="D31" s="85">
        <f t="shared" si="1"/>
        <v>0</v>
      </c>
      <c r="F31" s="52" t="s">
        <v>167</v>
      </c>
      <c r="G31" s="53">
        <v>2024</v>
      </c>
      <c r="H31" s="54">
        <v>2025</v>
      </c>
    </row>
    <row r="32" spans="1:13">
      <c r="A32" s="57" t="s">
        <v>169</v>
      </c>
      <c r="B32" s="58"/>
      <c r="C32" s="58"/>
      <c r="D32" s="85">
        <f t="shared" si="1"/>
        <v>0</v>
      </c>
      <c r="F32" s="56" t="s">
        <v>134</v>
      </c>
      <c r="G32" s="56" t="s">
        <v>133</v>
      </c>
      <c r="H32" s="56" t="s">
        <v>133</v>
      </c>
      <c r="I32" s="149" t="s">
        <v>128</v>
      </c>
      <c r="J32" s="150"/>
      <c r="K32" s="56" t="s">
        <v>5</v>
      </c>
      <c r="L32" s="56" t="s">
        <v>135</v>
      </c>
      <c r="M32" s="56" t="s">
        <v>136</v>
      </c>
    </row>
    <row r="33" spans="1:13">
      <c r="A33" s="57" t="s">
        <v>168</v>
      </c>
      <c r="B33" s="58">
        <v>6479.9477735999999</v>
      </c>
      <c r="C33" s="58">
        <v>6578.8769792999992</v>
      </c>
      <c r="D33" s="85">
        <f t="shared" si="1"/>
        <v>98.929205699999329</v>
      </c>
      <c r="F33" s="59" t="str">
        <f>+A147</f>
        <v>                                    3.3.2 Sociedades captadoras de depósitos, excepto el banco central</v>
      </c>
      <c r="G33" s="73">
        <f t="shared" ref="G33:H33" si="26">+B147</f>
        <v>-303.88877830000001</v>
      </c>
      <c r="H33" s="73">
        <f t="shared" si="26"/>
        <v>-469.7896566</v>
      </c>
      <c r="I33" s="75">
        <f>G33/$B$144</f>
        <v>0.52834413346899312</v>
      </c>
      <c r="J33" s="75">
        <f>H33/$C$144</f>
        <v>0.53955331168817078</v>
      </c>
      <c r="K33" s="62">
        <f>+(H33/G33)-1</f>
        <v>0.54592630642064077</v>
      </c>
      <c r="L33" s="64">
        <f>+H33-G33</f>
        <v>-165.90087829999999</v>
      </c>
      <c r="M33" s="63">
        <f>+I33*K33</f>
        <v>0.28843696130374147</v>
      </c>
    </row>
    <row r="34" spans="1:13">
      <c r="A34" s="57" t="s">
        <v>140</v>
      </c>
      <c r="B34" s="58">
        <v>6638.3866295999997</v>
      </c>
      <c r="C34" s="58">
        <v>5512.0114530000001</v>
      </c>
      <c r="D34" s="85">
        <f t="shared" si="1"/>
        <v>-1126.3751765999996</v>
      </c>
      <c r="F34" s="65" t="str">
        <f>+A149</f>
        <v>                                    3.3.4 Otros sectores</v>
      </c>
      <c r="G34" s="60">
        <f t="shared" ref="G34:H34" si="27">+B149</f>
        <v>-271.28327150000001</v>
      </c>
      <c r="H34" s="60">
        <f t="shared" si="27"/>
        <v>-400.91143319999998</v>
      </c>
      <c r="I34" s="75">
        <f t="shared" ref="I34:I35" si="28">G34/$B$144</f>
        <v>0.47165586635714579</v>
      </c>
      <c r="J34" s="75">
        <f t="shared" ref="J34:J35" si="29">H34/$C$144</f>
        <v>0.4604466880821293</v>
      </c>
      <c r="K34" s="62">
        <f>+(H34/G34)-1</f>
        <v>0.47783322938878658</v>
      </c>
      <c r="L34" s="66">
        <f t="shared" ref="L34:L35" si="30">+H34-G34</f>
        <v>-129.62816169999996</v>
      </c>
      <c r="M34" s="63">
        <f t="shared" ref="M34:M35" si="31">+I34*K34</f>
        <v>0.22537284578160091</v>
      </c>
    </row>
    <row r="35" spans="1:13">
      <c r="A35" s="57" t="s">
        <v>141</v>
      </c>
      <c r="B35" s="58">
        <v>4258.1949789</v>
      </c>
      <c r="C35" s="58">
        <v>3022.9450354000001</v>
      </c>
      <c r="D35" s="85">
        <f t="shared" si="1"/>
        <v>-1235.2499435</v>
      </c>
      <c r="F35" s="67" t="str">
        <f>+A151</f>
        <v>                                                  3.3.4.2 Sociedades no financieras, hogares e ISFLSH</v>
      </c>
      <c r="G35" s="68">
        <f t="shared" ref="G35:H35" si="32">+B151</f>
        <v>-37.04548836</v>
      </c>
      <c r="H35" s="68">
        <f t="shared" si="32"/>
        <v>-135.37291642</v>
      </c>
      <c r="I35" s="75">
        <f t="shared" si="28"/>
        <v>6.4407664396141581E-2</v>
      </c>
      <c r="J35" s="75">
        <f t="shared" si="29"/>
        <v>0.15547576312325506</v>
      </c>
      <c r="K35" s="69">
        <f>+(H35/G35)-1</f>
        <v>2.6542348991184954</v>
      </c>
      <c r="L35" s="71">
        <f t="shared" si="30"/>
        <v>-98.327428059999988</v>
      </c>
      <c r="M35" s="70">
        <f t="shared" si="31"/>
        <v>0.17095307061095075</v>
      </c>
    </row>
    <row r="36" spans="1:13">
      <c r="A36" s="57" t="s">
        <v>143</v>
      </c>
      <c r="B36" s="58">
        <v>4258.1949789</v>
      </c>
      <c r="C36" s="58">
        <v>3022.9450354000001</v>
      </c>
      <c r="D36" s="85">
        <f t="shared" si="1"/>
        <v>-1235.2499435</v>
      </c>
    </row>
    <row r="37" spans="1:13">
      <c r="A37" s="57" t="s">
        <v>144</v>
      </c>
      <c r="B37" s="58"/>
      <c r="C37" s="58"/>
      <c r="D37" s="85">
        <f t="shared" si="1"/>
        <v>0</v>
      </c>
      <c r="F37" s="52" t="s">
        <v>175</v>
      </c>
      <c r="G37" s="53">
        <v>2024</v>
      </c>
      <c r="H37" s="54">
        <v>2025</v>
      </c>
    </row>
    <row r="38" spans="1:13">
      <c r="A38" s="57" t="s">
        <v>145</v>
      </c>
      <c r="B38" s="58"/>
      <c r="C38" s="58"/>
      <c r="D38" s="85">
        <f t="shared" si="1"/>
        <v>0</v>
      </c>
      <c r="F38" s="56" t="s">
        <v>134</v>
      </c>
      <c r="G38" s="56" t="s">
        <v>133</v>
      </c>
      <c r="H38" s="56" t="s">
        <v>133</v>
      </c>
      <c r="I38" s="149" t="s">
        <v>128</v>
      </c>
      <c r="J38" s="150"/>
      <c r="K38" s="56" t="s">
        <v>5</v>
      </c>
      <c r="L38" s="56" t="s">
        <v>135</v>
      </c>
      <c r="M38" s="56" t="s">
        <v>136</v>
      </c>
    </row>
    <row r="39" spans="1:13">
      <c r="A39" s="57" t="s">
        <v>146</v>
      </c>
      <c r="B39" s="58"/>
      <c r="C39" s="58"/>
      <c r="D39" s="85">
        <f t="shared" si="1"/>
        <v>0</v>
      </c>
      <c r="F39" s="59" t="str">
        <f>+A159</f>
        <v>                                    3.3.2 Sociedades captadoras de depósitos, excepto el banco central</v>
      </c>
      <c r="G39" s="73">
        <f>+B159</f>
        <v>-38.200677200000001</v>
      </c>
      <c r="H39" s="73">
        <f>+C159</f>
        <v>0</v>
      </c>
      <c r="I39" s="75">
        <f>-G39/$B$156</f>
        <v>-0.47649696159795468</v>
      </c>
      <c r="J39" s="74">
        <f>-H39/$C$136</f>
        <v>0</v>
      </c>
      <c r="K39" s="62">
        <f>+(H39/G39)-1</f>
        <v>-1</v>
      </c>
      <c r="L39" s="64">
        <f>+H39-G39</f>
        <v>38.200677200000001</v>
      </c>
      <c r="M39" s="63">
        <f>+I39*K39</f>
        <v>0.47649696159795468</v>
      </c>
    </row>
    <row r="40" spans="1:13">
      <c r="A40" s="57" t="s">
        <v>147</v>
      </c>
      <c r="B40" s="58"/>
      <c r="C40" s="58"/>
      <c r="D40" s="85">
        <f t="shared" si="1"/>
        <v>0</v>
      </c>
      <c r="F40" s="65" t="str">
        <f>+A161</f>
        <v>                                    3.3.4 Otros sectores</v>
      </c>
      <c r="G40" s="60">
        <f>+B161</f>
        <v>-41.969146080000002</v>
      </c>
      <c r="H40" s="60">
        <f>+C161</f>
        <v>0</v>
      </c>
      <c r="I40" s="75">
        <f t="shared" ref="I40:I41" si="33">-G40/$B$156</f>
        <v>-0.5235030385267806</v>
      </c>
      <c r="J40" s="63">
        <f t="shared" ref="J40:J41" si="34">-H40/$C$136</f>
        <v>0</v>
      </c>
      <c r="K40" s="62">
        <f>+(H40/G40)-1</f>
        <v>-1</v>
      </c>
      <c r="L40" s="66">
        <f t="shared" ref="L40:L41" si="35">+H40-G40</f>
        <v>41.969146080000002</v>
      </c>
      <c r="M40" s="63">
        <f t="shared" ref="M40:M41" si="36">+I40*K40</f>
        <v>0.5235030385267806</v>
      </c>
    </row>
    <row r="41" spans="1:13">
      <c r="A41" s="57" t="s">
        <v>148</v>
      </c>
      <c r="B41" s="58"/>
      <c r="C41" s="58"/>
      <c r="D41" s="85">
        <f t="shared" si="1"/>
        <v>0</v>
      </c>
      <c r="F41" s="67" t="str">
        <f>A162</f>
        <v>                                                  3.3.4.1 Otras sociedades financieras</v>
      </c>
      <c r="G41" s="68">
        <f>B162</f>
        <v>-39.868413699999998</v>
      </c>
      <c r="H41" s="68">
        <f>C162</f>
        <v>0</v>
      </c>
      <c r="I41" s="75">
        <f t="shared" si="33"/>
        <v>-0.49729950839144466</v>
      </c>
      <c r="J41" s="70">
        <f t="shared" si="34"/>
        <v>0</v>
      </c>
      <c r="K41" s="69">
        <f>+(H41/G41)-1</f>
        <v>-1</v>
      </c>
      <c r="L41" s="71">
        <f t="shared" si="35"/>
        <v>39.868413699999998</v>
      </c>
      <c r="M41" s="70">
        <f t="shared" si="36"/>
        <v>0.49729950839144466</v>
      </c>
    </row>
    <row r="42" spans="1:13">
      <c r="A42" s="57" t="s">
        <v>149</v>
      </c>
      <c r="B42" s="58">
        <v>2380.1916507999999</v>
      </c>
      <c r="C42" s="58">
        <v>2489.0664176999999</v>
      </c>
      <c r="D42" s="85">
        <f t="shared" si="1"/>
        <v>108.87476689999994</v>
      </c>
    </row>
    <row r="43" spans="1:13" ht="16" thickBot="1">
      <c r="A43" s="57" t="s">
        <v>150</v>
      </c>
      <c r="B43" s="58"/>
      <c r="C43" s="58"/>
      <c r="D43" s="85">
        <f t="shared" si="1"/>
        <v>0</v>
      </c>
      <c r="F43" s="72"/>
      <c r="G43" s="72"/>
      <c r="H43" s="72"/>
      <c r="I43" s="72"/>
      <c r="J43" s="72"/>
      <c r="K43" s="72"/>
      <c r="L43" s="72"/>
      <c r="M43" s="72"/>
    </row>
    <row r="44" spans="1:13">
      <c r="A44" s="57" t="s">
        <v>152</v>
      </c>
      <c r="B44" s="58"/>
      <c r="C44" s="58"/>
      <c r="D44" s="85">
        <f t="shared" si="1"/>
        <v>0</v>
      </c>
      <c r="F44" s="15"/>
    </row>
    <row r="45" spans="1:13">
      <c r="A45" s="57" t="s">
        <v>153</v>
      </c>
      <c r="B45" s="58">
        <v>-158.43885612000008</v>
      </c>
      <c r="C45" s="58">
        <v>1066.8655263000001</v>
      </c>
      <c r="D45" s="85">
        <f t="shared" si="1"/>
        <v>1225.3043824200001</v>
      </c>
      <c r="F45" s="52" t="s">
        <v>187</v>
      </c>
      <c r="G45" s="53">
        <v>2024</v>
      </c>
      <c r="H45" s="54">
        <v>2025</v>
      </c>
    </row>
    <row r="46" spans="1:13">
      <c r="A46" s="57" t="s">
        <v>154</v>
      </c>
      <c r="B46" s="58">
        <v>-158.43885612000008</v>
      </c>
      <c r="C46" s="58">
        <v>1066.8655263000001</v>
      </c>
      <c r="D46" s="85">
        <f t="shared" si="1"/>
        <v>1225.3043824200001</v>
      </c>
      <c r="F46" s="56" t="s">
        <v>134</v>
      </c>
      <c r="G46" s="56" t="s">
        <v>133</v>
      </c>
      <c r="H46" s="56" t="s">
        <v>133</v>
      </c>
      <c r="I46" s="149" t="s">
        <v>128</v>
      </c>
      <c r="J46" s="150"/>
      <c r="K46" s="56" t="s">
        <v>5</v>
      </c>
      <c r="L46" s="56" t="s">
        <v>135</v>
      </c>
      <c r="M46" s="56" t="s">
        <v>136</v>
      </c>
    </row>
    <row r="47" spans="1:13">
      <c r="A47" s="57" t="s">
        <v>155</v>
      </c>
      <c r="B47" s="58"/>
      <c r="C47" s="58"/>
      <c r="D47" s="85">
        <f t="shared" si="1"/>
        <v>0</v>
      </c>
      <c r="F47" s="59" t="str">
        <f>+A161</f>
        <v>                                    3.3.4 Otros sectores</v>
      </c>
      <c r="G47" s="73">
        <f t="shared" ref="G47:H47" si="37">+B161</f>
        <v>-41.969146080000002</v>
      </c>
      <c r="H47" s="73">
        <f t="shared" si="37"/>
        <v>0</v>
      </c>
      <c r="I47" s="75">
        <f>-G47/$B$136</f>
        <v>-8.4785772310696852E-2</v>
      </c>
      <c r="J47" s="74">
        <f>-H47/$C$136</f>
        <v>0</v>
      </c>
      <c r="K47" s="62">
        <f>+(H47/G47)-1</f>
        <v>-1</v>
      </c>
      <c r="L47" s="64">
        <f>+H47-G47</f>
        <v>41.969146080000002</v>
      </c>
      <c r="M47" s="63">
        <f>+I47*K47</f>
        <v>8.4785772310696852E-2</v>
      </c>
    </row>
    <row r="48" spans="1:13">
      <c r="A48" s="57" t="s">
        <v>156</v>
      </c>
      <c r="B48" s="58"/>
      <c r="C48" s="58"/>
      <c r="D48" s="85">
        <f t="shared" si="1"/>
        <v>0</v>
      </c>
      <c r="F48" s="65" t="str">
        <f>+A163</f>
        <v>                                                  3.3.4.2 Sociedades no financieras, hogares e ISFLSH</v>
      </c>
      <c r="G48" s="60">
        <f t="shared" ref="G48:H48" si="38">+B163</f>
        <v>-2.1007323769999999</v>
      </c>
      <c r="H48" s="60">
        <f t="shared" si="38"/>
        <v>0</v>
      </c>
      <c r="I48" s="75">
        <f t="shared" ref="I48:I49" si="39">-G48/$B$136</f>
        <v>-4.243884701931276E-3</v>
      </c>
      <c r="J48" s="63">
        <f t="shared" ref="J48:J49" si="40">-H48/$C$136</f>
        <v>0</v>
      </c>
      <c r="K48" s="62">
        <f>+(H48/G48)-1</f>
        <v>-1</v>
      </c>
      <c r="L48" s="66">
        <f t="shared" ref="L48:L49" si="41">+H48-G48</f>
        <v>2.1007323769999999</v>
      </c>
      <c r="M48" s="63">
        <f t="shared" ref="M48:M49" si="42">+I48*K48</f>
        <v>4.243884701931276E-3</v>
      </c>
    </row>
    <row r="49" spans="1:13">
      <c r="A49" s="57" t="s">
        <v>157</v>
      </c>
      <c r="B49" s="58"/>
      <c r="C49" s="58"/>
      <c r="D49" s="85">
        <f t="shared" si="1"/>
        <v>0</v>
      </c>
      <c r="F49" s="67" t="str">
        <f>+A165</f>
        <v>                                                                3.3.0.1.1 Opciones</v>
      </c>
      <c r="G49" s="68">
        <f t="shared" ref="G49:H49" si="43">+B165</f>
        <v>0</v>
      </c>
      <c r="H49" s="68">
        <f t="shared" si="43"/>
        <v>0</v>
      </c>
      <c r="I49" s="75">
        <f t="shared" si="39"/>
        <v>0</v>
      </c>
      <c r="J49" s="70">
        <f t="shared" si="40"/>
        <v>0</v>
      </c>
      <c r="K49" s="69" t="e">
        <f>+(H49/G49)-1</f>
        <v>#DIV/0!</v>
      </c>
      <c r="L49" s="71">
        <f t="shared" si="41"/>
        <v>0</v>
      </c>
      <c r="M49" s="70" t="e">
        <f t="shared" si="42"/>
        <v>#DIV/0!</v>
      </c>
    </row>
    <row r="50" spans="1:13">
      <c r="A50" s="57" t="s">
        <v>159</v>
      </c>
      <c r="B50" s="58"/>
      <c r="C50" s="58"/>
      <c r="D50" s="85">
        <f t="shared" si="1"/>
        <v>0</v>
      </c>
    </row>
    <row r="51" spans="1:13">
      <c r="A51" s="57" t="s">
        <v>160</v>
      </c>
      <c r="B51" s="58"/>
      <c r="C51" s="58"/>
      <c r="D51" s="85">
        <f t="shared" si="1"/>
        <v>0</v>
      </c>
      <c r="F51" s="52" t="s">
        <v>194</v>
      </c>
      <c r="G51" s="53">
        <v>2024</v>
      </c>
      <c r="H51" s="54">
        <v>2025</v>
      </c>
    </row>
    <row r="52" spans="1:13">
      <c r="A52" s="57" t="s">
        <v>161</v>
      </c>
      <c r="B52" s="58"/>
      <c r="C52" s="58"/>
      <c r="D52" s="85">
        <f t="shared" si="1"/>
        <v>0</v>
      </c>
      <c r="F52" s="56" t="s">
        <v>134</v>
      </c>
      <c r="G52" s="56" t="s">
        <v>133</v>
      </c>
      <c r="H52" s="56" t="s">
        <v>133</v>
      </c>
      <c r="I52" s="149" t="s">
        <v>128</v>
      </c>
      <c r="J52" s="150"/>
      <c r="K52" s="56" t="s">
        <v>5</v>
      </c>
      <c r="L52" s="56" t="s">
        <v>135</v>
      </c>
      <c r="M52" s="56" t="s">
        <v>136</v>
      </c>
    </row>
    <row r="53" spans="1:13">
      <c r="A53" s="57" t="s">
        <v>162</v>
      </c>
      <c r="B53" s="58"/>
      <c r="C53" s="58"/>
      <c r="D53" s="85">
        <f t="shared" si="1"/>
        <v>0</v>
      </c>
      <c r="F53" s="59" t="str">
        <f>+A173</f>
        <v>                                           Pasivos netos incurridos</v>
      </c>
      <c r="G53" s="73">
        <f>+B173</f>
        <v>0</v>
      </c>
      <c r="H53" s="73">
        <f>+C173</f>
        <v>0</v>
      </c>
      <c r="I53" s="75">
        <f>-G53/$B$136</f>
        <v>0</v>
      </c>
      <c r="J53" s="74">
        <f>-H53/$C$136</f>
        <v>0</v>
      </c>
      <c r="K53" s="62" t="e">
        <f>+(H53/G53)-1</f>
        <v>#DIV/0!</v>
      </c>
      <c r="L53" s="64">
        <f>+H53-G53</f>
        <v>0</v>
      </c>
      <c r="M53" s="63" t="e">
        <f>+I53*K53</f>
        <v>#DIV/0!</v>
      </c>
    </row>
    <row r="54" spans="1:13">
      <c r="A54" s="57" t="s">
        <v>163</v>
      </c>
      <c r="B54" s="58"/>
      <c r="C54" s="58"/>
      <c r="D54" s="85">
        <f t="shared" si="1"/>
        <v>0</v>
      </c>
      <c r="F54" s="65" t="str">
        <f>+A175</f>
        <v>                                           Adquisición neta de activos financieros</v>
      </c>
      <c r="G54" s="60">
        <f>+B175</f>
        <v>-1198.8502995499998</v>
      </c>
      <c r="H54" s="60">
        <f>+C175</f>
        <v>-1444.32823934</v>
      </c>
      <c r="I54" s="75">
        <f t="shared" ref="I54:I55" si="44">-G54/$B$136</f>
        <v>-2.4219089027569036</v>
      </c>
      <c r="J54" s="63">
        <f t="shared" ref="J54:J55" si="45">-H54/$C$136</f>
        <v>-1.6588106480261784</v>
      </c>
      <c r="K54" s="62">
        <f>+(H54/G54)-1</f>
        <v>0.20476112812595759</v>
      </c>
      <c r="L54" s="66">
        <f t="shared" ref="L54:L55" si="46">+H54-G54</f>
        <v>-245.47793979000016</v>
      </c>
      <c r="M54" s="63">
        <f t="shared" ref="M54:M55" si="47">+I54*K54</f>
        <v>-0.4959127991468037</v>
      </c>
    </row>
    <row r="55" spans="1:13">
      <c r="A55" s="57" t="s">
        <v>164</v>
      </c>
      <c r="B55" s="58"/>
      <c r="C55" s="58"/>
      <c r="D55" s="85">
        <f t="shared" si="1"/>
        <v>0</v>
      </c>
      <c r="F55" s="67" t="str">
        <f>A176</f>
        <v>                                                  3.4.2.1 Banco central</v>
      </c>
      <c r="G55" s="68">
        <f>B176</f>
        <v>0</v>
      </c>
      <c r="H55" s="68">
        <f>C176</f>
        <v>0</v>
      </c>
      <c r="I55" s="75">
        <f t="shared" si="44"/>
        <v>0</v>
      </c>
      <c r="J55" s="70">
        <f t="shared" si="45"/>
        <v>0</v>
      </c>
      <c r="K55" s="69" t="e">
        <f>+(H55/G55)-1</f>
        <v>#DIV/0!</v>
      </c>
      <c r="L55" s="71">
        <f t="shared" si="46"/>
        <v>0</v>
      </c>
      <c r="M55" s="70" t="e">
        <f t="shared" si="47"/>
        <v>#DIV/0!</v>
      </c>
    </row>
    <row r="56" spans="1:13">
      <c r="A56" s="57" t="s">
        <v>165</v>
      </c>
      <c r="B56" s="58"/>
      <c r="C56" s="58"/>
      <c r="D56" s="85">
        <f t="shared" si="1"/>
        <v>0</v>
      </c>
    </row>
    <row r="57" spans="1:13" ht="16" thickBot="1">
      <c r="A57" s="57" t="s">
        <v>166</v>
      </c>
      <c r="B57" s="58"/>
      <c r="C57" s="58"/>
      <c r="D57" s="85">
        <f t="shared" si="1"/>
        <v>0</v>
      </c>
      <c r="F57" s="72"/>
      <c r="G57" s="72"/>
      <c r="H57" s="72"/>
      <c r="I57" s="72"/>
      <c r="J57" s="72"/>
      <c r="K57" s="72"/>
      <c r="L57" s="72"/>
      <c r="M57" s="72"/>
    </row>
    <row r="58" spans="1:13">
      <c r="A58" s="57" t="s">
        <v>169</v>
      </c>
      <c r="B58" s="58"/>
      <c r="C58" s="58"/>
      <c r="D58" s="85">
        <f t="shared" si="1"/>
        <v>0</v>
      </c>
    </row>
    <row r="59" spans="1:13">
      <c r="A59" s="57" t="s">
        <v>203</v>
      </c>
      <c r="B59" s="58">
        <v>964.58688600000005</v>
      </c>
      <c r="C59" s="58">
        <v>-924.15812580000011</v>
      </c>
      <c r="D59" s="85">
        <f t="shared" si="1"/>
        <v>-1888.7450118000002</v>
      </c>
      <c r="F59" s="52" t="s">
        <v>204</v>
      </c>
      <c r="G59" s="53">
        <v>2024</v>
      </c>
      <c r="H59" s="54">
        <v>2025</v>
      </c>
    </row>
    <row r="60" spans="1:13">
      <c r="A60" s="57" t="s">
        <v>139</v>
      </c>
      <c r="B60" s="58">
        <v>3224.5878839000002</v>
      </c>
      <c r="C60" s="58">
        <v>6471.6481974999997</v>
      </c>
      <c r="D60" s="85">
        <f t="shared" si="1"/>
        <v>3247.0603135999995</v>
      </c>
      <c r="F60" s="56" t="s">
        <v>134</v>
      </c>
      <c r="G60" s="56" t="s">
        <v>133</v>
      </c>
      <c r="H60" s="56" t="s">
        <v>133</v>
      </c>
      <c r="I60" s="149" t="s">
        <v>128</v>
      </c>
      <c r="J60" s="150"/>
      <c r="K60" s="56" t="s">
        <v>5</v>
      </c>
      <c r="L60" s="56" t="s">
        <v>135</v>
      </c>
      <c r="M60" s="56" t="s">
        <v>136</v>
      </c>
    </row>
    <row r="61" spans="1:13">
      <c r="A61" s="57" t="s">
        <v>207</v>
      </c>
      <c r="B61" s="58">
        <v>2334.3123251699999</v>
      </c>
      <c r="C61" s="58">
        <v>3806.7003337999995</v>
      </c>
      <c r="D61" s="85">
        <f t="shared" si="1"/>
        <v>1472.3880086299996</v>
      </c>
      <c r="F61" s="59" t="str">
        <f>+A403</f>
        <v>                                                                3.5.4.2.1 Títulos de deuda</v>
      </c>
      <c r="G61" s="73">
        <f t="shared" ref="G61:H61" si="48">+B403</f>
        <v>1844.8281544199999</v>
      </c>
      <c r="H61" s="73">
        <f t="shared" si="48"/>
        <v>1070.9405848500001</v>
      </c>
      <c r="I61" s="75" t="e">
        <f>-G61/$B$391</f>
        <v>#DIV/0!</v>
      </c>
      <c r="J61" s="75" t="e">
        <f>-H61/$C$391</f>
        <v>#DIV/0!</v>
      </c>
      <c r="K61" s="62">
        <f>+(H61/G61)-1</f>
        <v>-0.419490329067156</v>
      </c>
      <c r="L61" s="64">
        <f>+H61-G61</f>
        <v>-773.88756956999987</v>
      </c>
      <c r="M61" s="63" t="e">
        <f>+I61*K61</f>
        <v>#DIV/0!</v>
      </c>
    </row>
    <row r="62" spans="1:13">
      <c r="A62" s="57" t="s">
        <v>209</v>
      </c>
      <c r="B62" s="58"/>
      <c r="C62" s="58"/>
      <c r="D62" s="85">
        <f t="shared" si="1"/>
        <v>0</v>
      </c>
      <c r="F62" s="65" t="str">
        <f>+A396</f>
        <v>                                    3.5.2 Derechos especiales de giro</v>
      </c>
      <c r="G62" s="60">
        <f t="shared" ref="G62:H62" si="49">+B396</f>
        <v>-12.072534130000001</v>
      </c>
      <c r="H62" s="60">
        <f t="shared" si="49"/>
        <v>-12.786396880000002</v>
      </c>
      <c r="I62" s="75" t="e">
        <f t="shared" ref="I62:I63" si="50">-G62/$B$391</f>
        <v>#DIV/0!</v>
      </c>
      <c r="J62" s="75" t="e">
        <f t="shared" ref="J62:J63" si="51">-H62/$C$391</f>
        <v>#DIV/0!</v>
      </c>
      <c r="K62" s="62">
        <f>+(H62/G62)-1</f>
        <v>5.9131143661550478E-2</v>
      </c>
      <c r="L62" s="66">
        <f t="shared" ref="L62:L63" si="52">+H62-G62</f>
        <v>-0.71386275000000055</v>
      </c>
      <c r="M62" s="63" t="e">
        <f t="shared" ref="M62:M63" si="53">+I62*K62</f>
        <v>#DIV/0!</v>
      </c>
    </row>
    <row r="63" spans="1:13">
      <c r="A63" s="57" t="s">
        <v>211</v>
      </c>
      <c r="B63" s="58"/>
      <c r="C63" s="58"/>
      <c r="D63" s="85">
        <f t="shared" si="1"/>
        <v>0</v>
      </c>
      <c r="F63" s="67" t="str">
        <f>+A408</f>
        <v>                                                  3.5.4.4 Otros activos</v>
      </c>
      <c r="G63" s="68">
        <f t="shared" ref="G63:H63" si="54">+B408</f>
        <v>33.2424143</v>
      </c>
      <c r="H63" s="68">
        <f t="shared" si="54"/>
        <v>30.0941291</v>
      </c>
      <c r="I63" s="75" t="e">
        <f t="shared" si="50"/>
        <v>#DIV/0!</v>
      </c>
      <c r="J63" s="75" t="e">
        <f t="shared" si="51"/>
        <v>#DIV/0!</v>
      </c>
      <c r="K63" s="69">
        <f>+(H63/G63)-1</f>
        <v>-9.4706875727735618E-2</v>
      </c>
      <c r="L63" s="71">
        <f t="shared" si="52"/>
        <v>-3.1482852000000001</v>
      </c>
      <c r="M63" s="70" t="e">
        <f t="shared" si="53"/>
        <v>#DIV/0!</v>
      </c>
    </row>
    <row r="64" spans="1:13">
      <c r="A64" s="57" t="s">
        <v>213</v>
      </c>
      <c r="B64" s="58">
        <v>32.415674896799999</v>
      </c>
      <c r="C64" s="58">
        <v>6.7198317471999998</v>
      </c>
      <c r="D64" s="85">
        <f t="shared" si="1"/>
        <v>-25.695843149599998</v>
      </c>
    </row>
    <row r="65" spans="1:4">
      <c r="A65" s="57" t="s">
        <v>215</v>
      </c>
      <c r="B65" s="58"/>
      <c r="C65" s="58"/>
      <c r="D65" s="85">
        <f t="shared" si="1"/>
        <v>0</v>
      </c>
    </row>
    <row r="66" spans="1:4">
      <c r="A66" s="57" t="s">
        <v>217</v>
      </c>
      <c r="B66" s="58">
        <v>2301.89665036</v>
      </c>
      <c r="C66" s="58">
        <v>3799.9805021000002</v>
      </c>
      <c r="D66" s="85">
        <f t="shared" si="1"/>
        <v>1498.0838517400002</v>
      </c>
    </row>
    <row r="67" spans="1:4">
      <c r="A67" s="57" t="s">
        <v>219</v>
      </c>
      <c r="B67" s="58">
        <v>2301.89665036</v>
      </c>
      <c r="C67" s="58">
        <v>3799.9805021000002</v>
      </c>
      <c r="D67" s="85">
        <f t="shared" si="1"/>
        <v>1498.0838517400002</v>
      </c>
    </row>
    <row r="68" spans="1:4">
      <c r="A68" s="57" t="s">
        <v>221</v>
      </c>
      <c r="B68" s="58"/>
      <c r="C68" s="58"/>
      <c r="D68" s="85">
        <f t="shared" si="1"/>
        <v>0</v>
      </c>
    </row>
    <row r="69" spans="1:4">
      <c r="A69" s="57" t="s">
        <v>223</v>
      </c>
      <c r="B69" s="58"/>
      <c r="C69" s="58"/>
      <c r="D69" s="85">
        <f t="shared" si="1"/>
        <v>0</v>
      </c>
    </row>
    <row r="70" spans="1:4">
      <c r="A70" s="57" t="s">
        <v>225</v>
      </c>
      <c r="B70" s="58"/>
      <c r="C70" s="58"/>
      <c r="D70" s="85">
        <f t="shared" ref="D70:D133" si="55">C70-B70</f>
        <v>0</v>
      </c>
    </row>
    <row r="71" spans="1:4">
      <c r="A71" s="57" t="s">
        <v>227</v>
      </c>
      <c r="B71" s="58"/>
      <c r="C71" s="58"/>
      <c r="D71" s="85">
        <f t="shared" si="55"/>
        <v>0</v>
      </c>
    </row>
    <row r="72" spans="1:4">
      <c r="A72" s="57" t="s">
        <v>229</v>
      </c>
      <c r="B72" s="58"/>
      <c r="C72" s="58"/>
      <c r="D72" s="85">
        <f t="shared" si="55"/>
        <v>0</v>
      </c>
    </row>
    <row r="73" spans="1:4">
      <c r="A73" s="57" t="s">
        <v>231</v>
      </c>
      <c r="B73" s="58"/>
      <c r="C73" s="58"/>
      <c r="D73" s="85">
        <f t="shared" si="55"/>
        <v>0</v>
      </c>
    </row>
    <row r="74" spans="1:4">
      <c r="A74" s="57" t="s">
        <v>233</v>
      </c>
      <c r="B74" s="58"/>
      <c r="C74" s="58"/>
      <c r="D74" s="85">
        <f t="shared" si="55"/>
        <v>0</v>
      </c>
    </row>
    <row r="75" spans="1:4">
      <c r="A75" s="57" t="s">
        <v>235</v>
      </c>
      <c r="B75" s="58">
        <v>890.27555867000001</v>
      </c>
      <c r="C75" s="58">
        <v>2664.9478635750002</v>
      </c>
      <c r="D75" s="85">
        <f t="shared" si="55"/>
        <v>1774.6723049050001</v>
      </c>
    </row>
    <row r="76" spans="1:4">
      <c r="A76" s="57" t="s">
        <v>236</v>
      </c>
      <c r="B76" s="58"/>
      <c r="C76" s="58"/>
      <c r="D76" s="85">
        <f t="shared" si="55"/>
        <v>0</v>
      </c>
    </row>
    <row r="77" spans="1:4">
      <c r="A77" s="57" t="s">
        <v>237</v>
      </c>
      <c r="B77" s="58"/>
      <c r="C77" s="58"/>
      <c r="D77" s="85">
        <f t="shared" si="55"/>
        <v>0</v>
      </c>
    </row>
    <row r="78" spans="1:4">
      <c r="A78" s="57" t="s">
        <v>239</v>
      </c>
      <c r="B78" s="58"/>
      <c r="C78" s="58"/>
      <c r="D78" s="85">
        <f t="shared" si="55"/>
        <v>0</v>
      </c>
    </row>
    <row r="79" spans="1:4">
      <c r="A79" s="57" t="s">
        <v>241</v>
      </c>
      <c r="B79" s="58"/>
      <c r="C79" s="58"/>
      <c r="D79" s="85">
        <f t="shared" si="55"/>
        <v>0</v>
      </c>
    </row>
    <row r="80" spans="1:4">
      <c r="A80" s="57" t="s">
        <v>243</v>
      </c>
      <c r="B80" s="58"/>
      <c r="C80" s="58"/>
      <c r="D80" s="85">
        <f t="shared" si="55"/>
        <v>0</v>
      </c>
    </row>
    <row r="81" spans="1:4">
      <c r="A81" s="57" t="s">
        <v>245</v>
      </c>
      <c r="B81" s="58"/>
      <c r="C81" s="58"/>
      <c r="D81" s="85">
        <f t="shared" si="55"/>
        <v>0</v>
      </c>
    </row>
    <row r="82" spans="1:4">
      <c r="A82" s="57" t="s">
        <v>247</v>
      </c>
      <c r="B82" s="58">
        <v>175.13960431999999</v>
      </c>
      <c r="C82" s="58">
        <v>54.246217689999995</v>
      </c>
      <c r="D82" s="85">
        <f t="shared" si="55"/>
        <v>-120.89338662999999</v>
      </c>
    </row>
    <row r="83" spans="1:4">
      <c r="A83" s="57" t="s">
        <v>249</v>
      </c>
      <c r="B83" s="58">
        <v>175.13960431999999</v>
      </c>
      <c r="C83" s="58">
        <v>54.246217689999995</v>
      </c>
      <c r="D83" s="85">
        <f t="shared" si="55"/>
        <v>-120.89338662999999</v>
      </c>
    </row>
    <row r="84" spans="1:4">
      <c r="A84" s="57" t="s">
        <v>251</v>
      </c>
      <c r="B84" s="58"/>
      <c r="C84" s="58"/>
      <c r="D84" s="85">
        <f t="shared" si="55"/>
        <v>0</v>
      </c>
    </row>
    <row r="85" spans="1:4">
      <c r="A85" s="57" t="s">
        <v>253</v>
      </c>
      <c r="B85" s="58">
        <v>201.12058787299998</v>
      </c>
      <c r="C85" s="58">
        <v>37.7026095537</v>
      </c>
      <c r="D85" s="85">
        <f t="shared" si="55"/>
        <v>-163.41797831929998</v>
      </c>
    </row>
    <row r="86" spans="1:4">
      <c r="A86" s="57" t="s">
        <v>255</v>
      </c>
      <c r="B86" s="58">
        <v>7.3186369179000001</v>
      </c>
      <c r="C86" s="58">
        <v>0.70369610900000001</v>
      </c>
      <c r="D86" s="85">
        <f t="shared" si="55"/>
        <v>-6.6149408089000001</v>
      </c>
    </row>
    <row r="87" spans="1:4">
      <c r="A87" s="57" t="s">
        <v>257</v>
      </c>
      <c r="B87" s="58">
        <v>193.80195094600001</v>
      </c>
      <c r="C87" s="58">
        <v>36.998913445200003</v>
      </c>
      <c r="D87" s="85">
        <f t="shared" si="55"/>
        <v>-156.8030375008</v>
      </c>
    </row>
    <row r="88" spans="1:4">
      <c r="A88" s="57" t="s">
        <v>259</v>
      </c>
      <c r="B88" s="58">
        <v>514.01536646</v>
      </c>
      <c r="C88" s="58">
        <v>2572.9990363799998</v>
      </c>
      <c r="D88" s="85">
        <f t="shared" si="55"/>
        <v>2058.9836699199996</v>
      </c>
    </row>
    <row r="89" spans="1:4">
      <c r="A89" s="57" t="s">
        <v>261</v>
      </c>
      <c r="B89" s="58">
        <v>317.68754679</v>
      </c>
      <c r="C89" s="58">
        <v>137.02056291000002</v>
      </c>
      <c r="D89" s="85">
        <f t="shared" si="55"/>
        <v>-180.66698387999998</v>
      </c>
    </row>
    <row r="90" spans="1:4">
      <c r="A90" s="57" t="s">
        <v>263</v>
      </c>
      <c r="B90" s="58">
        <v>196.32781969000001</v>
      </c>
      <c r="C90" s="58">
        <v>2435.9784735000003</v>
      </c>
      <c r="D90" s="85">
        <f t="shared" si="55"/>
        <v>2239.6506538100002</v>
      </c>
    </row>
    <row r="91" spans="1:4">
      <c r="A91" s="57" t="s">
        <v>265</v>
      </c>
      <c r="B91" s="58">
        <v>686.95815094</v>
      </c>
      <c r="C91" s="58">
        <v>825.28652971999998</v>
      </c>
      <c r="D91" s="85">
        <f t="shared" si="55"/>
        <v>138.32837877999998</v>
      </c>
    </row>
    <row r="92" spans="1:4">
      <c r="A92" s="57" t="s">
        <v>267</v>
      </c>
      <c r="B92" s="58">
        <v>54.760201504000001</v>
      </c>
      <c r="C92" s="58">
        <v>106.628565087</v>
      </c>
      <c r="D92" s="85">
        <f t="shared" si="55"/>
        <v>51.868363582999997</v>
      </c>
    </row>
    <row r="93" spans="1:4">
      <c r="A93" s="57" t="s">
        <v>269</v>
      </c>
      <c r="B93" s="58">
        <v>632.19794944</v>
      </c>
      <c r="C93" s="58">
        <v>718.65796464000005</v>
      </c>
      <c r="D93" s="85">
        <f t="shared" si="55"/>
        <v>86.460015200000043</v>
      </c>
    </row>
    <row r="94" spans="1:4">
      <c r="A94" s="57" t="s">
        <v>271</v>
      </c>
      <c r="B94" s="58">
        <v>-172.94278452999998</v>
      </c>
      <c r="C94" s="58">
        <v>1747.7125066999999</v>
      </c>
      <c r="D94" s="85">
        <f t="shared" si="55"/>
        <v>1920.6552912299999</v>
      </c>
    </row>
    <row r="95" spans="1:4">
      <c r="A95" s="57" t="s">
        <v>273</v>
      </c>
      <c r="B95" s="58">
        <v>262.92734529000001</v>
      </c>
      <c r="C95" s="58">
        <v>30.391997849999996</v>
      </c>
      <c r="D95" s="85">
        <f t="shared" si="55"/>
        <v>-232.53534744000001</v>
      </c>
    </row>
    <row r="96" spans="1:4">
      <c r="A96" s="57" t="s">
        <v>275</v>
      </c>
      <c r="B96" s="58">
        <v>-435.87012976</v>
      </c>
      <c r="C96" s="58">
        <v>1717.3205088999998</v>
      </c>
      <c r="D96" s="85">
        <f t="shared" si="55"/>
        <v>2153.1906386599999</v>
      </c>
    </row>
    <row r="97" spans="1:4">
      <c r="A97" s="57" t="s">
        <v>168</v>
      </c>
      <c r="B97" s="58">
        <v>2260.0009979000001</v>
      </c>
      <c r="C97" s="58">
        <v>7395.8063228000001</v>
      </c>
      <c r="D97" s="85">
        <f t="shared" si="55"/>
        <v>5135.8053249000004</v>
      </c>
    </row>
    <row r="98" spans="1:4">
      <c r="A98" s="57" t="s">
        <v>207</v>
      </c>
      <c r="B98" s="58">
        <v>132.26440752870002</v>
      </c>
      <c r="C98" s="58">
        <v>496.89309677999995</v>
      </c>
      <c r="D98" s="85">
        <f t="shared" si="55"/>
        <v>364.62868925129993</v>
      </c>
    </row>
    <row r="99" spans="1:4">
      <c r="A99" s="57" t="s">
        <v>209</v>
      </c>
      <c r="B99" s="58"/>
      <c r="C99" s="58"/>
      <c r="D99" s="85">
        <f t="shared" si="55"/>
        <v>0</v>
      </c>
    </row>
    <row r="100" spans="1:4">
      <c r="A100" s="57" t="s">
        <v>211</v>
      </c>
      <c r="B100" s="58"/>
      <c r="C100" s="58"/>
      <c r="D100" s="85">
        <f t="shared" si="55"/>
        <v>0</v>
      </c>
    </row>
    <row r="101" spans="1:4">
      <c r="A101" s="57" t="s">
        <v>213</v>
      </c>
      <c r="B101" s="58"/>
      <c r="C101" s="58"/>
      <c r="D101" s="85">
        <f t="shared" si="55"/>
        <v>0</v>
      </c>
    </row>
    <row r="102" spans="1:4">
      <c r="A102" s="57" t="s">
        <v>215</v>
      </c>
      <c r="B102" s="58"/>
      <c r="C102" s="58"/>
      <c r="D102" s="85">
        <f t="shared" si="55"/>
        <v>0</v>
      </c>
    </row>
    <row r="103" spans="1:4">
      <c r="A103" s="57" t="s">
        <v>217</v>
      </c>
      <c r="B103" s="58">
        <v>132.26440752870002</v>
      </c>
      <c r="C103" s="58">
        <v>496.89309677999995</v>
      </c>
      <c r="D103" s="85">
        <f t="shared" si="55"/>
        <v>364.62868925129993</v>
      </c>
    </row>
    <row r="104" spans="1:4">
      <c r="A104" s="57" t="s">
        <v>219</v>
      </c>
      <c r="B104" s="58"/>
      <c r="C104" s="58"/>
      <c r="D104" s="85">
        <f t="shared" si="55"/>
        <v>0</v>
      </c>
    </row>
    <row r="105" spans="1:4">
      <c r="A105" s="57" t="s">
        <v>221</v>
      </c>
      <c r="B105" s="58">
        <v>132.26440752870002</v>
      </c>
      <c r="C105" s="58">
        <v>496.89309677999995</v>
      </c>
      <c r="D105" s="85">
        <f t="shared" si="55"/>
        <v>364.62868925129993</v>
      </c>
    </row>
    <row r="106" spans="1:4">
      <c r="A106" s="57" t="s">
        <v>223</v>
      </c>
      <c r="B106" s="58"/>
      <c r="C106" s="58"/>
      <c r="D106" s="85">
        <f t="shared" si="55"/>
        <v>0</v>
      </c>
    </row>
    <row r="107" spans="1:4">
      <c r="A107" s="57" t="s">
        <v>225</v>
      </c>
      <c r="B107" s="58"/>
      <c r="C107" s="58"/>
      <c r="D107" s="85">
        <f t="shared" si="55"/>
        <v>0</v>
      </c>
    </row>
    <row r="108" spans="1:4">
      <c r="A108" s="57" t="s">
        <v>227</v>
      </c>
      <c r="B108" s="58"/>
      <c r="C108" s="58"/>
      <c r="D108" s="85">
        <f t="shared" si="55"/>
        <v>0</v>
      </c>
    </row>
    <row r="109" spans="1:4">
      <c r="A109" s="57" t="s">
        <v>229</v>
      </c>
      <c r="B109" s="58"/>
      <c r="C109" s="58"/>
      <c r="D109" s="85">
        <f t="shared" si="55"/>
        <v>0</v>
      </c>
    </row>
    <row r="110" spans="1:4">
      <c r="A110" s="57" t="s">
        <v>231</v>
      </c>
      <c r="B110" s="58"/>
      <c r="C110" s="58"/>
      <c r="D110" s="85">
        <f t="shared" si="55"/>
        <v>0</v>
      </c>
    </row>
    <row r="111" spans="1:4">
      <c r="A111" s="57" t="s">
        <v>233</v>
      </c>
      <c r="B111" s="58"/>
      <c r="C111" s="58"/>
      <c r="D111" s="85">
        <f t="shared" si="55"/>
        <v>0</v>
      </c>
    </row>
    <row r="112" spans="1:4">
      <c r="A112" s="57" t="s">
        <v>235</v>
      </c>
      <c r="B112" s="58">
        <v>2127.7365903499999</v>
      </c>
      <c r="C112" s="58">
        <v>6898.9132260000006</v>
      </c>
      <c r="D112" s="85">
        <f t="shared" si="55"/>
        <v>4771.1766356500011</v>
      </c>
    </row>
    <row r="113" spans="1:4">
      <c r="A113" s="57" t="s">
        <v>236</v>
      </c>
      <c r="B113" s="58"/>
      <c r="C113" s="58"/>
      <c r="D113" s="85">
        <f t="shared" si="55"/>
        <v>0</v>
      </c>
    </row>
    <row r="114" spans="1:4">
      <c r="A114" s="57" t="s">
        <v>237</v>
      </c>
      <c r="B114" s="58"/>
      <c r="C114" s="58"/>
      <c r="D114" s="85">
        <f t="shared" si="55"/>
        <v>0</v>
      </c>
    </row>
    <row r="115" spans="1:4">
      <c r="A115" s="57" t="s">
        <v>239</v>
      </c>
      <c r="B115" s="58"/>
      <c r="C115" s="58"/>
      <c r="D115" s="85">
        <f t="shared" si="55"/>
        <v>0</v>
      </c>
    </row>
    <row r="116" spans="1:4">
      <c r="A116" s="57" t="s">
        <v>241</v>
      </c>
      <c r="B116" s="58"/>
      <c r="C116" s="58"/>
      <c r="D116" s="85">
        <f t="shared" si="55"/>
        <v>0</v>
      </c>
    </row>
    <row r="117" spans="1:4">
      <c r="A117" s="57" t="s">
        <v>243</v>
      </c>
      <c r="B117" s="58"/>
      <c r="C117" s="58"/>
      <c r="D117" s="85">
        <f t="shared" si="55"/>
        <v>0</v>
      </c>
    </row>
    <row r="118" spans="1:4">
      <c r="A118" s="57" t="s">
        <v>245</v>
      </c>
      <c r="B118" s="58"/>
      <c r="C118" s="58"/>
      <c r="D118" s="85">
        <f t="shared" si="55"/>
        <v>0</v>
      </c>
    </row>
    <row r="119" spans="1:4">
      <c r="A119" s="57" t="s">
        <v>247</v>
      </c>
      <c r="B119" s="58">
        <v>247.30700000000002</v>
      </c>
      <c r="C119" s="58">
        <v>-400</v>
      </c>
      <c r="D119" s="85">
        <f t="shared" si="55"/>
        <v>-647.30700000000002</v>
      </c>
    </row>
    <row r="120" spans="1:4">
      <c r="A120" s="57" t="s">
        <v>249</v>
      </c>
      <c r="B120" s="58"/>
      <c r="C120" s="58"/>
      <c r="D120" s="85">
        <f t="shared" si="55"/>
        <v>0</v>
      </c>
    </row>
    <row r="121" spans="1:4">
      <c r="A121" s="57" t="s">
        <v>251</v>
      </c>
      <c r="B121" s="58">
        <v>247.30700000000002</v>
      </c>
      <c r="C121" s="58">
        <v>-400</v>
      </c>
      <c r="D121" s="85">
        <f t="shared" si="55"/>
        <v>-647.30700000000002</v>
      </c>
    </row>
    <row r="122" spans="1:4">
      <c r="A122" s="57" t="s">
        <v>253</v>
      </c>
      <c r="B122" s="58">
        <v>1265.6561352499998</v>
      </c>
      <c r="C122" s="58">
        <v>5017.2948655</v>
      </c>
      <c r="D122" s="85">
        <f t="shared" si="55"/>
        <v>3751.6387302500002</v>
      </c>
    </row>
    <row r="123" spans="1:4">
      <c r="A123" s="57" t="s">
        <v>255</v>
      </c>
      <c r="B123" s="58">
        <v>0</v>
      </c>
      <c r="C123" s="58">
        <v>0</v>
      </c>
      <c r="D123" s="85">
        <f t="shared" si="55"/>
        <v>0</v>
      </c>
    </row>
    <row r="124" spans="1:4">
      <c r="A124" s="57" t="s">
        <v>257</v>
      </c>
      <c r="B124" s="58">
        <v>1265.6561352499998</v>
      </c>
      <c r="C124" s="58">
        <v>5017.2948655</v>
      </c>
      <c r="D124" s="85">
        <f t="shared" si="55"/>
        <v>3751.6387302500002</v>
      </c>
    </row>
    <row r="125" spans="1:4">
      <c r="A125" s="57" t="s">
        <v>305</v>
      </c>
      <c r="B125" s="58">
        <v>624.82913525000004</v>
      </c>
      <c r="C125" s="58">
        <v>1568.2708654899998</v>
      </c>
      <c r="D125" s="85">
        <f t="shared" si="55"/>
        <v>943.44173023999974</v>
      </c>
    </row>
    <row r="126" spans="1:4">
      <c r="A126" s="57" t="s">
        <v>307</v>
      </c>
      <c r="B126" s="58">
        <v>640.827</v>
      </c>
      <c r="C126" s="58">
        <v>3449.0239999999999</v>
      </c>
      <c r="D126" s="85">
        <f t="shared" si="55"/>
        <v>2808.1970000000001</v>
      </c>
    </row>
    <row r="127" spans="1:4">
      <c r="A127" s="57" t="s">
        <v>259</v>
      </c>
      <c r="B127" s="58">
        <v>614.77345513</v>
      </c>
      <c r="C127" s="58">
        <v>2281.6183604999997</v>
      </c>
      <c r="D127" s="85">
        <f t="shared" si="55"/>
        <v>1666.8449053699997</v>
      </c>
    </row>
    <row r="128" spans="1:4">
      <c r="A128" s="57" t="s">
        <v>261</v>
      </c>
      <c r="B128" s="58">
        <v>0</v>
      </c>
      <c r="C128" s="58">
        <v>0</v>
      </c>
      <c r="D128" s="85">
        <f t="shared" si="55"/>
        <v>0</v>
      </c>
    </row>
    <row r="129" spans="1:4">
      <c r="A129" s="57" t="s">
        <v>263</v>
      </c>
      <c r="B129" s="58">
        <v>614.77345513</v>
      </c>
      <c r="C129" s="58">
        <v>2281.6183604999997</v>
      </c>
      <c r="D129" s="85">
        <f t="shared" si="55"/>
        <v>1666.8449053699997</v>
      </c>
    </row>
    <row r="130" spans="1:4">
      <c r="A130" s="57" t="s">
        <v>265</v>
      </c>
      <c r="B130" s="58">
        <v>0</v>
      </c>
      <c r="C130" s="58">
        <v>325</v>
      </c>
      <c r="D130" s="85">
        <f t="shared" si="55"/>
        <v>325</v>
      </c>
    </row>
    <row r="131" spans="1:4">
      <c r="A131" s="57" t="s">
        <v>267</v>
      </c>
      <c r="B131" s="58">
        <v>0</v>
      </c>
      <c r="C131" s="58">
        <v>0</v>
      </c>
      <c r="D131" s="85">
        <f t="shared" si="55"/>
        <v>0</v>
      </c>
    </row>
    <row r="132" spans="1:4">
      <c r="A132" s="57" t="s">
        <v>269</v>
      </c>
      <c r="B132" s="58">
        <v>0</v>
      </c>
      <c r="C132" s="58">
        <v>325</v>
      </c>
      <c r="D132" s="85">
        <f t="shared" si="55"/>
        <v>325</v>
      </c>
    </row>
    <row r="133" spans="1:4">
      <c r="A133" s="57" t="s">
        <v>271</v>
      </c>
      <c r="B133" s="58">
        <v>614.77345513</v>
      </c>
      <c r="C133" s="58">
        <v>1956.6183605000001</v>
      </c>
      <c r="D133" s="85">
        <f t="shared" si="55"/>
        <v>1341.8449053700001</v>
      </c>
    </row>
    <row r="134" spans="1:4">
      <c r="A134" s="57" t="s">
        <v>273</v>
      </c>
      <c r="B134" s="58">
        <v>0</v>
      </c>
      <c r="C134" s="58">
        <v>0</v>
      </c>
      <c r="D134" s="85">
        <f t="shared" ref="D134:D197" si="56">C134-B134</f>
        <v>0</v>
      </c>
    </row>
    <row r="135" spans="1:4">
      <c r="A135" s="57" t="s">
        <v>275</v>
      </c>
      <c r="B135" s="58">
        <v>614.77345513</v>
      </c>
      <c r="C135" s="58">
        <v>1956.6183605000001</v>
      </c>
      <c r="D135" s="85">
        <f t="shared" si="56"/>
        <v>1341.8449053700001</v>
      </c>
    </row>
    <row r="136" spans="1:4">
      <c r="A136" s="57" t="s">
        <v>318</v>
      </c>
      <c r="B136" s="58">
        <v>-495.00222662600004</v>
      </c>
      <c r="C136" s="58">
        <v>-870.70109000000002</v>
      </c>
      <c r="D136" s="85">
        <f t="shared" si="56"/>
        <v>-375.69886337399998</v>
      </c>
    </row>
    <row r="137" spans="1:4">
      <c r="A137" s="57" t="s">
        <v>320</v>
      </c>
      <c r="B137" s="58">
        <v>0</v>
      </c>
      <c r="C137" s="58">
        <v>0</v>
      </c>
      <c r="D137" s="85">
        <f t="shared" si="56"/>
        <v>0</v>
      </c>
    </row>
    <row r="138" spans="1:4">
      <c r="A138" s="57" t="s">
        <v>322</v>
      </c>
      <c r="B138" s="58">
        <v>0</v>
      </c>
      <c r="C138" s="58">
        <v>0</v>
      </c>
      <c r="D138" s="85">
        <f t="shared" si="56"/>
        <v>0</v>
      </c>
    </row>
    <row r="139" spans="1:4">
      <c r="A139" s="57" t="s">
        <v>323</v>
      </c>
      <c r="B139" s="58">
        <v>-265.68810110100003</v>
      </c>
      <c r="C139" s="58">
        <v>-469.7896566</v>
      </c>
      <c r="D139" s="85">
        <f t="shared" si="56"/>
        <v>-204.10155549899997</v>
      </c>
    </row>
    <row r="140" spans="1:4">
      <c r="A140" s="57" t="s">
        <v>324</v>
      </c>
      <c r="B140" s="58">
        <v>0</v>
      </c>
      <c r="C140" s="58">
        <v>0</v>
      </c>
      <c r="D140" s="85">
        <f t="shared" si="56"/>
        <v>0</v>
      </c>
    </row>
    <row r="141" spans="1:4">
      <c r="A141" s="57" t="s">
        <v>325</v>
      </c>
      <c r="B141" s="58">
        <v>-229.31412542500001</v>
      </c>
      <c r="C141" s="58">
        <v>-400.91143319999998</v>
      </c>
      <c r="D141" s="85">
        <f t="shared" si="56"/>
        <v>-171.59730777499996</v>
      </c>
    </row>
    <row r="142" spans="1:4">
      <c r="A142" s="57" t="s">
        <v>326</v>
      </c>
      <c r="B142" s="58">
        <v>-194.36936950199998</v>
      </c>
      <c r="C142" s="58">
        <v>-265.53851680000002</v>
      </c>
      <c r="D142" s="85">
        <f t="shared" si="56"/>
        <v>-71.169147298000041</v>
      </c>
    </row>
    <row r="143" spans="1:4">
      <c r="A143" s="57" t="s">
        <v>327</v>
      </c>
      <c r="B143" s="58">
        <v>-34.944755982700002</v>
      </c>
      <c r="C143" s="58">
        <v>-135.37291642</v>
      </c>
      <c r="D143" s="85">
        <f t="shared" si="56"/>
        <v>-100.42816043729999</v>
      </c>
    </row>
    <row r="144" spans="1:4">
      <c r="A144" s="57" t="s">
        <v>139</v>
      </c>
      <c r="B144" s="58">
        <v>-575.17204990000005</v>
      </c>
      <c r="C144" s="58">
        <v>-870.70109000000002</v>
      </c>
      <c r="D144" s="85">
        <f t="shared" si="56"/>
        <v>-295.52904009999997</v>
      </c>
    </row>
    <row r="145" spans="1:4">
      <c r="A145" s="57" t="s">
        <v>320</v>
      </c>
      <c r="B145" s="58"/>
      <c r="C145" s="58"/>
      <c r="D145" s="85">
        <f t="shared" si="56"/>
        <v>0</v>
      </c>
    </row>
    <row r="146" spans="1:4">
      <c r="A146" s="57" t="s">
        <v>322</v>
      </c>
      <c r="B146" s="58"/>
      <c r="C146" s="58"/>
      <c r="D146" s="85">
        <f t="shared" si="56"/>
        <v>0</v>
      </c>
    </row>
    <row r="147" spans="1:4">
      <c r="A147" s="57" t="s">
        <v>323</v>
      </c>
      <c r="B147" s="58">
        <v>-303.88877830000001</v>
      </c>
      <c r="C147" s="58">
        <v>-469.7896566</v>
      </c>
      <c r="D147" s="85">
        <f t="shared" si="56"/>
        <v>-165.90087829999999</v>
      </c>
    </row>
    <row r="148" spans="1:4">
      <c r="A148" s="57" t="s">
        <v>324</v>
      </c>
      <c r="B148" s="58"/>
      <c r="C148" s="58"/>
      <c r="D148" s="85">
        <f t="shared" si="56"/>
        <v>0</v>
      </c>
    </row>
    <row r="149" spans="1:4">
      <c r="A149" s="57" t="s">
        <v>325</v>
      </c>
      <c r="B149" s="58">
        <v>-271.28327150000001</v>
      </c>
      <c r="C149" s="58">
        <v>-400.91143319999998</v>
      </c>
      <c r="D149" s="85">
        <f t="shared" si="56"/>
        <v>-129.62816169999996</v>
      </c>
    </row>
    <row r="150" spans="1:4">
      <c r="A150" s="57" t="s">
        <v>326</v>
      </c>
      <c r="B150" s="58">
        <v>-234.2377832</v>
      </c>
      <c r="C150" s="58">
        <v>-265.53851680000002</v>
      </c>
      <c r="D150" s="85">
        <f t="shared" si="56"/>
        <v>-31.300733600000029</v>
      </c>
    </row>
    <row r="151" spans="1:4">
      <c r="A151" s="57" t="s">
        <v>327</v>
      </c>
      <c r="B151" s="58">
        <v>-37.04548836</v>
      </c>
      <c r="C151" s="58">
        <v>-135.37291642</v>
      </c>
      <c r="D151" s="85">
        <f t="shared" si="56"/>
        <v>-98.327428059999988</v>
      </c>
    </row>
    <row r="152" spans="1:4">
      <c r="A152" s="57" t="s">
        <v>328</v>
      </c>
      <c r="B152" s="58"/>
      <c r="C152" s="58"/>
      <c r="D152" s="85">
        <f t="shared" si="56"/>
        <v>0</v>
      </c>
    </row>
    <row r="153" spans="1:4">
      <c r="A153" s="57" t="s">
        <v>329</v>
      </c>
      <c r="B153" s="58"/>
      <c r="C153" s="58"/>
      <c r="D153" s="85">
        <f t="shared" si="56"/>
        <v>0</v>
      </c>
    </row>
    <row r="154" spans="1:4">
      <c r="A154" s="57" t="s">
        <v>330</v>
      </c>
      <c r="B154" s="58"/>
      <c r="C154" s="58"/>
      <c r="D154" s="85">
        <f t="shared" si="56"/>
        <v>0</v>
      </c>
    </row>
    <row r="155" spans="1:4">
      <c r="A155" s="57" t="s">
        <v>331</v>
      </c>
      <c r="B155" s="58"/>
      <c r="C155" s="58"/>
      <c r="D155" s="85">
        <f t="shared" si="56"/>
        <v>0</v>
      </c>
    </row>
    <row r="156" spans="1:4">
      <c r="A156" s="57" t="s">
        <v>168</v>
      </c>
      <c r="B156" s="58">
        <v>-80.169823269999995</v>
      </c>
      <c r="C156" s="58">
        <v>0</v>
      </c>
      <c r="D156" s="85">
        <f t="shared" si="56"/>
        <v>80.169823269999995</v>
      </c>
    </row>
    <row r="157" spans="1:4">
      <c r="A157" s="57" t="s">
        <v>320</v>
      </c>
      <c r="B157" s="58"/>
      <c r="C157" s="58"/>
      <c r="D157" s="85">
        <f t="shared" si="56"/>
        <v>0</v>
      </c>
    </row>
    <row r="158" spans="1:4">
      <c r="A158" s="57" t="s">
        <v>322</v>
      </c>
      <c r="B158" s="58"/>
      <c r="C158" s="58"/>
      <c r="D158" s="85">
        <f t="shared" si="56"/>
        <v>0</v>
      </c>
    </row>
    <row r="159" spans="1:4">
      <c r="A159" s="57" t="s">
        <v>323</v>
      </c>
      <c r="B159" s="58">
        <v>-38.200677200000001</v>
      </c>
      <c r="C159" s="58">
        <v>0</v>
      </c>
      <c r="D159" s="85">
        <f t="shared" si="56"/>
        <v>38.200677200000001</v>
      </c>
    </row>
    <row r="160" spans="1:4">
      <c r="A160" s="57" t="s">
        <v>324</v>
      </c>
      <c r="B160" s="58">
        <v>0</v>
      </c>
      <c r="C160" s="58">
        <v>0</v>
      </c>
      <c r="D160" s="85">
        <f t="shared" si="56"/>
        <v>0</v>
      </c>
    </row>
    <row r="161" spans="1:4">
      <c r="A161" s="57" t="s">
        <v>325</v>
      </c>
      <c r="B161" s="58">
        <v>-41.969146080000002</v>
      </c>
      <c r="C161" s="58">
        <v>0</v>
      </c>
      <c r="D161" s="85">
        <f t="shared" si="56"/>
        <v>41.969146080000002</v>
      </c>
    </row>
    <row r="162" spans="1:4">
      <c r="A162" s="57" t="s">
        <v>326</v>
      </c>
      <c r="B162" s="58">
        <v>-39.868413699999998</v>
      </c>
      <c r="C162" s="58">
        <v>0</v>
      </c>
      <c r="D162" s="85">
        <f t="shared" si="56"/>
        <v>39.868413699999998</v>
      </c>
    </row>
    <row r="163" spans="1:4">
      <c r="A163" s="57" t="s">
        <v>327</v>
      </c>
      <c r="B163" s="58">
        <v>-2.1007323769999999</v>
      </c>
      <c r="C163" s="58">
        <v>0</v>
      </c>
      <c r="D163" s="85">
        <f t="shared" si="56"/>
        <v>2.1007323769999999</v>
      </c>
    </row>
    <row r="164" spans="1:4">
      <c r="A164" s="57" t="s">
        <v>328</v>
      </c>
      <c r="B164" s="58"/>
      <c r="C164" s="58"/>
      <c r="D164" s="85">
        <f t="shared" si="56"/>
        <v>0</v>
      </c>
    </row>
    <row r="165" spans="1:4">
      <c r="A165" s="57" t="s">
        <v>329</v>
      </c>
      <c r="B165" s="58"/>
      <c r="C165" s="58"/>
      <c r="D165" s="85">
        <f t="shared" si="56"/>
        <v>0</v>
      </c>
    </row>
    <row r="166" spans="1:4">
      <c r="A166" s="57" t="s">
        <v>330</v>
      </c>
      <c r="B166" s="58"/>
      <c r="C166" s="58"/>
      <c r="D166" s="85">
        <f t="shared" si="56"/>
        <v>0</v>
      </c>
    </row>
    <row r="167" spans="1:4">
      <c r="A167" s="57" t="s">
        <v>331</v>
      </c>
      <c r="B167" s="58"/>
      <c r="C167" s="58"/>
      <c r="D167" s="85">
        <f t="shared" si="56"/>
        <v>0</v>
      </c>
    </row>
    <row r="168" spans="1:4">
      <c r="A168" s="57" t="s">
        <v>332</v>
      </c>
      <c r="B168" s="58">
        <v>-846.27535528899989</v>
      </c>
      <c r="C168" s="58">
        <v>1476.5819451000002</v>
      </c>
      <c r="D168" s="85">
        <f t="shared" si="56"/>
        <v>2322.8573003890001</v>
      </c>
    </row>
    <row r="169" spans="1:4">
      <c r="A169" s="57" t="s">
        <v>139</v>
      </c>
      <c r="B169" s="58">
        <v>-1129.5787748100001</v>
      </c>
      <c r="C169" s="58">
        <v>-1310.74081338</v>
      </c>
      <c r="D169" s="85">
        <f t="shared" si="56"/>
        <v>-181.16203856999982</v>
      </c>
    </row>
    <row r="170" spans="1:4">
      <c r="A170" s="57" t="s">
        <v>168</v>
      </c>
      <c r="B170" s="58">
        <v>-283.30341992000001</v>
      </c>
      <c r="C170" s="58">
        <v>-2787.32275738</v>
      </c>
      <c r="D170" s="85">
        <f t="shared" si="56"/>
        <v>-2504.0193374599999</v>
      </c>
    </row>
    <row r="171" spans="1:4">
      <c r="A171" s="57" t="s">
        <v>333</v>
      </c>
      <c r="B171" s="58"/>
      <c r="C171" s="58"/>
      <c r="D171" s="85">
        <f t="shared" si="56"/>
        <v>0</v>
      </c>
    </row>
    <row r="172" spans="1:4">
      <c r="A172" s="57" t="s">
        <v>334</v>
      </c>
      <c r="B172" s="58"/>
      <c r="C172" s="58"/>
      <c r="D172" s="85">
        <f t="shared" si="56"/>
        <v>0</v>
      </c>
    </row>
    <row r="173" spans="1:4">
      <c r="A173" s="57" t="s">
        <v>335</v>
      </c>
      <c r="B173" s="58"/>
      <c r="C173" s="58"/>
      <c r="D173" s="85">
        <f t="shared" si="56"/>
        <v>0</v>
      </c>
    </row>
    <row r="174" spans="1:4">
      <c r="A174" s="57" t="s">
        <v>170</v>
      </c>
      <c r="B174" s="58">
        <v>-800.66127772000004</v>
      </c>
      <c r="C174" s="58">
        <v>-1399.35014437</v>
      </c>
      <c r="D174" s="85">
        <f t="shared" si="56"/>
        <v>-598.68886664999991</v>
      </c>
    </row>
    <row r="175" spans="1:4">
      <c r="A175" s="57" t="s">
        <v>334</v>
      </c>
      <c r="B175" s="58">
        <v>-1198.8502995499998</v>
      </c>
      <c r="C175" s="58">
        <v>-1444.32823934</v>
      </c>
      <c r="D175" s="85">
        <f t="shared" si="56"/>
        <v>-245.47793979000016</v>
      </c>
    </row>
    <row r="176" spans="1:4">
      <c r="A176" s="57" t="s">
        <v>171</v>
      </c>
      <c r="B176" s="58"/>
      <c r="C176" s="58"/>
      <c r="D176" s="85">
        <f t="shared" si="56"/>
        <v>0</v>
      </c>
    </row>
    <row r="177" spans="1:4">
      <c r="A177" s="57" t="s">
        <v>172</v>
      </c>
      <c r="B177" s="58"/>
      <c r="C177" s="58"/>
      <c r="D177" s="85">
        <f t="shared" si="56"/>
        <v>0</v>
      </c>
    </row>
    <row r="178" spans="1:4">
      <c r="A178" s="57" t="s">
        <v>173</v>
      </c>
      <c r="B178" s="58"/>
      <c r="C178" s="58"/>
      <c r="D178" s="85">
        <f t="shared" si="56"/>
        <v>0</v>
      </c>
    </row>
    <row r="179" spans="1:4">
      <c r="A179" s="57" t="s">
        <v>174</v>
      </c>
      <c r="B179" s="58"/>
      <c r="C179" s="58"/>
      <c r="D179" s="85">
        <f t="shared" si="56"/>
        <v>0</v>
      </c>
    </row>
    <row r="180" spans="1:4">
      <c r="A180" s="57" t="s">
        <v>176</v>
      </c>
      <c r="B180" s="58"/>
      <c r="C180" s="58"/>
      <c r="D180" s="85">
        <f t="shared" si="56"/>
        <v>0</v>
      </c>
    </row>
    <row r="181" spans="1:4">
      <c r="A181" s="57" t="s">
        <v>177</v>
      </c>
      <c r="B181" s="58"/>
      <c r="C181" s="58"/>
      <c r="D181" s="85">
        <f t="shared" si="56"/>
        <v>0</v>
      </c>
    </row>
    <row r="182" spans="1:4">
      <c r="A182" s="57" t="s">
        <v>178</v>
      </c>
      <c r="B182" s="58">
        <v>-27.842421800000011</v>
      </c>
      <c r="C182" s="58">
        <v>-1411.5919292909998</v>
      </c>
      <c r="D182" s="85">
        <f t="shared" si="56"/>
        <v>-1383.7495074909998</v>
      </c>
    </row>
    <row r="183" spans="1:4">
      <c r="A183" s="57" t="s">
        <v>179</v>
      </c>
      <c r="B183" s="58"/>
      <c r="C183" s="58"/>
      <c r="D183" s="85">
        <f t="shared" si="56"/>
        <v>0</v>
      </c>
    </row>
    <row r="184" spans="1:4">
      <c r="A184" s="57" t="s">
        <v>181</v>
      </c>
      <c r="B184" s="58">
        <v>-27.842421800000011</v>
      </c>
      <c r="C184" s="58">
        <v>-1411.5919292909998</v>
      </c>
      <c r="D184" s="85">
        <f t="shared" si="56"/>
        <v>-1383.7495074909998</v>
      </c>
    </row>
    <row r="185" spans="1:4">
      <c r="A185" s="57" t="s">
        <v>183</v>
      </c>
      <c r="B185" s="58"/>
      <c r="C185" s="58"/>
      <c r="D185" s="85">
        <f t="shared" si="56"/>
        <v>0</v>
      </c>
    </row>
    <row r="186" spans="1:4">
      <c r="A186" s="57" t="s">
        <v>185</v>
      </c>
      <c r="B186" s="58">
        <v>-2305.2262730000002</v>
      </c>
      <c r="C186" s="58">
        <v>-679.1844094999999</v>
      </c>
      <c r="D186" s="85">
        <f t="shared" si="56"/>
        <v>1626.0418635000003</v>
      </c>
    </row>
    <row r="187" spans="1:4">
      <c r="A187" s="57" t="s">
        <v>186</v>
      </c>
      <c r="B187" s="58">
        <v>-2305.2262730000002</v>
      </c>
      <c r="C187" s="58">
        <v>-679.1844094999999</v>
      </c>
      <c r="D187" s="85">
        <f t="shared" si="56"/>
        <v>1626.0418635000003</v>
      </c>
    </row>
    <row r="188" spans="1:4">
      <c r="A188" s="57" t="s">
        <v>188</v>
      </c>
      <c r="B188" s="58"/>
      <c r="C188" s="58"/>
      <c r="D188" s="85">
        <f t="shared" si="56"/>
        <v>0</v>
      </c>
    </row>
    <row r="189" spans="1:4">
      <c r="A189" s="57" t="s">
        <v>189</v>
      </c>
      <c r="B189" s="58">
        <v>1134.21839486</v>
      </c>
      <c r="C189" s="58">
        <v>646.44809900000007</v>
      </c>
      <c r="D189" s="85">
        <f t="shared" si="56"/>
        <v>-487.77029585999992</v>
      </c>
    </row>
    <row r="190" spans="1:4">
      <c r="A190" s="57" t="s">
        <v>190</v>
      </c>
      <c r="B190" s="58">
        <v>1134.21839486</v>
      </c>
      <c r="C190" s="58">
        <v>646.44809900000007</v>
      </c>
      <c r="D190" s="85">
        <f t="shared" si="56"/>
        <v>-487.77029585999992</v>
      </c>
    </row>
    <row r="191" spans="1:4">
      <c r="A191" s="57" t="s">
        <v>191</v>
      </c>
      <c r="B191" s="58">
        <v>0</v>
      </c>
      <c r="C191" s="58">
        <v>0</v>
      </c>
      <c r="D191" s="85">
        <f t="shared" si="56"/>
        <v>0</v>
      </c>
    </row>
    <row r="192" spans="1:4">
      <c r="A192" s="57" t="s">
        <v>192</v>
      </c>
      <c r="B192" s="58">
        <v>830.23966532999998</v>
      </c>
      <c r="C192" s="58">
        <v>-446.4610586</v>
      </c>
      <c r="D192" s="85">
        <f t="shared" si="56"/>
        <v>-1276.7007239300001</v>
      </c>
    </row>
    <row r="193" spans="1:4">
      <c r="A193" s="57" t="s">
        <v>193</v>
      </c>
      <c r="B193" s="58">
        <v>830.23966532999998</v>
      </c>
      <c r="C193" s="58">
        <v>-446.4610586</v>
      </c>
      <c r="D193" s="85">
        <f t="shared" si="56"/>
        <v>-1276.7007239300001</v>
      </c>
    </row>
    <row r="194" spans="1:4">
      <c r="A194" s="57" t="s">
        <v>195</v>
      </c>
      <c r="B194" s="58">
        <v>0</v>
      </c>
      <c r="C194" s="58">
        <v>0</v>
      </c>
      <c r="D194" s="85">
        <f t="shared" si="56"/>
        <v>0</v>
      </c>
    </row>
    <row r="195" spans="1:4">
      <c r="A195" s="57" t="s">
        <v>196</v>
      </c>
      <c r="B195" s="58">
        <v>303.97872956999998</v>
      </c>
      <c r="C195" s="58">
        <v>1092.9091575</v>
      </c>
      <c r="D195" s="85">
        <f t="shared" si="56"/>
        <v>788.93042792999995</v>
      </c>
    </row>
    <row r="196" spans="1:4">
      <c r="A196" s="57" t="s">
        <v>197</v>
      </c>
      <c r="B196" s="58">
        <v>303.97872956999998</v>
      </c>
      <c r="C196" s="58">
        <v>1092.9091575</v>
      </c>
      <c r="D196" s="85">
        <f t="shared" si="56"/>
        <v>788.93042792999995</v>
      </c>
    </row>
    <row r="197" spans="1:4">
      <c r="A197" s="57" t="s">
        <v>198</v>
      </c>
      <c r="B197" s="58">
        <v>0</v>
      </c>
      <c r="C197" s="58">
        <v>0</v>
      </c>
      <c r="D197" s="85">
        <f t="shared" si="56"/>
        <v>0</v>
      </c>
    </row>
    <row r="198" spans="1:4">
      <c r="A198" s="57" t="s">
        <v>335</v>
      </c>
      <c r="B198" s="58">
        <v>-398.18902150000002</v>
      </c>
      <c r="C198" s="58">
        <v>-44.978094350000006</v>
      </c>
      <c r="D198" s="85">
        <f t="shared" ref="D198:D261" si="57">C198-B198</f>
        <v>353.21092715000003</v>
      </c>
    </row>
    <row r="199" spans="1:4">
      <c r="A199" s="57" t="s">
        <v>171</v>
      </c>
      <c r="B199" s="58"/>
      <c r="C199" s="58"/>
      <c r="D199" s="85">
        <f t="shared" si="57"/>
        <v>0</v>
      </c>
    </row>
    <row r="200" spans="1:4">
      <c r="A200" s="57" t="s">
        <v>172</v>
      </c>
      <c r="B200" s="58"/>
      <c r="C200" s="58"/>
      <c r="D200" s="85">
        <f t="shared" si="57"/>
        <v>0</v>
      </c>
    </row>
    <row r="201" spans="1:4">
      <c r="A201" s="57" t="s">
        <v>173</v>
      </c>
      <c r="B201" s="58"/>
      <c r="C201" s="58"/>
      <c r="D201" s="85">
        <f t="shared" si="57"/>
        <v>0</v>
      </c>
    </row>
    <row r="202" spans="1:4">
      <c r="A202" s="57" t="s">
        <v>174</v>
      </c>
      <c r="B202" s="58"/>
      <c r="C202" s="58"/>
      <c r="D202" s="85">
        <f t="shared" si="57"/>
        <v>0</v>
      </c>
    </row>
    <row r="203" spans="1:4">
      <c r="A203" s="57" t="s">
        <v>176</v>
      </c>
      <c r="B203" s="58"/>
      <c r="C203" s="58"/>
      <c r="D203" s="85">
        <f t="shared" si="57"/>
        <v>0</v>
      </c>
    </row>
    <row r="204" spans="1:4">
      <c r="A204" s="57" t="s">
        <v>177</v>
      </c>
      <c r="B204" s="58"/>
      <c r="C204" s="58"/>
      <c r="D204" s="85">
        <f t="shared" si="57"/>
        <v>0</v>
      </c>
    </row>
    <row r="205" spans="1:4">
      <c r="A205" s="57" t="s">
        <v>178</v>
      </c>
      <c r="B205" s="58">
        <v>-398.18902150000002</v>
      </c>
      <c r="C205" s="58">
        <v>-44.978094350000006</v>
      </c>
      <c r="D205" s="85">
        <f t="shared" si="57"/>
        <v>353.21092715000003</v>
      </c>
    </row>
    <row r="206" spans="1:4">
      <c r="A206" s="57" t="s">
        <v>180</v>
      </c>
      <c r="B206" s="58">
        <v>-398.18902150000002</v>
      </c>
      <c r="C206" s="58">
        <v>-44.978094350000006</v>
      </c>
      <c r="D206" s="85">
        <f t="shared" si="57"/>
        <v>353.21092715000003</v>
      </c>
    </row>
    <row r="207" spans="1:4">
      <c r="A207" s="57" t="s">
        <v>182</v>
      </c>
      <c r="B207" s="58">
        <v>0</v>
      </c>
      <c r="C207" s="58">
        <v>0</v>
      </c>
      <c r="D207" s="85">
        <f t="shared" si="57"/>
        <v>0</v>
      </c>
    </row>
    <row r="208" spans="1:4">
      <c r="A208" s="57" t="s">
        <v>184</v>
      </c>
      <c r="B208" s="58"/>
      <c r="C208" s="58"/>
      <c r="D208" s="85">
        <f t="shared" si="57"/>
        <v>0</v>
      </c>
    </row>
    <row r="209" spans="1:4">
      <c r="A209" s="57" t="s">
        <v>185</v>
      </c>
      <c r="B209" s="58"/>
      <c r="C209" s="58"/>
      <c r="D209" s="85">
        <f t="shared" si="57"/>
        <v>0</v>
      </c>
    </row>
    <row r="210" spans="1:4">
      <c r="A210" s="57" t="s">
        <v>186</v>
      </c>
      <c r="B210" s="58"/>
      <c r="C210" s="58"/>
      <c r="D210" s="85">
        <f t="shared" si="57"/>
        <v>0</v>
      </c>
    </row>
    <row r="211" spans="1:4">
      <c r="A211" s="57" t="s">
        <v>188</v>
      </c>
      <c r="B211" s="58"/>
      <c r="C211" s="58"/>
      <c r="D211" s="85">
        <f t="shared" si="57"/>
        <v>0</v>
      </c>
    </row>
    <row r="212" spans="1:4">
      <c r="A212" s="57" t="s">
        <v>189</v>
      </c>
      <c r="B212" s="58"/>
      <c r="C212" s="58"/>
      <c r="D212" s="85">
        <f t="shared" si="57"/>
        <v>0</v>
      </c>
    </row>
    <row r="213" spans="1:4">
      <c r="A213" s="57" t="s">
        <v>190</v>
      </c>
      <c r="B213" s="58"/>
      <c r="C213" s="58"/>
      <c r="D213" s="85">
        <f t="shared" si="57"/>
        <v>0</v>
      </c>
    </row>
    <row r="214" spans="1:4">
      <c r="A214" s="57" t="s">
        <v>191</v>
      </c>
      <c r="B214" s="58"/>
      <c r="C214" s="58"/>
      <c r="D214" s="85">
        <f t="shared" si="57"/>
        <v>0</v>
      </c>
    </row>
    <row r="215" spans="1:4">
      <c r="A215" s="57" t="s">
        <v>192</v>
      </c>
      <c r="B215" s="58"/>
      <c r="C215" s="58"/>
      <c r="D215" s="85">
        <f t="shared" si="57"/>
        <v>0</v>
      </c>
    </row>
    <row r="216" spans="1:4">
      <c r="A216" s="57" t="s">
        <v>193</v>
      </c>
      <c r="B216" s="58"/>
      <c r="C216" s="58"/>
      <c r="D216" s="85">
        <f t="shared" si="57"/>
        <v>0</v>
      </c>
    </row>
    <row r="217" spans="1:4">
      <c r="A217" s="57" t="s">
        <v>195</v>
      </c>
      <c r="B217" s="58"/>
      <c r="C217" s="58"/>
      <c r="D217" s="85">
        <f t="shared" si="57"/>
        <v>0</v>
      </c>
    </row>
    <row r="218" spans="1:4">
      <c r="A218" s="57" t="s">
        <v>196</v>
      </c>
      <c r="B218" s="58"/>
      <c r="C218" s="58"/>
      <c r="D218" s="85">
        <f t="shared" si="57"/>
        <v>0</v>
      </c>
    </row>
    <row r="219" spans="1:4">
      <c r="A219" s="57" t="s">
        <v>197</v>
      </c>
      <c r="B219" s="58"/>
      <c r="C219" s="58"/>
      <c r="D219" s="85">
        <f t="shared" si="57"/>
        <v>0</v>
      </c>
    </row>
    <row r="220" spans="1:4">
      <c r="A220" s="57" t="s">
        <v>198</v>
      </c>
      <c r="B220" s="58"/>
      <c r="C220" s="58"/>
      <c r="D220" s="85">
        <f t="shared" si="57"/>
        <v>0</v>
      </c>
    </row>
    <row r="221" spans="1:4">
      <c r="A221" s="57" t="s">
        <v>199</v>
      </c>
      <c r="B221" s="58">
        <v>330.35577820999998</v>
      </c>
      <c r="C221" s="58">
        <v>3115.4889635300001</v>
      </c>
      <c r="D221" s="85">
        <f t="shared" si="57"/>
        <v>2785.1331853199999</v>
      </c>
    </row>
    <row r="222" spans="1:4">
      <c r="A222" s="57" t="s">
        <v>334</v>
      </c>
      <c r="B222" s="58">
        <v>23.1900732</v>
      </c>
      <c r="C222" s="58">
        <v>31.658487766</v>
      </c>
      <c r="D222" s="85">
        <f t="shared" si="57"/>
        <v>8.4684145659999999</v>
      </c>
    </row>
    <row r="223" spans="1:4">
      <c r="A223" s="57" t="s">
        <v>200</v>
      </c>
      <c r="B223" s="58"/>
      <c r="C223" s="58"/>
      <c r="D223" s="85">
        <f t="shared" si="57"/>
        <v>0</v>
      </c>
    </row>
    <row r="224" spans="1:4">
      <c r="A224" s="57" t="s">
        <v>201</v>
      </c>
      <c r="B224" s="58"/>
      <c r="C224" s="58"/>
      <c r="D224" s="85">
        <f t="shared" si="57"/>
        <v>0</v>
      </c>
    </row>
    <row r="225" spans="1:4">
      <c r="A225" s="57" t="s">
        <v>202</v>
      </c>
      <c r="B225" s="58"/>
      <c r="C225" s="58"/>
      <c r="D225" s="85">
        <f t="shared" si="57"/>
        <v>0</v>
      </c>
    </row>
    <row r="226" spans="1:4">
      <c r="A226" s="57" t="s">
        <v>205</v>
      </c>
      <c r="B226" s="58"/>
      <c r="C226" s="58"/>
      <c r="D226" s="85">
        <f t="shared" si="57"/>
        <v>0</v>
      </c>
    </row>
    <row r="227" spans="1:4">
      <c r="A227" s="57" t="s">
        <v>206</v>
      </c>
      <c r="B227" s="58"/>
      <c r="C227" s="58"/>
      <c r="D227" s="85">
        <f t="shared" si="57"/>
        <v>0</v>
      </c>
    </row>
    <row r="228" spans="1:4">
      <c r="A228" s="57" t="s">
        <v>208</v>
      </c>
      <c r="B228" s="58"/>
      <c r="C228" s="58"/>
      <c r="D228" s="85">
        <f t="shared" si="57"/>
        <v>0</v>
      </c>
    </row>
    <row r="229" spans="1:4">
      <c r="A229" s="57" t="s">
        <v>210</v>
      </c>
      <c r="B229" s="58"/>
      <c r="C229" s="58"/>
      <c r="D229" s="85">
        <f t="shared" si="57"/>
        <v>0</v>
      </c>
    </row>
    <row r="230" spans="1:4">
      <c r="A230" s="57" t="s">
        <v>212</v>
      </c>
      <c r="B230" s="58"/>
      <c r="C230" s="58"/>
      <c r="D230" s="85">
        <f t="shared" si="57"/>
        <v>0</v>
      </c>
    </row>
    <row r="231" spans="1:4">
      <c r="A231" s="57" t="s">
        <v>214</v>
      </c>
      <c r="B231" s="58">
        <v>20.591947149999996</v>
      </c>
      <c r="C231" s="58">
        <v>30.238059335999999</v>
      </c>
      <c r="D231" s="85">
        <f t="shared" si="57"/>
        <v>9.6461121860000034</v>
      </c>
    </row>
    <row r="232" spans="1:4">
      <c r="A232" s="57" t="s">
        <v>216</v>
      </c>
      <c r="B232" s="58">
        <v>20.591947149999996</v>
      </c>
      <c r="C232" s="58">
        <v>30.238059335999999</v>
      </c>
      <c r="D232" s="85">
        <f t="shared" si="57"/>
        <v>9.6461121860000034</v>
      </c>
    </row>
    <row r="233" spans="1:4">
      <c r="A233" s="57" t="s">
        <v>218</v>
      </c>
      <c r="B233" s="58">
        <v>0</v>
      </c>
      <c r="C233" s="58">
        <v>0</v>
      </c>
      <c r="D233" s="85">
        <f t="shared" si="57"/>
        <v>0</v>
      </c>
    </row>
    <row r="234" spans="1:4">
      <c r="A234" s="57" t="s">
        <v>220</v>
      </c>
      <c r="B234" s="58"/>
      <c r="C234" s="58"/>
      <c r="D234" s="85">
        <f t="shared" si="57"/>
        <v>0</v>
      </c>
    </row>
    <row r="235" spans="1:4">
      <c r="A235" s="57" t="s">
        <v>222</v>
      </c>
      <c r="B235" s="58"/>
      <c r="C235" s="58"/>
      <c r="D235" s="85">
        <f t="shared" si="57"/>
        <v>0</v>
      </c>
    </row>
    <row r="236" spans="1:4">
      <c r="A236" s="57" t="s">
        <v>224</v>
      </c>
      <c r="B236" s="58"/>
      <c r="C236" s="58"/>
      <c r="D236" s="85">
        <f t="shared" si="57"/>
        <v>0</v>
      </c>
    </row>
    <row r="237" spans="1:4">
      <c r="A237" s="57" t="s">
        <v>226</v>
      </c>
      <c r="B237" s="58"/>
      <c r="C237" s="58"/>
      <c r="D237" s="85">
        <f t="shared" si="57"/>
        <v>0</v>
      </c>
    </row>
    <row r="238" spans="1:4">
      <c r="A238" s="57" t="s">
        <v>228</v>
      </c>
      <c r="B238" s="58">
        <v>2.5981260500000003</v>
      </c>
      <c r="C238" s="58">
        <v>1.4204284299999999</v>
      </c>
      <c r="D238" s="85">
        <f t="shared" si="57"/>
        <v>-1.1776976200000004</v>
      </c>
    </row>
    <row r="239" spans="1:4">
      <c r="A239" s="57" t="s">
        <v>230</v>
      </c>
      <c r="B239" s="58">
        <v>2.5981260500000003</v>
      </c>
      <c r="C239" s="58">
        <v>1.4204284299999999</v>
      </c>
      <c r="D239" s="85">
        <f t="shared" si="57"/>
        <v>-1.1776976200000004</v>
      </c>
    </row>
    <row r="240" spans="1:4">
      <c r="A240" s="57" t="s">
        <v>232</v>
      </c>
      <c r="B240" s="58">
        <v>0</v>
      </c>
      <c r="C240" s="58">
        <v>0</v>
      </c>
      <c r="D240" s="85">
        <f t="shared" si="57"/>
        <v>0</v>
      </c>
    </row>
    <row r="241" spans="1:4">
      <c r="A241" s="57" t="s">
        <v>234</v>
      </c>
      <c r="B241" s="58">
        <v>0</v>
      </c>
      <c r="C241" s="58">
        <v>0</v>
      </c>
      <c r="D241" s="85">
        <f t="shared" si="57"/>
        <v>0</v>
      </c>
    </row>
    <row r="242" spans="1:4">
      <c r="A242" s="57" t="s">
        <v>193</v>
      </c>
      <c r="B242" s="58">
        <v>0</v>
      </c>
      <c r="C242" s="58">
        <v>0</v>
      </c>
      <c r="D242" s="85">
        <f t="shared" si="57"/>
        <v>0</v>
      </c>
    </row>
    <row r="243" spans="1:4">
      <c r="A243" s="57" t="s">
        <v>195</v>
      </c>
      <c r="B243" s="58">
        <v>0</v>
      </c>
      <c r="C243" s="58">
        <v>0</v>
      </c>
      <c r="D243" s="85">
        <f t="shared" si="57"/>
        <v>0</v>
      </c>
    </row>
    <row r="244" spans="1:4">
      <c r="A244" s="57" t="s">
        <v>238</v>
      </c>
      <c r="B244" s="58">
        <v>2.5981260500000003</v>
      </c>
      <c r="C244" s="58">
        <v>1.4204284299999999</v>
      </c>
      <c r="D244" s="85">
        <f t="shared" si="57"/>
        <v>-1.1776976200000004</v>
      </c>
    </row>
    <row r="245" spans="1:4">
      <c r="A245" s="57" t="s">
        <v>240</v>
      </c>
      <c r="B245" s="58">
        <v>2.5981260500000003</v>
      </c>
      <c r="C245" s="58">
        <v>1.4204284299999999</v>
      </c>
      <c r="D245" s="85">
        <f t="shared" si="57"/>
        <v>-1.1776976200000004</v>
      </c>
    </row>
    <row r="246" spans="1:4">
      <c r="A246" s="57" t="s">
        <v>242</v>
      </c>
      <c r="B246" s="58">
        <v>0</v>
      </c>
      <c r="C246" s="58">
        <v>0</v>
      </c>
      <c r="D246" s="85">
        <f t="shared" si="57"/>
        <v>0</v>
      </c>
    </row>
    <row r="247" spans="1:4">
      <c r="A247" s="57" t="s">
        <v>335</v>
      </c>
      <c r="B247" s="58">
        <v>-307.16570507699998</v>
      </c>
      <c r="C247" s="58">
        <v>-3083.8304755200002</v>
      </c>
      <c r="D247" s="85">
        <f t="shared" si="57"/>
        <v>-2776.6647704430002</v>
      </c>
    </row>
    <row r="248" spans="1:4">
      <c r="A248" s="57" t="s">
        <v>200</v>
      </c>
      <c r="B248" s="58">
        <v>-0.81312580999999984</v>
      </c>
      <c r="C248" s="58">
        <v>-3.4542916899999998</v>
      </c>
      <c r="D248" s="85">
        <f t="shared" si="57"/>
        <v>-2.64116588</v>
      </c>
    </row>
    <row r="249" spans="1:4">
      <c r="A249" s="57" t="s">
        <v>201</v>
      </c>
      <c r="B249" s="58">
        <v>0</v>
      </c>
      <c r="C249" s="58">
        <v>0</v>
      </c>
      <c r="D249" s="85">
        <f t="shared" si="57"/>
        <v>0</v>
      </c>
    </row>
    <row r="250" spans="1:4">
      <c r="A250" s="57" t="s">
        <v>202</v>
      </c>
      <c r="B250" s="58">
        <v>-0.81312580999999984</v>
      </c>
      <c r="C250" s="58">
        <v>-3.4542916899999998</v>
      </c>
      <c r="D250" s="85">
        <f t="shared" si="57"/>
        <v>-2.64116588</v>
      </c>
    </row>
    <row r="251" spans="1:4">
      <c r="A251" s="57" t="s">
        <v>205</v>
      </c>
      <c r="B251" s="58">
        <v>0</v>
      </c>
      <c r="C251" s="58">
        <v>0</v>
      </c>
      <c r="D251" s="85">
        <f t="shared" si="57"/>
        <v>0</v>
      </c>
    </row>
    <row r="252" spans="1:4">
      <c r="A252" s="57" t="s">
        <v>206</v>
      </c>
      <c r="B252" s="58">
        <v>0</v>
      </c>
      <c r="C252" s="58">
        <v>0</v>
      </c>
      <c r="D252" s="85">
        <f t="shared" si="57"/>
        <v>0</v>
      </c>
    </row>
    <row r="253" spans="1:4">
      <c r="A253" s="57" t="s">
        <v>208</v>
      </c>
      <c r="B253" s="58">
        <v>0</v>
      </c>
      <c r="C253" s="58">
        <v>0</v>
      </c>
      <c r="D253" s="85">
        <f t="shared" si="57"/>
        <v>0</v>
      </c>
    </row>
    <row r="254" spans="1:4">
      <c r="A254" s="57" t="s">
        <v>210</v>
      </c>
      <c r="B254" s="58">
        <v>0</v>
      </c>
      <c r="C254" s="58">
        <v>0</v>
      </c>
      <c r="D254" s="85">
        <f t="shared" si="57"/>
        <v>0</v>
      </c>
    </row>
    <row r="255" spans="1:4">
      <c r="A255" s="57" t="s">
        <v>212</v>
      </c>
      <c r="B255" s="58">
        <v>0</v>
      </c>
      <c r="C255" s="58">
        <v>0</v>
      </c>
      <c r="D255" s="85">
        <f t="shared" si="57"/>
        <v>0</v>
      </c>
    </row>
    <row r="256" spans="1:4">
      <c r="A256" s="57" t="s">
        <v>214</v>
      </c>
      <c r="B256" s="58">
        <v>-779.39516720000006</v>
      </c>
      <c r="C256" s="58">
        <v>-1268.1177663999999</v>
      </c>
      <c r="D256" s="85">
        <f t="shared" si="57"/>
        <v>-488.72259919999988</v>
      </c>
    </row>
    <row r="257" spans="1:4">
      <c r="A257" s="57" t="s">
        <v>216</v>
      </c>
      <c r="B257" s="58">
        <v>-823.51471760000004</v>
      </c>
      <c r="C257" s="58">
        <v>-466.54390660999996</v>
      </c>
      <c r="D257" s="85">
        <f t="shared" si="57"/>
        <v>356.97081099000007</v>
      </c>
    </row>
    <row r="258" spans="1:4">
      <c r="A258" s="57" t="s">
        <v>218</v>
      </c>
      <c r="B258" s="58">
        <v>44.119550400000001</v>
      </c>
      <c r="C258" s="58">
        <v>-801.57385980000004</v>
      </c>
      <c r="D258" s="85">
        <f t="shared" si="57"/>
        <v>-845.69341020000002</v>
      </c>
    </row>
    <row r="259" spans="1:4">
      <c r="A259" s="57" t="s">
        <v>220</v>
      </c>
      <c r="B259" s="58">
        <v>-827.13250689999995</v>
      </c>
      <c r="C259" s="58">
        <v>-1945.5771463000001</v>
      </c>
      <c r="D259" s="85">
        <f t="shared" si="57"/>
        <v>-1118.4446394000001</v>
      </c>
    </row>
    <row r="260" spans="1:4">
      <c r="A260" s="57" t="s">
        <v>222</v>
      </c>
      <c r="B260" s="58">
        <v>-1240.0971374999999</v>
      </c>
      <c r="C260" s="58">
        <v>-1252.012563</v>
      </c>
      <c r="D260" s="85">
        <f t="shared" si="57"/>
        <v>-11.915425500000083</v>
      </c>
    </row>
    <row r="261" spans="1:4">
      <c r="A261" s="57" t="s">
        <v>224</v>
      </c>
      <c r="B261" s="58">
        <v>0</v>
      </c>
      <c r="C261" s="58">
        <v>0</v>
      </c>
      <c r="D261" s="85">
        <f t="shared" si="57"/>
        <v>0</v>
      </c>
    </row>
    <row r="262" spans="1:4">
      <c r="A262" s="57" t="s">
        <v>226</v>
      </c>
      <c r="B262" s="58">
        <v>412.9646305</v>
      </c>
      <c r="C262" s="58">
        <v>-693.56458310000005</v>
      </c>
      <c r="D262" s="85">
        <f t="shared" ref="D262:D325" si="58">C262-B262</f>
        <v>-1106.5292136</v>
      </c>
    </row>
    <row r="263" spans="1:4">
      <c r="A263" s="57" t="s">
        <v>228</v>
      </c>
      <c r="B263" s="58">
        <v>1300.1750949</v>
      </c>
      <c r="C263" s="58">
        <v>133.31872829999998</v>
      </c>
      <c r="D263" s="85">
        <f t="shared" si="58"/>
        <v>-1166.8563666</v>
      </c>
    </row>
    <row r="264" spans="1:4">
      <c r="A264" s="57" t="s">
        <v>230</v>
      </c>
      <c r="B264" s="58">
        <v>-87.195458339999988</v>
      </c>
      <c r="C264" s="58">
        <v>214.68498169999998</v>
      </c>
      <c r="D264" s="85">
        <f t="shared" si="58"/>
        <v>301.88044003999994</v>
      </c>
    </row>
    <row r="265" spans="1:4">
      <c r="A265" s="57" t="s">
        <v>232</v>
      </c>
      <c r="B265" s="58">
        <v>1387.37055323</v>
      </c>
      <c r="C265" s="58">
        <v>-81.366253099999994</v>
      </c>
      <c r="D265" s="85">
        <f t="shared" si="58"/>
        <v>-1468.73680633</v>
      </c>
    </row>
    <row r="266" spans="1:4">
      <c r="A266" s="57" t="s">
        <v>234</v>
      </c>
      <c r="B266" s="58">
        <v>119.56273869</v>
      </c>
      <c r="C266" s="58">
        <v>76.622485399999988</v>
      </c>
      <c r="D266" s="85">
        <f t="shared" si="58"/>
        <v>-42.940253290000015</v>
      </c>
    </row>
    <row r="267" spans="1:4">
      <c r="A267" s="57" t="s">
        <v>193</v>
      </c>
      <c r="B267" s="58">
        <v>17.577744190000004</v>
      </c>
      <c r="C267" s="58">
        <v>76.622485399999988</v>
      </c>
      <c r="D267" s="85">
        <f t="shared" si="58"/>
        <v>59.044741209999984</v>
      </c>
    </row>
    <row r="268" spans="1:4">
      <c r="A268" s="57" t="s">
        <v>195</v>
      </c>
      <c r="B268" s="58">
        <v>101.9849945</v>
      </c>
      <c r="C268" s="58">
        <v>0</v>
      </c>
      <c r="D268" s="85">
        <f t="shared" si="58"/>
        <v>-101.9849945</v>
      </c>
    </row>
    <row r="269" spans="1:4">
      <c r="A269" s="57" t="s">
        <v>238</v>
      </c>
      <c r="B269" s="58">
        <v>1180.6123562400001</v>
      </c>
      <c r="C269" s="58">
        <v>56.696242600000005</v>
      </c>
      <c r="D269" s="85">
        <f t="shared" si="58"/>
        <v>-1123.91611364</v>
      </c>
    </row>
    <row r="270" spans="1:4">
      <c r="A270" s="57" t="s">
        <v>240</v>
      </c>
      <c r="B270" s="58">
        <v>-104.77320249</v>
      </c>
      <c r="C270" s="58">
        <v>138.06249610000009</v>
      </c>
      <c r="D270" s="85">
        <f t="shared" si="58"/>
        <v>242.83569859000011</v>
      </c>
    </row>
    <row r="271" spans="1:4">
      <c r="A271" s="57" t="s">
        <v>242</v>
      </c>
      <c r="B271" s="58">
        <v>1285.38555873</v>
      </c>
      <c r="C271" s="58">
        <v>-81.366253099999994</v>
      </c>
      <c r="D271" s="85">
        <f t="shared" si="58"/>
        <v>-1366.75181183</v>
      </c>
    </row>
    <row r="272" spans="1:4">
      <c r="A272" s="57" t="s">
        <v>244</v>
      </c>
      <c r="B272" s="58">
        <v>81.906185069999992</v>
      </c>
      <c r="C272" s="58">
        <v>-26.866243681999997</v>
      </c>
      <c r="D272" s="85">
        <f t="shared" si="58"/>
        <v>-108.772428752</v>
      </c>
    </row>
    <row r="273" spans="1:4">
      <c r="A273" s="57" t="s">
        <v>334</v>
      </c>
      <c r="B273" s="58">
        <v>13</v>
      </c>
      <c r="C273" s="58">
        <v>93</v>
      </c>
      <c r="D273" s="85">
        <f t="shared" si="58"/>
        <v>80</v>
      </c>
    </row>
    <row r="274" spans="1:4">
      <c r="A274" s="57" t="s">
        <v>246</v>
      </c>
      <c r="B274" s="58"/>
      <c r="C274" s="58"/>
      <c r="D274" s="85">
        <f t="shared" si="58"/>
        <v>0</v>
      </c>
    </row>
    <row r="275" spans="1:4">
      <c r="A275" s="57" t="s">
        <v>248</v>
      </c>
      <c r="B275" s="58"/>
      <c r="C275" s="58"/>
      <c r="D275" s="85">
        <f t="shared" si="58"/>
        <v>0</v>
      </c>
    </row>
    <row r="276" spans="1:4">
      <c r="A276" s="57" t="s">
        <v>250</v>
      </c>
      <c r="B276" s="58"/>
      <c r="C276" s="58"/>
      <c r="D276" s="85">
        <f t="shared" si="58"/>
        <v>0</v>
      </c>
    </row>
    <row r="277" spans="1:4">
      <c r="A277" s="57" t="s">
        <v>252</v>
      </c>
      <c r="B277" s="58"/>
      <c r="C277" s="58"/>
      <c r="D277" s="85">
        <f t="shared" si="58"/>
        <v>0</v>
      </c>
    </row>
    <row r="278" spans="1:4">
      <c r="A278" s="57" t="s">
        <v>254</v>
      </c>
      <c r="B278" s="58">
        <v>13</v>
      </c>
      <c r="C278" s="58">
        <v>93</v>
      </c>
      <c r="D278" s="85">
        <f t="shared" si="58"/>
        <v>80</v>
      </c>
    </row>
    <row r="279" spans="1:4">
      <c r="A279" s="57" t="s">
        <v>256</v>
      </c>
      <c r="B279" s="58">
        <v>13</v>
      </c>
      <c r="C279" s="58">
        <v>93</v>
      </c>
      <c r="D279" s="85">
        <f t="shared" si="58"/>
        <v>80</v>
      </c>
    </row>
    <row r="280" spans="1:4">
      <c r="A280" s="57" t="s">
        <v>258</v>
      </c>
      <c r="B280" s="58"/>
      <c r="C280" s="58"/>
      <c r="D280" s="85">
        <f t="shared" si="58"/>
        <v>0</v>
      </c>
    </row>
    <row r="281" spans="1:4">
      <c r="A281" s="57" t="s">
        <v>260</v>
      </c>
      <c r="B281" s="58"/>
      <c r="C281" s="58"/>
      <c r="D281" s="85">
        <f t="shared" si="58"/>
        <v>0</v>
      </c>
    </row>
    <row r="282" spans="1:4">
      <c r="A282" s="57" t="s">
        <v>262</v>
      </c>
      <c r="B282" s="58"/>
      <c r="C282" s="58"/>
      <c r="D282" s="85">
        <f t="shared" si="58"/>
        <v>0</v>
      </c>
    </row>
    <row r="283" spans="1:4">
      <c r="A283" s="57" t="s">
        <v>264</v>
      </c>
      <c r="B283" s="58"/>
      <c r="C283" s="58"/>
      <c r="D283" s="85">
        <f t="shared" si="58"/>
        <v>0</v>
      </c>
    </row>
    <row r="284" spans="1:4">
      <c r="A284" s="57" t="s">
        <v>266</v>
      </c>
      <c r="B284" s="58"/>
      <c r="C284" s="58"/>
      <c r="D284" s="85">
        <f t="shared" si="58"/>
        <v>0</v>
      </c>
    </row>
    <row r="285" spans="1:4">
      <c r="A285" s="57" t="s">
        <v>268</v>
      </c>
      <c r="B285" s="58"/>
      <c r="C285" s="58"/>
      <c r="D285" s="85">
        <f t="shared" si="58"/>
        <v>0</v>
      </c>
    </row>
    <row r="286" spans="1:4">
      <c r="A286" s="57" t="s">
        <v>270</v>
      </c>
      <c r="B286" s="58"/>
      <c r="C286" s="58"/>
      <c r="D286" s="85">
        <f t="shared" si="58"/>
        <v>0</v>
      </c>
    </row>
    <row r="287" spans="1:4">
      <c r="A287" s="57" t="s">
        <v>335</v>
      </c>
      <c r="B287" s="58">
        <v>-68.906185069999992</v>
      </c>
      <c r="C287" s="58">
        <v>119.866243682</v>
      </c>
      <c r="D287" s="85">
        <f t="shared" si="58"/>
        <v>188.772428752</v>
      </c>
    </row>
    <row r="288" spans="1:4">
      <c r="A288" s="57" t="s">
        <v>246</v>
      </c>
      <c r="B288" s="58"/>
      <c r="C288" s="58"/>
      <c r="D288" s="85">
        <f t="shared" si="58"/>
        <v>0</v>
      </c>
    </row>
    <row r="289" spans="1:4">
      <c r="A289" s="57" t="s">
        <v>248</v>
      </c>
      <c r="B289" s="58"/>
      <c r="C289" s="58"/>
      <c r="D289" s="85">
        <f t="shared" si="58"/>
        <v>0</v>
      </c>
    </row>
    <row r="290" spans="1:4">
      <c r="A290" s="57" t="s">
        <v>250</v>
      </c>
      <c r="B290" s="58"/>
      <c r="C290" s="58"/>
      <c r="D290" s="85">
        <f t="shared" si="58"/>
        <v>0</v>
      </c>
    </row>
    <row r="291" spans="1:4">
      <c r="A291" s="57" t="s">
        <v>252</v>
      </c>
      <c r="B291" s="58"/>
      <c r="C291" s="58"/>
      <c r="D291" s="85">
        <f t="shared" si="58"/>
        <v>0</v>
      </c>
    </row>
    <row r="292" spans="1:4">
      <c r="A292" s="57" t="s">
        <v>254</v>
      </c>
      <c r="B292" s="58">
        <v>-68.906185069999992</v>
      </c>
      <c r="C292" s="58">
        <v>119.866243682</v>
      </c>
      <c r="D292" s="85">
        <f t="shared" si="58"/>
        <v>188.772428752</v>
      </c>
    </row>
    <row r="293" spans="1:4">
      <c r="A293" s="57" t="s">
        <v>256</v>
      </c>
      <c r="B293" s="58">
        <v>-68.906185069999992</v>
      </c>
      <c r="C293" s="58">
        <v>119.866243682</v>
      </c>
      <c r="D293" s="85">
        <f t="shared" si="58"/>
        <v>188.772428752</v>
      </c>
    </row>
    <row r="294" spans="1:4">
      <c r="A294" s="57" t="s">
        <v>258</v>
      </c>
      <c r="B294" s="58"/>
      <c r="C294" s="58"/>
      <c r="D294" s="85">
        <f t="shared" si="58"/>
        <v>0</v>
      </c>
    </row>
    <row r="295" spans="1:4">
      <c r="A295" s="57" t="s">
        <v>260</v>
      </c>
      <c r="B295" s="58"/>
      <c r="C295" s="58"/>
      <c r="D295" s="85">
        <f t="shared" si="58"/>
        <v>0</v>
      </c>
    </row>
    <row r="296" spans="1:4">
      <c r="A296" s="57" t="s">
        <v>262</v>
      </c>
      <c r="B296" s="58"/>
      <c r="C296" s="58"/>
      <c r="D296" s="85">
        <f t="shared" si="58"/>
        <v>0</v>
      </c>
    </row>
    <row r="297" spans="1:4">
      <c r="A297" s="57" t="s">
        <v>264</v>
      </c>
      <c r="B297" s="58"/>
      <c r="C297" s="58"/>
      <c r="D297" s="85">
        <f t="shared" si="58"/>
        <v>0</v>
      </c>
    </row>
    <row r="298" spans="1:4">
      <c r="A298" s="57" t="s">
        <v>266</v>
      </c>
      <c r="B298" s="58"/>
      <c r="C298" s="58"/>
      <c r="D298" s="85">
        <f t="shared" si="58"/>
        <v>0</v>
      </c>
    </row>
    <row r="299" spans="1:4">
      <c r="A299" s="57" t="s">
        <v>268</v>
      </c>
      <c r="B299" s="58"/>
      <c r="C299" s="58"/>
      <c r="D299" s="85">
        <f t="shared" si="58"/>
        <v>0</v>
      </c>
    </row>
    <row r="300" spans="1:4">
      <c r="A300" s="57" t="s">
        <v>270</v>
      </c>
      <c r="B300" s="58"/>
      <c r="C300" s="58"/>
      <c r="D300" s="85">
        <f t="shared" si="58"/>
        <v>0</v>
      </c>
    </row>
    <row r="301" spans="1:4">
      <c r="A301" s="57" t="s">
        <v>272</v>
      </c>
      <c r="B301" s="58">
        <v>-513.33470779999993</v>
      </c>
      <c r="C301" s="58">
        <v>-221.24229750000001</v>
      </c>
      <c r="D301" s="85">
        <f t="shared" si="58"/>
        <v>292.09241029999993</v>
      </c>
    </row>
    <row r="302" spans="1:4">
      <c r="A302" s="57" t="s">
        <v>334</v>
      </c>
      <c r="B302" s="58">
        <v>-22.377216000000001</v>
      </c>
      <c r="C302" s="58">
        <v>0.37727104000000011</v>
      </c>
      <c r="D302" s="85">
        <f t="shared" si="58"/>
        <v>22.754487040000001</v>
      </c>
    </row>
    <row r="303" spans="1:4">
      <c r="A303" s="57" t="s">
        <v>274</v>
      </c>
      <c r="B303" s="58"/>
      <c r="C303" s="58"/>
      <c r="D303" s="85">
        <f t="shared" si="58"/>
        <v>0</v>
      </c>
    </row>
    <row r="304" spans="1:4">
      <c r="A304" s="57" t="s">
        <v>276</v>
      </c>
      <c r="B304" s="58"/>
      <c r="C304" s="58"/>
      <c r="D304" s="85">
        <f t="shared" si="58"/>
        <v>0</v>
      </c>
    </row>
    <row r="305" spans="1:4">
      <c r="A305" s="57" t="s">
        <v>277</v>
      </c>
      <c r="B305" s="58"/>
      <c r="C305" s="58"/>
      <c r="D305" s="85">
        <f t="shared" si="58"/>
        <v>0</v>
      </c>
    </row>
    <row r="306" spans="1:4">
      <c r="A306" s="57" t="s">
        <v>278</v>
      </c>
      <c r="B306" s="58"/>
      <c r="C306" s="58"/>
      <c r="D306" s="85">
        <f t="shared" si="58"/>
        <v>0</v>
      </c>
    </row>
    <row r="307" spans="1:4">
      <c r="A307" s="57" t="s">
        <v>279</v>
      </c>
      <c r="B307" s="58"/>
      <c r="C307" s="58"/>
      <c r="D307" s="85">
        <f t="shared" si="58"/>
        <v>0</v>
      </c>
    </row>
    <row r="308" spans="1:4">
      <c r="A308" s="57" t="s">
        <v>280</v>
      </c>
      <c r="B308" s="58"/>
      <c r="C308" s="58"/>
      <c r="D308" s="85">
        <f t="shared" si="58"/>
        <v>0</v>
      </c>
    </row>
    <row r="309" spans="1:4">
      <c r="A309" s="57" t="s">
        <v>281</v>
      </c>
      <c r="B309" s="58"/>
      <c r="C309" s="58"/>
      <c r="D309" s="85">
        <f t="shared" si="58"/>
        <v>0</v>
      </c>
    </row>
    <row r="310" spans="1:4">
      <c r="A310" s="57" t="s">
        <v>282</v>
      </c>
      <c r="B310" s="58"/>
      <c r="C310" s="58"/>
      <c r="D310" s="85">
        <f t="shared" si="58"/>
        <v>0</v>
      </c>
    </row>
    <row r="311" spans="1:4">
      <c r="A311" s="57" t="s">
        <v>283</v>
      </c>
      <c r="B311" s="58"/>
      <c r="C311" s="58"/>
      <c r="D311" s="85">
        <f t="shared" si="58"/>
        <v>0</v>
      </c>
    </row>
    <row r="312" spans="1:4">
      <c r="A312" s="57" t="s">
        <v>284</v>
      </c>
      <c r="B312" s="58"/>
      <c r="C312" s="58"/>
      <c r="D312" s="85">
        <f t="shared" si="58"/>
        <v>0</v>
      </c>
    </row>
    <row r="313" spans="1:4">
      <c r="A313" s="57" t="s">
        <v>285</v>
      </c>
      <c r="B313" s="58"/>
      <c r="C313" s="58"/>
      <c r="D313" s="85">
        <f t="shared" si="58"/>
        <v>0</v>
      </c>
    </row>
    <row r="314" spans="1:4">
      <c r="A314" s="57" t="s">
        <v>286</v>
      </c>
      <c r="B314" s="58"/>
      <c r="C314" s="58"/>
      <c r="D314" s="85">
        <f t="shared" si="58"/>
        <v>0</v>
      </c>
    </row>
    <row r="315" spans="1:4">
      <c r="A315" s="57" t="s">
        <v>287</v>
      </c>
      <c r="B315" s="58">
        <v>-22.377216000000001</v>
      </c>
      <c r="C315" s="58">
        <v>0.37727104000000011</v>
      </c>
      <c r="D315" s="85">
        <f t="shared" si="58"/>
        <v>22.754487040000001</v>
      </c>
    </row>
    <row r="316" spans="1:4">
      <c r="A316" s="57" t="s">
        <v>288</v>
      </c>
      <c r="B316" s="58">
        <v>-22.377216000000001</v>
      </c>
      <c r="C316" s="58">
        <v>0.37727104000000011</v>
      </c>
      <c r="D316" s="85">
        <f t="shared" si="58"/>
        <v>22.754487040000001</v>
      </c>
    </row>
    <row r="317" spans="1:4">
      <c r="A317" s="57" t="s">
        <v>289</v>
      </c>
      <c r="B317" s="58">
        <v>0</v>
      </c>
      <c r="C317" s="58">
        <v>0</v>
      </c>
      <c r="D317" s="85">
        <f t="shared" si="58"/>
        <v>0</v>
      </c>
    </row>
    <row r="318" spans="1:4">
      <c r="A318" s="57" t="s">
        <v>290</v>
      </c>
      <c r="B318" s="58">
        <v>0</v>
      </c>
      <c r="C318" s="58">
        <v>0</v>
      </c>
      <c r="D318" s="85">
        <f t="shared" si="58"/>
        <v>0</v>
      </c>
    </row>
    <row r="319" spans="1:4">
      <c r="A319" s="57" t="s">
        <v>291</v>
      </c>
      <c r="B319" s="58">
        <v>0</v>
      </c>
      <c r="C319" s="58">
        <v>0</v>
      </c>
      <c r="D319" s="85">
        <f t="shared" si="58"/>
        <v>0</v>
      </c>
    </row>
    <row r="320" spans="1:4">
      <c r="A320" s="57" t="s">
        <v>292</v>
      </c>
      <c r="B320" s="58">
        <v>0</v>
      </c>
      <c r="C320" s="58">
        <v>0</v>
      </c>
      <c r="D320" s="85">
        <f t="shared" si="58"/>
        <v>0</v>
      </c>
    </row>
    <row r="321" spans="1:4">
      <c r="A321" s="57" t="s">
        <v>293</v>
      </c>
      <c r="B321" s="58">
        <v>-22.377216000000001</v>
      </c>
      <c r="C321" s="58">
        <v>0.37727104000000011</v>
      </c>
      <c r="D321" s="85">
        <f t="shared" si="58"/>
        <v>22.754487040000001</v>
      </c>
    </row>
    <row r="322" spans="1:4">
      <c r="A322" s="57" t="s">
        <v>294</v>
      </c>
      <c r="B322" s="58">
        <v>-22.377216000000001</v>
      </c>
      <c r="C322" s="58">
        <v>0.37727104000000011</v>
      </c>
      <c r="D322" s="85">
        <f t="shared" si="58"/>
        <v>22.754487040000001</v>
      </c>
    </row>
    <row r="323" spans="1:4">
      <c r="A323" s="57" t="s">
        <v>295</v>
      </c>
      <c r="B323" s="58">
        <v>0</v>
      </c>
      <c r="C323" s="58">
        <v>0</v>
      </c>
      <c r="D323" s="85">
        <f t="shared" si="58"/>
        <v>0</v>
      </c>
    </row>
    <row r="324" spans="1:4">
      <c r="A324" s="57" t="s">
        <v>335</v>
      </c>
      <c r="B324" s="58">
        <v>490.95749181000002</v>
      </c>
      <c r="C324" s="58">
        <v>221.61956853999999</v>
      </c>
      <c r="D324" s="85">
        <f t="shared" si="58"/>
        <v>-269.33792327000003</v>
      </c>
    </row>
    <row r="325" spans="1:4">
      <c r="A325" s="57" t="s">
        <v>274</v>
      </c>
      <c r="B325" s="58"/>
      <c r="C325" s="58"/>
      <c r="D325" s="85">
        <f t="shared" si="58"/>
        <v>0</v>
      </c>
    </row>
    <row r="326" spans="1:4">
      <c r="A326" s="57" t="s">
        <v>276</v>
      </c>
      <c r="B326" s="58"/>
      <c r="C326" s="58"/>
      <c r="D326" s="85">
        <f t="shared" ref="D326:D389" si="59">C326-B326</f>
        <v>0</v>
      </c>
    </row>
    <row r="327" spans="1:4">
      <c r="A327" s="57" t="s">
        <v>277</v>
      </c>
      <c r="B327" s="58"/>
      <c r="C327" s="58"/>
      <c r="D327" s="85">
        <f t="shared" si="59"/>
        <v>0</v>
      </c>
    </row>
    <row r="328" spans="1:4">
      <c r="A328" s="57" t="s">
        <v>278</v>
      </c>
      <c r="B328" s="58"/>
      <c r="C328" s="58"/>
      <c r="D328" s="85">
        <f t="shared" si="59"/>
        <v>0</v>
      </c>
    </row>
    <row r="329" spans="1:4">
      <c r="A329" s="57" t="s">
        <v>279</v>
      </c>
      <c r="B329" s="58"/>
      <c r="C329" s="58"/>
      <c r="D329" s="85">
        <f t="shared" si="59"/>
        <v>0</v>
      </c>
    </row>
    <row r="330" spans="1:4">
      <c r="A330" s="57" t="s">
        <v>280</v>
      </c>
      <c r="B330" s="58"/>
      <c r="C330" s="58"/>
      <c r="D330" s="85">
        <f t="shared" si="59"/>
        <v>0</v>
      </c>
    </row>
    <row r="331" spans="1:4">
      <c r="A331" s="57" t="s">
        <v>281</v>
      </c>
      <c r="B331" s="58"/>
      <c r="C331" s="58"/>
      <c r="D331" s="85">
        <f t="shared" si="59"/>
        <v>0</v>
      </c>
    </row>
    <row r="332" spans="1:4">
      <c r="A332" s="57" t="s">
        <v>282</v>
      </c>
      <c r="B332" s="58"/>
      <c r="C332" s="58"/>
      <c r="D332" s="85">
        <f t="shared" si="59"/>
        <v>0</v>
      </c>
    </row>
    <row r="333" spans="1:4">
      <c r="A333" s="57" t="s">
        <v>283</v>
      </c>
      <c r="B333" s="58"/>
      <c r="C333" s="58"/>
      <c r="D333" s="85">
        <f t="shared" si="59"/>
        <v>0</v>
      </c>
    </row>
    <row r="334" spans="1:4">
      <c r="A334" s="57" t="s">
        <v>284</v>
      </c>
      <c r="B334" s="58">
        <v>0</v>
      </c>
      <c r="C334" s="58">
        <v>0</v>
      </c>
      <c r="D334" s="85">
        <f t="shared" si="59"/>
        <v>0</v>
      </c>
    </row>
    <row r="335" spans="1:4">
      <c r="A335" s="57" t="s">
        <v>285</v>
      </c>
      <c r="B335" s="58">
        <v>0</v>
      </c>
      <c r="C335" s="58">
        <v>0</v>
      </c>
      <c r="D335" s="85">
        <f t="shared" si="59"/>
        <v>0</v>
      </c>
    </row>
    <row r="336" spans="1:4">
      <c r="A336" s="57" t="s">
        <v>286</v>
      </c>
      <c r="B336" s="58">
        <v>0</v>
      </c>
      <c r="C336" s="58">
        <v>0</v>
      </c>
      <c r="D336" s="85">
        <f t="shared" si="59"/>
        <v>0</v>
      </c>
    </row>
    <row r="337" spans="1:4">
      <c r="A337" s="57" t="s">
        <v>287</v>
      </c>
      <c r="B337" s="58">
        <v>490.95749181000002</v>
      </c>
      <c r="C337" s="58">
        <v>221.61956853999999</v>
      </c>
      <c r="D337" s="85">
        <f t="shared" si="59"/>
        <v>-269.33792327000003</v>
      </c>
    </row>
    <row r="338" spans="1:4">
      <c r="A338" s="57" t="s">
        <v>288</v>
      </c>
      <c r="B338" s="58">
        <v>511.95749181000002</v>
      </c>
      <c r="C338" s="58">
        <v>221.61956853999999</v>
      </c>
      <c r="D338" s="85">
        <f t="shared" si="59"/>
        <v>-290.33792327000003</v>
      </c>
    </row>
    <row r="339" spans="1:4">
      <c r="A339" s="57" t="s">
        <v>289</v>
      </c>
      <c r="B339" s="58">
        <v>-21</v>
      </c>
      <c r="C339" s="58">
        <v>0</v>
      </c>
      <c r="D339" s="85">
        <f t="shared" si="59"/>
        <v>21</v>
      </c>
    </row>
    <row r="340" spans="1:4">
      <c r="A340" s="57" t="s">
        <v>290</v>
      </c>
      <c r="B340" s="58">
        <v>0</v>
      </c>
      <c r="C340" s="58">
        <v>0</v>
      </c>
      <c r="D340" s="85">
        <f t="shared" si="59"/>
        <v>0</v>
      </c>
    </row>
    <row r="341" spans="1:4">
      <c r="A341" s="57" t="s">
        <v>291</v>
      </c>
      <c r="B341" s="58">
        <v>0</v>
      </c>
      <c r="C341" s="58">
        <v>0</v>
      </c>
      <c r="D341" s="85">
        <f t="shared" si="59"/>
        <v>0</v>
      </c>
    </row>
    <row r="342" spans="1:4">
      <c r="A342" s="57" t="s">
        <v>292</v>
      </c>
      <c r="B342" s="58">
        <v>0</v>
      </c>
      <c r="C342" s="58">
        <v>0</v>
      </c>
      <c r="D342" s="85">
        <f t="shared" si="59"/>
        <v>0</v>
      </c>
    </row>
    <row r="343" spans="1:4">
      <c r="A343" s="57" t="s">
        <v>293</v>
      </c>
      <c r="B343" s="58">
        <v>490.95749181000002</v>
      </c>
      <c r="C343" s="58">
        <v>221.61956853999999</v>
      </c>
      <c r="D343" s="85">
        <f t="shared" si="59"/>
        <v>-269.33792327000003</v>
      </c>
    </row>
    <row r="344" spans="1:4">
      <c r="A344" s="57" t="s">
        <v>294</v>
      </c>
      <c r="B344" s="58">
        <v>511.95749181000002</v>
      </c>
      <c r="C344" s="58">
        <v>221.61956853999999</v>
      </c>
      <c r="D344" s="85">
        <f t="shared" si="59"/>
        <v>-290.33792327000003</v>
      </c>
    </row>
    <row r="345" spans="1:4">
      <c r="A345" s="57" t="s">
        <v>295</v>
      </c>
      <c r="B345" s="58">
        <v>-21</v>
      </c>
      <c r="C345" s="58">
        <v>0</v>
      </c>
      <c r="D345" s="85">
        <f t="shared" si="59"/>
        <v>21</v>
      </c>
    </row>
    <row r="346" spans="1:4">
      <c r="A346" s="57" t="s">
        <v>296</v>
      </c>
      <c r="B346" s="58">
        <v>55.458666999999998</v>
      </c>
      <c r="C346" s="58">
        <v>8.5516670000000001</v>
      </c>
      <c r="D346" s="85">
        <f t="shared" si="59"/>
        <v>-46.906999999999996</v>
      </c>
    </row>
    <row r="347" spans="1:4">
      <c r="A347" s="57" t="s">
        <v>334</v>
      </c>
      <c r="B347" s="58">
        <v>55.458666999999998</v>
      </c>
      <c r="C347" s="58">
        <v>8.5516670000000001</v>
      </c>
      <c r="D347" s="85">
        <f t="shared" si="59"/>
        <v>-46.906999999999996</v>
      </c>
    </row>
    <row r="348" spans="1:4">
      <c r="A348" s="57" t="s">
        <v>297</v>
      </c>
      <c r="B348" s="58">
        <v>0</v>
      </c>
      <c r="C348" s="58">
        <v>0</v>
      </c>
      <c r="D348" s="85">
        <f t="shared" si="59"/>
        <v>0</v>
      </c>
    </row>
    <row r="349" spans="1:4">
      <c r="A349" s="57" t="s">
        <v>298</v>
      </c>
      <c r="B349" s="58">
        <v>0</v>
      </c>
      <c r="C349" s="58">
        <v>0</v>
      </c>
      <c r="D349" s="85">
        <f t="shared" si="59"/>
        <v>0</v>
      </c>
    </row>
    <row r="350" spans="1:4">
      <c r="A350" s="57" t="s">
        <v>299</v>
      </c>
      <c r="B350" s="58">
        <v>0</v>
      </c>
      <c r="C350" s="58">
        <v>0</v>
      </c>
      <c r="D350" s="85">
        <f t="shared" si="59"/>
        <v>0</v>
      </c>
    </row>
    <row r="351" spans="1:4">
      <c r="A351" s="57" t="s">
        <v>300</v>
      </c>
      <c r="B351" s="58"/>
      <c r="C351" s="58"/>
      <c r="D351" s="85">
        <f t="shared" si="59"/>
        <v>0</v>
      </c>
    </row>
    <row r="352" spans="1:4">
      <c r="A352" s="57" t="s">
        <v>301</v>
      </c>
      <c r="B352" s="58"/>
      <c r="C352" s="58"/>
      <c r="D352" s="85">
        <f t="shared" si="59"/>
        <v>0</v>
      </c>
    </row>
    <row r="353" spans="1:4">
      <c r="A353" s="57" t="s">
        <v>302</v>
      </c>
      <c r="B353" s="58"/>
      <c r="C353" s="58"/>
      <c r="D353" s="85">
        <f t="shared" si="59"/>
        <v>0</v>
      </c>
    </row>
    <row r="354" spans="1:4">
      <c r="A354" s="57" t="s">
        <v>303</v>
      </c>
      <c r="B354" s="58"/>
      <c r="C354" s="58"/>
      <c r="D354" s="85">
        <f t="shared" si="59"/>
        <v>0</v>
      </c>
    </row>
    <row r="355" spans="1:4">
      <c r="A355" s="57" t="s">
        <v>304</v>
      </c>
      <c r="B355" s="58"/>
      <c r="C355" s="58"/>
      <c r="D355" s="85">
        <f t="shared" si="59"/>
        <v>0</v>
      </c>
    </row>
    <row r="356" spans="1:4">
      <c r="A356" s="57" t="s">
        <v>306</v>
      </c>
      <c r="B356" s="58"/>
      <c r="C356" s="58"/>
      <c r="D356" s="85">
        <f t="shared" si="59"/>
        <v>0</v>
      </c>
    </row>
    <row r="357" spans="1:4">
      <c r="A357" s="57" t="s">
        <v>308</v>
      </c>
      <c r="B357" s="58">
        <v>55.458666999999998</v>
      </c>
      <c r="C357" s="58">
        <v>8.5516670000000001</v>
      </c>
      <c r="D357" s="85">
        <f t="shared" si="59"/>
        <v>-46.906999999999996</v>
      </c>
    </row>
    <row r="358" spans="1:4">
      <c r="A358" s="57" t="s">
        <v>309</v>
      </c>
      <c r="B358" s="58"/>
      <c r="C358" s="58"/>
      <c r="D358" s="85">
        <f t="shared" si="59"/>
        <v>0</v>
      </c>
    </row>
    <row r="359" spans="1:4">
      <c r="A359" s="57" t="s">
        <v>310</v>
      </c>
      <c r="B359" s="58">
        <v>55.458666999999998</v>
      </c>
      <c r="C359" s="58">
        <v>8.5516670000000001</v>
      </c>
      <c r="D359" s="85">
        <f t="shared" si="59"/>
        <v>-46.906999999999996</v>
      </c>
    </row>
    <row r="360" spans="1:4">
      <c r="A360" s="57" t="s">
        <v>311</v>
      </c>
      <c r="B360" s="58">
        <v>0</v>
      </c>
      <c r="C360" s="58">
        <v>0</v>
      </c>
      <c r="D360" s="85">
        <f t="shared" si="59"/>
        <v>0</v>
      </c>
    </row>
    <row r="361" spans="1:4">
      <c r="A361" s="57" t="s">
        <v>312</v>
      </c>
      <c r="B361" s="58">
        <v>0</v>
      </c>
      <c r="C361" s="58">
        <v>0</v>
      </c>
      <c r="D361" s="85">
        <f t="shared" si="59"/>
        <v>0</v>
      </c>
    </row>
    <row r="362" spans="1:4">
      <c r="A362" s="57" t="s">
        <v>313</v>
      </c>
      <c r="B362" s="58"/>
      <c r="C362" s="58"/>
      <c r="D362" s="85">
        <f t="shared" si="59"/>
        <v>0</v>
      </c>
    </row>
    <row r="363" spans="1:4">
      <c r="A363" s="57" t="s">
        <v>314</v>
      </c>
      <c r="B363" s="58">
        <v>0</v>
      </c>
      <c r="C363" s="58">
        <v>0</v>
      </c>
      <c r="D363" s="85">
        <f t="shared" si="59"/>
        <v>0</v>
      </c>
    </row>
    <row r="364" spans="1:4">
      <c r="A364" s="57" t="s">
        <v>315</v>
      </c>
      <c r="B364" s="58">
        <v>0</v>
      </c>
      <c r="C364" s="58">
        <v>0</v>
      </c>
      <c r="D364" s="85">
        <f t="shared" si="59"/>
        <v>0</v>
      </c>
    </row>
    <row r="365" spans="1:4">
      <c r="A365" s="57" t="s">
        <v>316</v>
      </c>
      <c r="B365" s="58">
        <v>0</v>
      </c>
      <c r="C365" s="58">
        <v>0</v>
      </c>
      <c r="D365" s="85">
        <f t="shared" si="59"/>
        <v>0</v>
      </c>
    </row>
    <row r="366" spans="1:4">
      <c r="A366" s="57" t="s">
        <v>317</v>
      </c>
      <c r="B366" s="58">
        <v>0</v>
      </c>
      <c r="C366" s="58">
        <v>0</v>
      </c>
      <c r="D366" s="85">
        <f t="shared" si="59"/>
        <v>0</v>
      </c>
    </row>
    <row r="367" spans="1:4">
      <c r="A367" s="57" t="s">
        <v>319</v>
      </c>
      <c r="B367" s="58">
        <v>0</v>
      </c>
      <c r="C367" s="58">
        <v>0</v>
      </c>
      <c r="D367" s="85">
        <f t="shared" si="59"/>
        <v>0</v>
      </c>
    </row>
    <row r="368" spans="1:4">
      <c r="A368" s="57" t="s">
        <v>321</v>
      </c>
      <c r="B368" s="58">
        <v>0</v>
      </c>
      <c r="C368" s="58">
        <v>0</v>
      </c>
      <c r="D368" s="85">
        <f t="shared" si="59"/>
        <v>0</v>
      </c>
    </row>
    <row r="369" spans="1:4">
      <c r="A369" s="57" t="s">
        <v>335</v>
      </c>
      <c r="B369" s="58">
        <v>0</v>
      </c>
      <c r="C369" s="58">
        <v>0</v>
      </c>
      <c r="D369" s="85">
        <f t="shared" si="59"/>
        <v>0</v>
      </c>
    </row>
    <row r="370" spans="1:4">
      <c r="A370" s="57" t="s">
        <v>297</v>
      </c>
      <c r="B370" s="58">
        <v>0</v>
      </c>
      <c r="C370" s="58">
        <v>0</v>
      </c>
      <c r="D370" s="85">
        <f t="shared" si="59"/>
        <v>0</v>
      </c>
    </row>
    <row r="371" spans="1:4">
      <c r="A371" s="57" t="s">
        <v>298</v>
      </c>
      <c r="B371" s="58">
        <v>0</v>
      </c>
      <c r="C371" s="58">
        <v>0</v>
      </c>
      <c r="D371" s="85">
        <f t="shared" si="59"/>
        <v>0</v>
      </c>
    </row>
    <row r="372" spans="1:4">
      <c r="A372" s="57" t="s">
        <v>299</v>
      </c>
      <c r="B372" s="58">
        <v>0</v>
      </c>
      <c r="C372" s="58">
        <v>0</v>
      </c>
      <c r="D372" s="85">
        <f t="shared" si="59"/>
        <v>0</v>
      </c>
    </row>
    <row r="373" spans="1:4">
      <c r="A373" s="57" t="s">
        <v>300</v>
      </c>
      <c r="B373" s="58"/>
      <c r="C373" s="58"/>
      <c r="D373" s="85">
        <f t="shared" si="59"/>
        <v>0</v>
      </c>
    </row>
    <row r="374" spans="1:4">
      <c r="A374" s="57" t="s">
        <v>301</v>
      </c>
      <c r="B374" s="58"/>
      <c r="C374" s="58"/>
      <c r="D374" s="85">
        <f t="shared" si="59"/>
        <v>0</v>
      </c>
    </row>
    <row r="375" spans="1:4">
      <c r="A375" s="57" t="s">
        <v>302</v>
      </c>
      <c r="B375" s="58"/>
      <c r="C375" s="58"/>
      <c r="D375" s="85">
        <f t="shared" si="59"/>
        <v>0</v>
      </c>
    </row>
    <row r="376" spans="1:4">
      <c r="A376" s="57" t="s">
        <v>303</v>
      </c>
      <c r="B376" s="58"/>
      <c r="C376" s="58"/>
      <c r="D376" s="85">
        <f t="shared" si="59"/>
        <v>0</v>
      </c>
    </row>
    <row r="377" spans="1:4">
      <c r="A377" s="57" t="s">
        <v>304</v>
      </c>
      <c r="B377" s="58"/>
      <c r="C377" s="58"/>
      <c r="D377" s="85">
        <f t="shared" si="59"/>
        <v>0</v>
      </c>
    </row>
    <row r="378" spans="1:4">
      <c r="A378" s="57" t="s">
        <v>306</v>
      </c>
      <c r="B378" s="58"/>
      <c r="C378" s="58"/>
      <c r="D378" s="85">
        <f t="shared" si="59"/>
        <v>0</v>
      </c>
    </row>
    <row r="379" spans="1:4">
      <c r="A379" s="57" t="s">
        <v>308</v>
      </c>
      <c r="B379" s="58"/>
      <c r="C379" s="58"/>
      <c r="D379" s="85">
        <f t="shared" si="59"/>
        <v>0</v>
      </c>
    </row>
    <row r="380" spans="1:4">
      <c r="A380" s="57" t="s">
        <v>309</v>
      </c>
      <c r="B380" s="58"/>
      <c r="C380" s="58"/>
      <c r="D380" s="85">
        <f t="shared" si="59"/>
        <v>0</v>
      </c>
    </row>
    <row r="381" spans="1:4">
      <c r="A381" s="57" t="s">
        <v>310</v>
      </c>
      <c r="B381" s="58"/>
      <c r="C381" s="58"/>
      <c r="D381" s="85">
        <f t="shared" si="59"/>
        <v>0</v>
      </c>
    </row>
    <row r="382" spans="1:4">
      <c r="A382" s="57" t="s">
        <v>311</v>
      </c>
      <c r="B382" s="58">
        <v>0</v>
      </c>
      <c r="C382" s="58">
        <v>0</v>
      </c>
      <c r="D382" s="85">
        <f t="shared" si="59"/>
        <v>0</v>
      </c>
    </row>
    <row r="383" spans="1:4">
      <c r="A383" s="57" t="s">
        <v>312</v>
      </c>
      <c r="B383" s="58">
        <v>0</v>
      </c>
      <c r="C383" s="58">
        <v>0</v>
      </c>
      <c r="D383" s="85">
        <f t="shared" si="59"/>
        <v>0</v>
      </c>
    </row>
    <row r="384" spans="1:4">
      <c r="A384" s="57" t="s">
        <v>313</v>
      </c>
      <c r="B384" s="58"/>
      <c r="C384" s="58"/>
      <c r="D384" s="85">
        <f t="shared" si="59"/>
        <v>0</v>
      </c>
    </row>
    <row r="385" spans="1:4">
      <c r="A385" s="57" t="s">
        <v>314</v>
      </c>
      <c r="B385" s="58"/>
      <c r="C385" s="58"/>
      <c r="D385" s="85">
        <f t="shared" si="59"/>
        <v>0</v>
      </c>
    </row>
    <row r="386" spans="1:4">
      <c r="A386" s="57" t="s">
        <v>315</v>
      </c>
      <c r="B386" s="58"/>
      <c r="C386" s="58"/>
      <c r="D386" s="85">
        <f t="shared" si="59"/>
        <v>0</v>
      </c>
    </row>
    <row r="387" spans="1:4">
      <c r="A387" s="57" t="s">
        <v>316</v>
      </c>
      <c r="B387" s="58"/>
      <c r="C387" s="58"/>
      <c r="D387" s="85">
        <f t="shared" si="59"/>
        <v>0</v>
      </c>
    </row>
    <row r="388" spans="1:4">
      <c r="A388" s="57" t="s">
        <v>317</v>
      </c>
      <c r="B388" s="58">
        <v>0</v>
      </c>
      <c r="C388" s="58">
        <v>0</v>
      </c>
      <c r="D388" s="85">
        <f t="shared" si="59"/>
        <v>0</v>
      </c>
    </row>
    <row r="389" spans="1:4">
      <c r="A389" s="57" t="s">
        <v>319</v>
      </c>
      <c r="B389" s="58">
        <v>0</v>
      </c>
      <c r="C389" s="58">
        <v>0</v>
      </c>
      <c r="D389" s="85">
        <f t="shared" si="59"/>
        <v>0</v>
      </c>
    </row>
    <row r="390" spans="1:4">
      <c r="A390" s="57" t="s">
        <v>321</v>
      </c>
      <c r="B390" s="58"/>
      <c r="C390" s="58"/>
      <c r="D390" s="85">
        <f t="shared" ref="D390:D410" si="60">C390-B390</f>
        <v>0</v>
      </c>
    </row>
    <row r="391" spans="1:4">
      <c r="A391" s="57" t="s">
        <v>336</v>
      </c>
      <c r="B391" s="58">
        <v>0</v>
      </c>
      <c r="C391" s="58">
        <v>0</v>
      </c>
      <c r="D391" s="85">
        <f t="shared" si="60"/>
        <v>0</v>
      </c>
    </row>
    <row r="392" spans="1:4">
      <c r="A392" s="57" t="s">
        <v>337</v>
      </c>
      <c r="B392" s="58">
        <v>1865.8285713400001</v>
      </c>
      <c r="C392" s="58">
        <v>1088.1620442200001</v>
      </c>
      <c r="D392" s="85">
        <f t="shared" si="60"/>
        <v>-777.66652711999996</v>
      </c>
    </row>
    <row r="393" spans="1:4">
      <c r="A393" s="57" t="s">
        <v>338</v>
      </c>
      <c r="B393" s="58">
        <v>-1.0000001100000001E-8</v>
      </c>
      <c r="C393" s="58">
        <v>6.0000039999999994E-8</v>
      </c>
      <c r="D393" s="85">
        <f t="shared" si="60"/>
        <v>7.000004109999999E-8</v>
      </c>
    </row>
    <row r="394" spans="1:4">
      <c r="A394" s="57" t="s">
        <v>339</v>
      </c>
      <c r="B394" s="58"/>
      <c r="C394" s="58"/>
      <c r="D394" s="85">
        <f t="shared" si="60"/>
        <v>0</v>
      </c>
    </row>
    <row r="395" spans="1:4">
      <c r="A395" s="57" t="s">
        <v>340</v>
      </c>
      <c r="B395" s="58">
        <v>-1.0000001100000001E-8</v>
      </c>
      <c r="C395" s="58">
        <v>6.0000039999999994E-8</v>
      </c>
      <c r="D395" s="85">
        <f t="shared" si="60"/>
        <v>7.000004109999999E-8</v>
      </c>
    </row>
    <row r="396" spans="1:4">
      <c r="A396" s="57" t="s">
        <v>341</v>
      </c>
      <c r="B396" s="58">
        <v>-12.072534130000001</v>
      </c>
      <c r="C396" s="58">
        <v>-12.786396880000002</v>
      </c>
      <c r="D396" s="85">
        <f t="shared" si="60"/>
        <v>-0.71386275000000055</v>
      </c>
    </row>
    <row r="397" spans="1:4">
      <c r="A397" s="57" t="s">
        <v>342</v>
      </c>
      <c r="B397" s="58"/>
      <c r="C397" s="58"/>
      <c r="D397" s="85">
        <f t="shared" si="60"/>
        <v>0</v>
      </c>
    </row>
    <row r="398" spans="1:4">
      <c r="A398" s="57" t="s">
        <v>343</v>
      </c>
      <c r="B398" s="58">
        <v>1877.9011054799998</v>
      </c>
      <c r="C398" s="58">
        <v>1100.94844104</v>
      </c>
      <c r="D398" s="85">
        <f t="shared" si="60"/>
        <v>-776.95266443999981</v>
      </c>
    </row>
    <row r="399" spans="1:4">
      <c r="A399" s="57" t="s">
        <v>344</v>
      </c>
      <c r="B399" s="58">
        <v>-0.16946324000000001</v>
      </c>
      <c r="C399" s="58">
        <v>-8.627290999999998E-2</v>
      </c>
      <c r="D399" s="85">
        <f t="shared" si="60"/>
        <v>8.3190330000000035E-2</v>
      </c>
    </row>
    <row r="400" spans="1:4">
      <c r="A400" s="57" t="s">
        <v>345</v>
      </c>
      <c r="B400" s="58"/>
      <c r="C400" s="58"/>
      <c r="D400" s="85">
        <f t="shared" si="60"/>
        <v>0</v>
      </c>
    </row>
    <row r="401" spans="1:4">
      <c r="A401" s="57" t="s">
        <v>346</v>
      </c>
      <c r="B401" s="58">
        <v>-0.16946324000000001</v>
      </c>
      <c r="C401" s="58">
        <v>-8.627290999999998E-2</v>
      </c>
      <c r="D401" s="85">
        <f t="shared" si="60"/>
        <v>8.3190330000000035E-2</v>
      </c>
    </row>
    <row r="402" spans="1:4">
      <c r="A402" s="57" t="s">
        <v>347</v>
      </c>
      <c r="B402" s="58">
        <v>1844.8281544199999</v>
      </c>
      <c r="C402" s="58">
        <v>1070.9405848500001</v>
      </c>
      <c r="D402" s="85">
        <f t="shared" si="60"/>
        <v>-773.88756956999987</v>
      </c>
    </row>
    <row r="403" spans="1:4">
      <c r="A403" s="57" t="s">
        <v>348</v>
      </c>
      <c r="B403" s="58">
        <v>1844.8281544199999</v>
      </c>
      <c r="C403" s="58">
        <v>1070.9405848500001</v>
      </c>
      <c r="D403" s="85">
        <f t="shared" si="60"/>
        <v>-773.88756956999987</v>
      </c>
    </row>
    <row r="404" spans="1:4">
      <c r="A404" s="57" t="s">
        <v>349</v>
      </c>
      <c r="B404" s="58"/>
      <c r="C404" s="58"/>
      <c r="D404" s="85">
        <f t="shared" si="60"/>
        <v>0</v>
      </c>
    </row>
    <row r="405" spans="1:4">
      <c r="A405" s="57" t="s">
        <v>350</v>
      </c>
      <c r="B405" s="58"/>
      <c r="C405" s="58"/>
      <c r="D405" s="85">
        <f t="shared" si="60"/>
        <v>0</v>
      </c>
    </row>
    <row r="406" spans="1:4">
      <c r="A406" s="57" t="s">
        <v>351</v>
      </c>
      <c r="B406" s="58"/>
      <c r="C406" s="58"/>
      <c r="D406" s="85">
        <f t="shared" si="60"/>
        <v>0</v>
      </c>
    </row>
    <row r="407" spans="1:4">
      <c r="A407" s="57" t="s">
        <v>352</v>
      </c>
      <c r="B407" s="58"/>
      <c r="C407" s="58"/>
      <c r="D407" s="85">
        <f t="shared" si="60"/>
        <v>0</v>
      </c>
    </row>
    <row r="408" spans="1:4">
      <c r="A408" s="57" t="s">
        <v>353</v>
      </c>
      <c r="B408" s="58">
        <v>33.2424143</v>
      </c>
      <c r="C408" s="58">
        <v>30.0941291</v>
      </c>
      <c r="D408" s="85">
        <f t="shared" si="60"/>
        <v>-3.1482852000000001</v>
      </c>
    </row>
    <row r="409" spans="1:4">
      <c r="A409" s="57" t="s">
        <v>354</v>
      </c>
      <c r="B409" s="58">
        <v>581.52713455000003</v>
      </c>
      <c r="C409" s="58">
        <v>1147.44842436</v>
      </c>
      <c r="D409" s="85">
        <f t="shared" si="60"/>
        <v>565.92128980999996</v>
      </c>
    </row>
    <row r="410" spans="1:4">
      <c r="A410" s="57" t="s">
        <v>355</v>
      </c>
      <c r="B410" s="58">
        <v>-4563.1116983399997</v>
      </c>
      <c r="C410" s="58">
        <v>-4626.5336732199994</v>
      </c>
      <c r="D410" s="85">
        <f t="shared" si="60"/>
        <v>-63.421974879999652</v>
      </c>
    </row>
  </sheetData>
  <mergeCells count="9">
    <mergeCell ref="I46:J46"/>
    <mergeCell ref="I52:J52"/>
    <mergeCell ref="I60:J60"/>
    <mergeCell ref="I4:J4"/>
    <mergeCell ref="I10:J10"/>
    <mergeCell ref="I18:J18"/>
    <mergeCell ref="I24:J24"/>
    <mergeCell ref="I32:J32"/>
    <mergeCell ref="I38:J38"/>
  </mergeCells>
  <conditionalFormatting sqref="B8:C2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:C5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C9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8:C13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5:C15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7:C16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0:C19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3:C40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D32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4:D58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61:D96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98:D135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45:D155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57:D166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76:D197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99:D220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22:D246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48:D271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73:D286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88:D300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02:D323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25:D344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25:D34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48:D36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70:D39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93:D40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E8CF-00B0-D84C-AF86-AF1E138B9ED7}">
  <dimension ref="A1:M20"/>
  <sheetViews>
    <sheetView zoomScale="125" workbookViewId="0">
      <selection activeCell="J1" sqref="J1:M1"/>
    </sheetView>
  </sheetViews>
  <sheetFormatPr baseColWidth="10" defaultRowHeight="15"/>
  <cols>
    <col min="1" max="1" width="40" bestFit="1" customWidth="1"/>
    <col min="6" max="6" width="19" bestFit="1" customWidth="1"/>
    <col min="10" max="10" width="18" bestFit="1" customWidth="1"/>
  </cols>
  <sheetData>
    <row r="1" spans="1:13">
      <c r="A1" s="79" t="s">
        <v>130</v>
      </c>
      <c r="B1" s="152">
        <v>2024</v>
      </c>
      <c r="C1" s="152"/>
      <c r="D1" s="153">
        <v>2025</v>
      </c>
      <c r="E1" s="154"/>
      <c r="F1" s="155" t="s">
        <v>135</v>
      </c>
      <c r="G1" s="155"/>
      <c r="J1" s="81" t="s">
        <v>366</v>
      </c>
      <c r="K1" s="81" t="s">
        <v>369</v>
      </c>
      <c r="L1" s="81" t="s">
        <v>370</v>
      </c>
      <c r="M1" s="81" t="s">
        <v>373</v>
      </c>
    </row>
    <row r="2" spans="1:13">
      <c r="A2" s="80" t="s">
        <v>356</v>
      </c>
      <c r="B2" s="83" t="s">
        <v>357</v>
      </c>
      <c r="C2" s="83" t="s">
        <v>358</v>
      </c>
      <c r="D2" s="83" t="s">
        <v>359</v>
      </c>
      <c r="E2" s="83" t="s">
        <v>408</v>
      </c>
      <c r="F2" s="83" t="s">
        <v>133</v>
      </c>
      <c r="G2" s="83" t="s">
        <v>425</v>
      </c>
    </row>
    <row r="3" spans="1:13">
      <c r="A3" s="81" t="s">
        <v>360</v>
      </c>
      <c r="B3" s="77">
        <f>+SUM('Data-cuentacorriente'!F3:G3)</f>
        <v>-3029.9905040000003</v>
      </c>
      <c r="C3" s="77">
        <f>+SUM('Data-cuentacorriente'!H3:I3)</f>
        <v>-3982.3651020000002</v>
      </c>
      <c r="D3" s="58">
        <f>+SUM('Data-cuentacorriente'!B3:C3)</f>
        <v>-4153.491086</v>
      </c>
      <c r="E3" s="58">
        <f>+SUM('Data-cuentacorriente'!D3:E3)</f>
        <v>-6729.4027120000001</v>
      </c>
      <c r="F3" s="77">
        <f>+D3-B3</f>
        <v>-1123.5005819999997</v>
      </c>
      <c r="G3" s="77">
        <f>+E3-C3</f>
        <v>-2747.0376099999999</v>
      </c>
    </row>
    <row r="4" spans="1:13">
      <c r="A4" s="81" t="s">
        <v>361</v>
      </c>
      <c r="B4" s="77">
        <f>+SUM('Data-cuentacorriente'!F4:G4)</f>
        <v>46270.241135000004</v>
      </c>
      <c r="C4" s="77">
        <f>+SUM('Data-cuentacorriente'!H4:I4)</f>
        <v>49467.806790999995</v>
      </c>
      <c r="D4" s="58">
        <f>+SUM('Data-cuentacorriente'!B4:C4)</f>
        <v>47932.898297</v>
      </c>
      <c r="E4" s="58">
        <f>+SUM('Data-cuentacorriente'!D4:E4)</f>
        <v>50976.870435000004</v>
      </c>
      <c r="F4" s="20">
        <f t="shared" ref="F4:F20" si="0">+D4-B4</f>
        <v>1662.6571619999959</v>
      </c>
      <c r="G4" s="20">
        <f t="shared" ref="G4:G20" si="1">+E4-C4</f>
        <v>1509.0636440000089</v>
      </c>
    </row>
    <row r="5" spans="1:13">
      <c r="A5" s="81" t="s">
        <v>362</v>
      </c>
      <c r="B5" s="77">
        <f>+SUM('Data-cuentacorriente'!F5:G5)</f>
        <v>49300.231638999998</v>
      </c>
      <c r="C5" s="77">
        <f>+SUM('Data-cuentacorriente'!H5:I5)</f>
        <v>53450.171890999998</v>
      </c>
      <c r="D5" s="58">
        <f>+SUM('Data-cuentacorriente'!B5:C5)</f>
        <v>52086.389383000002</v>
      </c>
      <c r="E5" s="58">
        <f>+SUM('Data-cuentacorriente'!D5:E5)</f>
        <v>57706.273147</v>
      </c>
      <c r="F5" s="20">
        <f t="shared" si="0"/>
        <v>2786.1577440000037</v>
      </c>
      <c r="G5" s="20">
        <f t="shared" si="1"/>
        <v>4256.1012560000017</v>
      </c>
    </row>
    <row r="6" spans="1:13">
      <c r="A6" s="81" t="s">
        <v>363</v>
      </c>
      <c r="B6" s="77">
        <f>+SUM('Data-cuentacorriente'!F6:G6)</f>
        <v>-4140.8653890000005</v>
      </c>
      <c r="C6" s="77">
        <f>+SUM('Data-cuentacorriente'!H6:I6)</f>
        <v>-5541.6242839999995</v>
      </c>
      <c r="D6" s="58">
        <f>+SUM('Data-cuentacorriente'!B6:C6)</f>
        <v>-6377.5475200000001</v>
      </c>
      <c r="E6" s="58">
        <f>+SUM('Data-cuentacorriente'!D6:E6)</f>
        <v>-8493.9249490000002</v>
      </c>
      <c r="F6" s="20">
        <f t="shared" si="0"/>
        <v>-2236.6821309999996</v>
      </c>
      <c r="G6" s="20">
        <f t="shared" si="1"/>
        <v>-2952.3006650000007</v>
      </c>
    </row>
    <row r="7" spans="1:13">
      <c r="A7" s="81" t="s">
        <v>364</v>
      </c>
      <c r="B7" s="77">
        <f>+SUM('Data-cuentacorriente'!F7:G7)</f>
        <v>33348.194260000004</v>
      </c>
      <c r="C7" s="77">
        <f>+SUM('Data-cuentacorriente'!H7:I7)</f>
        <v>35779.606633999996</v>
      </c>
      <c r="D7" s="58">
        <f>+SUM('Data-cuentacorriente'!B7:C7)</f>
        <v>34341.966733000001</v>
      </c>
      <c r="E7" s="58">
        <f>+SUM('Data-cuentacorriente'!D7:E7)</f>
        <v>36741.047686999998</v>
      </c>
      <c r="F7" s="20">
        <f t="shared" si="0"/>
        <v>993.77247299999726</v>
      </c>
      <c r="G7" s="20">
        <f t="shared" si="1"/>
        <v>961.44105300000228</v>
      </c>
    </row>
    <row r="8" spans="1:13">
      <c r="A8" s="81" t="s">
        <v>365</v>
      </c>
      <c r="B8" s="77">
        <f>+SUM('Data-cuentacorriente'!F8:G8)</f>
        <v>37489.059648000002</v>
      </c>
      <c r="C8" s="77">
        <f>+SUM('Data-cuentacorriente'!H8:I8)</f>
        <v>41321.230918000001</v>
      </c>
      <c r="D8" s="58">
        <f>+SUM('Data-cuentacorriente'!B8:C8)</f>
        <v>40719.514253000001</v>
      </c>
      <c r="E8" s="58">
        <f>+SUM('Data-cuentacorriente'!D8:E8)</f>
        <v>45234.972635999999</v>
      </c>
      <c r="F8" s="20">
        <f t="shared" si="0"/>
        <v>3230.454604999999</v>
      </c>
      <c r="G8" s="20">
        <f t="shared" si="1"/>
        <v>3913.7417179999975</v>
      </c>
    </row>
    <row r="9" spans="1:13">
      <c r="A9" s="81" t="s">
        <v>366</v>
      </c>
      <c r="B9" s="77">
        <f>+SUM('Data-cuentacorriente'!F9:G9)</f>
        <v>-4072.4160379999998</v>
      </c>
      <c r="C9" s="77">
        <f>+SUM('Data-cuentacorriente'!H9:I9)</f>
        <v>-5083.3538160000007</v>
      </c>
      <c r="D9" s="58">
        <f>+SUM('Data-cuentacorriente'!B9:C9)</f>
        <v>-6696.7365499999996</v>
      </c>
      <c r="E9" s="58">
        <f>+SUM('Data-cuentacorriente'!D9:E9)</f>
        <v>-8135.7172650000002</v>
      </c>
      <c r="F9" s="20">
        <f t="shared" si="0"/>
        <v>-2624.3205119999998</v>
      </c>
      <c r="G9" s="20">
        <f t="shared" si="1"/>
        <v>-3052.3634489999995</v>
      </c>
    </row>
    <row r="10" spans="1:13">
      <c r="A10" s="81" t="s">
        <v>367</v>
      </c>
      <c r="B10" s="77">
        <f>+SUM('Data-cuentacorriente'!F10:G10)</f>
        <v>24916.159876999998</v>
      </c>
      <c r="C10" s="77">
        <f>+SUM('Data-cuentacorriente'!H10:I10)</f>
        <v>26174.526534999997</v>
      </c>
      <c r="D10" s="58">
        <f>+SUM('Data-cuentacorriente'!B10:C10)</f>
        <v>24966.172989999999</v>
      </c>
      <c r="E10" s="58">
        <f>+SUM('Data-cuentacorriente'!D10:E10)</f>
        <v>26530.157358999997</v>
      </c>
      <c r="F10" s="20">
        <f t="shared" si="0"/>
        <v>50.013113000000885</v>
      </c>
      <c r="G10" s="20">
        <f t="shared" si="1"/>
        <v>355.63082399999985</v>
      </c>
    </row>
    <row r="11" spans="1:13">
      <c r="A11" s="81" t="s">
        <v>368</v>
      </c>
      <c r="B11" s="77">
        <f>+SUM('Data-cuentacorriente'!F11:G11)</f>
        <v>28988.575915000001</v>
      </c>
      <c r="C11" s="77">
        <f>+SUM('Data-cuentacorriente'!H11:I11)</f>
        <v>31257.880351</v>
      </c>
      <c r="D11" s="58">
        <f>+SUM('Data-cuentacorriente'!B11:C11)</f>
        <v>31662.909540000001</v>
      </c>
      <c r="E11" s="58">
        <f>+SUM('Data-cuentacorriente'!D11:E11)</f>
        <v>34665.874624000004</v>
      </c>
      <c r="F11" s="20">
        <f t="shared" si="0"/>
        <v>2674.3336249999993</v>
      </c>
      <c r="G11" s="20">
        <f t="shared" si="1"/>
        <v>3407.9942730000039</v>
      </c>
    </row>
    <row r="12" spans="1:13">
      <c r="A12" s="81" t="s">
        <v>369</v>
      </c>
      <c r="B12" s="77">
        <f>+SUM('Data-cuentacorriente'!F12:G12)</f>
        <v>-68.449351079999985</v>
      </c>
      <c r="C12" s="77">
        <f>+SUM('Data-cuentacorriente'!H12:I12)</f>
        <v>-458.27046833999998</v>
      </c>
      <c r="D12" s="58">
        <f>+SUM('Data-cuentacorriente'!B12:C12)</f>
        <v>319.18902977000005</v>
      </c>
      <c r="E12" s="58">
        <f>+SUM('Data-cuentacorriente'!D12:E12)</f>
        <v>-358.20768390000001</v>
      </c>
      <c r="F12" s="20">
        <f t="shared" si="0"/>
        <v>387.63838085000003</v>
      </c>
      <c r="G12" s="20">
        <f t="shared" si="1"/>
        <v>100.06278443999997</v>
      </c>
    </row>
    <row r="13" spans="1:13">
      <c r="A13" s="81" t="s">
        <v>367</v>
      </c>
      <c r="B13" s="77">
        <f>+SUM('Data-cuentacorriente'!F13:G13)</f>
        <v>8432.0343825999989</v>
      </c>
      <c r="C13" s="77">
        <f>+SUM('Data-cuentacorriente'!H13:I13)</f>
        <v>9605.0800983999998</v>
      </c>
      <c r="D13" s="58">
        <f>+SUM('Data-cuentacorriente'!B13:C13)</f>
        <v>9375.7937435999993</v>
      </c>
      <c r="E13" s="58">
        <f>+SUM('Data-cuentacorriente'!D13:E13)</f>
        <v>10210.8903274</v>
      </c>
      <c r="F13" s="20">
        <f t="shared" si="0"/>
        <v>943.75936100000035</v>
      </c>
      <c r="G13" s="20">
        <f t="shared" si="1"/>
        <v>605.81022900000062</v>
      </c>
    </row>
    <row r="14" spans="1:13">
      <c r="A14" s="81" t="s">
        <v>368</v>
      </c>
      <c r="B14" s="77">
        <f>+SUM('Data-cuentacorriente'!F14:G14)</f>
        <v>8500.4837336000001</v>
      </c>
      <c r="C14" s="77">
        <f>+SUM('Data-cuentacorriente'!H14:I14)</f>
        <v>10063.350566699999</v>
      </c>
      <c r="D14" s="58">
        <f>+SUM('Data-cuentacorriente'!B14:C14)</f>
        <v>9056.6047137999994</v>
      </c>
      <c r="E14" s="58">
        <f>+SUM('Data-cuentacorriente'!D14:E14)</f>
        <v>10569.098011300001</v>
      </c>
      <c r="F14" s="20">
        <f t="shared" si="0"/>
        <v>556.12098019999939</v>
      </c>
      <c r="G14" s="20">
        <f t="shared" si="1"/>
        <v>505.74744460000147</v>
      </c>
    </row>
    <row r="15" spans="1:13">
      <c r="A15" s="81" t="s">
        <v>370</v>
      </c>
      <c r="B15" s="77">
        <f>+SUM('Data-cuentacorriente'!F15:G15)</f>
        <v>-6116.9655669999993</v>
      </c>
      <c r="C15" s="77">
        <f>+SUM('Data-cuentacorriente'!H15:I15)</f>
        <v>-6720.0553840000002</v>
      </c>
      <c r="D15" s="58">
        <f>+SUM('Data-cuentacorriente'!B15:C15)</f>
        <v>-5773.1575570000005</v>
      </c>
      <c r="E15" s="58">
        <f>+SUM('Data-cuentacorriente'!D15:E15)</f>
        <v>-6672.7977069999997</v>
      </c>
      <c r="F15" s="20">
        <f t="shared" si="0"/>
        <v>343.80800999999883</v>
      </c>
      <c r="G15" s="20">
        <f t="shared" si="1"/>
        <v>47.257677000000513</v>
      </c>
    </row>
    <row r="16" spans="1:13">
      <c r="A16" s="81" t="s">
        <v>371</v>
      </c>
      <c r="B16" s="77">
        <f>+SUM('Data-cuentacorriente'!F16:G16)</f>
        <v>4842.4548628000002</v>
      </c>
      <c r="C16" s="77">
        <f>+SUM('Data-cuentacorriente'!H16:I16)</f>
        <v>4641.8794572000006</v>
      </c>
      <c r="D16" s="58">
        <f>+SUM('Data-cuentacorriente'!B16:C16)</f>
        <v>4858.7891632000001</v>
      </c>
      <c r="E16" s="58">
        <f>+SUM('Data-cuentacorriente'!D16:E16)</f>
        <v>4973.4159870000003</v>
      </c>
      <c r="F16" s="20">
        <f t="shared" si="0"/>
        <v>16.334300399999847</v>
      </c>
      <c r="G16" s="20">
        <f t="shared" si="1"/>
        <v>331.5365297999997</v>
      </c>
    </row>
    <row r="17" spans="1:7">
      <c r="A17" s="81" t="s">
        <v>372</v>
      </c>
      <c r="B17" s="77">
        <f>+SUM('Data-cuentacorriente'!F17:G17)</f>
        <v>10959.420429100001</v>
      </c>
      <c r="C17" s="77">
        <f>+SUM('Data-cuentacorriente'!H17:I17)</f>
        <v>11361.934840900001</v>
      </c>
      <c r="D17" s="58">
        <f>+SUM('Data-cuentacorriente'!B17:C17)</f>
        <v>10631.946719799998</v>
      </c>
      <c r="E17" s="58">
        <f>+SUM('Data-cuentacorriente'!D17:E17)</f>
        <v>11646.213694099999</v>
      </c>
      <c r="F17" s="20">
        <f t="shared" si="0"/>
        <v>-327.47370930000216</v>
      </c>
      <c r="G17" s="20">
        <f t="shared" si="1"/>
        <v>284.27885319999768</v>
      </c>
    </row>
    <row r="18" spans="1:7">
      <c r="A18" s="81" t="s">
        <v>373</v>
      </c>
      <c r="B18" s="77">
        <f>+SUM('Data-cuentacorriente'!F18:G18)</f>
        <v>7227.8404513000005</v>
      </c>
      <c r="C18" s="77">
        <f>+SUM('Data-cuentacorriente'!H18:I18)</f>
        <v>8279.3145664000003</v>
      </c>
      <c r="D18" s="58">
        <f>+SUM('Data-cuentacorriente'!B18:C18)</f>
        <v>7997.2139900000002</v>
      </c>
      <c r="E18" s="58">
        <f>+SUM('Data-cuentacorriente'!D18:E18)</f>
        <v>8437.3199442999994</v>
      </c>
      <c r="F18" s="20">
        <f t="shared" si="0"/>
        <v>769.3735386999997</v>
      </c>
      <c r="G18" s="20">
        <f t="shared" si="1"/>
        <v>158.00537789999908</v>
      </c>
    </row>
    <row r="19" spans="1:7">
      <c r="A19" s="81" t="s">
        <v>371</v>
      </c>
      <c r="B19" s="77">
        <f>+SUM('Data-cuentacorriente'!F19:G19)</f>
        <v>8079.5920121999998</v>
      </c>
      <c r="C19" s="77">
        <f>+SUM('Data-cuentacorriente'!H19:I19)</f>
        <v>9046.3206995</v>
      </c>
      <c r="D19" s="58">
        <f>+SUM('Data-cuentacorriente'!B19:C19)</f>
        <v>8732.1424002000003</v>
      </c>
      <c r="E19" s="58">
        <f>+SUM('Data-cuentacorriente'!D19:E19)</f>
        <v>9262.4067610000002</v>
      </c>
      <c r="F19" s="20">
        <f t="shared" si="0"/>
        <v>652.55038800000057</v>
      </c>
      <c r="G19" s="20">
        <f t="shared" si="1"/>
        <v>216.08606150000014</v>
      </c>
    </row>
    <row r="20" spans="1:7">
      <c r="A20" s="81" t="s">
        <v>372</v>
      </c>
      <c r="B20" s="77">
        <f>+SUM('Data-cuentacorriente'!F20:G20)</f>
        <v>851.75156093999999</v>
      </c>
      <c r="C20" s="77">
        <f>+SUM('Data-cuentacorriente'!H20:I20)</f>
        <v>767.00613304000001</v>
      </c>
      <c r="D20" s="58">
        <f>+SUM('Data-cuentacorriente'!B20:C20)</f>
        <v>734.92841016</v>
      </c>
      <c r="E20" s="58">
        <f>+SUM('Data-cuentacorriente'!D20:E20)</f>
        <v>825.08681677999994</v>
      </c>
      <c r="F20" s="20">
        <f t="shared" si="0"/>
        <v>-116.82315077999999</v>
      </c>
      <c r="G20" s="20">
        <f t="shared" si="1"/>
        <v>58.080683739999927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6163-E299-1D4D-91A7-2DC25709D9F5}">
  <dimension ref="A1:D20"/>
  <sheetViews>
    <sheetView zoomScale="131" workbookViewId="0">
      <selection activeCell="B3" sqref="B3"/>
    </sheetView>
  </sheetViews>
  <sheetFormatPr baseColWidth="10" defaultRowHeight="15"/>
  <cols>
    <col min="1" max="1" width="33.1640625" bestFit="1" customWidth="1"/>
    <col min="4" max="4" width="16.33203125" bestFit="1" customWidth="1"/>
  </cols>
  <sheetData>
    <row r="1" spans="1:4">
      <c r="A1" s="80" t="s">
        <v>130</v>
      </c>
      <c r="B1" s="104">
        <v>2024</v>
      </c>
      <c r="C1" s="76">
        <v>2025</v>
      </c>
    </row>
    <row r="2" spans="1:4">
      <c r="A2" s="80" t="s">
        <v>356</v>
      </c>
      <c r="B2" s="83" t="s">
        <v>423</v>
      </c>
      <c r="C2" s="83" t="s">
        <v>424</v>
      </c>
      <c r="D2" s="83" t="s">
        <v>135</v>
      </c>
    </row>
    <row r="3" spans="1:4">
      <c r="A3" s="81" t="s">
        <v>360</v>
      </c>
      <c r="B3" s="58">
        <f>+SUM('Data-cuentacorriente'!F3:I3)</f>
        <v>-7012.355606000001</v>
      </c>
      <c r="C3" s="58">
        <f>+SUM('Data-cuentacorriente'!B3:E3)</f>
        <v>-10882.893798000001</v>
      </c>
      <c r="D3" s="58">
        <f>+C3-B3</f>
        <v>-3870.538192</v>
      </c>
    </row>
    <row r="4" spans="1:4">
      <c r="A4" s="81" t="s">
        <v>361</v>
      </c>
      <c r="B4" s="58">
        <f>+SUM('Data-cuentacorriente'!F4:I4)</f>
        <v>95738.047925999999</v>
      </c>
      <c r="C4" s="58">
        <f>+SUM('Data-cuentacorriente'!B4:E4)</f>
        <v>98909.768731999997</v>
      </c>
      <c r="D4" s="58">
        <f t="shared" ref="D4:D20" si="0">+C4-B4</f>
        <v>3171.7208059999975</v>
      </c>
    </row>
    <row r="5" spans="1:4">
      <c r="A5" s="81" t="s">
        <v>362</v>
      </c>
      <c r="B5" s="58">
        <f>+SUM('Data-cuentacorriente'!F5:I5)</f>
        <v>102750.40353000001</v>
      </c>
      <c r="C5" s="58">
        <f>+SUM('Data-cuentacorriente'!B5:E5)</f>
        <v>109792.66253</v>
      </c>
      <c r="D5" s="58">
        <f t="shared" si="0"/>
        <v>7042.2589999999909</v>
      </c>
    </row>
    <row r="6" spans="1:4">
      <c r="A6" s="81" t="s">
        <v>363</v>
      </c>
      <c r="B6" s="58">
        <f>+SUM('Data-cuentacorriente'!F6:I6)</f>
        <v>-9682.489673</v>
      </c>
      <c r="C6" s="58">
        <f>+SUM('Data-cuentacorriente'!B6:E6)</f>
        <v>-14871.472469</v>
      </c>
      <c r="D6" s="58">
        <f t="shared" si="0"/>
        <v>-5188.9827960000002</v>
      </c>
    </row>
    <row r="7" spans="1:4">
      <c r="A7" s="81" t="s">
        <v>364</v>
      </c>
      <c r="B7" s="58">
        <f>+SUM('Data-cuentacorriente'!F7:I7)</f>
        <v>69127.800894000015</v>
      </c>
      <c r="C7" s="58">
        <f>+SUM('Data-cuentacorriente'!B7:E7)</f>
        <v>71083.014420000007</v>
      </c>
      <c r="D7" s="58">
        <f t="shared" si="0"/>
        <v>1955.2135259999923</v>
      </c>
    </row>
    <row r="8" spans="1:4">
      <c r="A8" s="81" t="s">
        <v>365</v>
      </c>
      <c r="B8" s="58">
        <f>+SUM('Data-cuentacorriente'!F8:I8)</f>
        <v>78810.290565999996</v>
      </c>
      <c r="C8" s="58">
        <f>+SUM('Data-cuentacorriente'!B8:E8)</f>
        <v>85954.486888999993</v>
      </c>
      <c r="D8" s="58">
        <f t="shared" si="0"/>
        <v>7144.1963229999965</v>
      </c>
    </row>
    <row r="9" spans="1:4">
      <c r="A9" s="81" t="s">
        <v>366</v>
      </c>
      <c r="B9" s="58">
        <f>+SUM('Data-cuentacorriente'!F9:I9)</f>
        <v>-9155.7698540000001</v>
      </c>
      <c r="C9" s="58">
        <f>+SUM('Data-cuentacorriente'!B9:E9)</f>
        <v>-14832.453815000001</v>
      </c>
      <c r="D9" s="58">
        <f t="shared" si="0"/>
        <v>-5676.6839610000006</v>
      </c>
    </row>
    <row r="10" spans="1:4">
      <c r="A10" s="81" t="s">
        <v>367</v>
      </c>
      <c r="B10" s="58">
        <f>+SUM('Data-cuentacorriente'!F10:I10)</f>
        <v>51090.686412000003</v>
      </c>
      <c r="C10" s="58">
        <f>+SUM('Data-cuentacorriente'!B10:E10)</f>
        <v>51496.330348999996</v>
      </c>
      <c r="D10" s="58">
        <f t="shared" si="0"/>
        <v>405.64393699999346</v>
      </c>
    </row>
    <row r="11" spans="1:4">
      <c r="A11" s="81" t="s">
        <v>368</v>
      </c>
      <c r="B11" s="58">
        <f>+SUM('Data-cuentacorriente'!F11:I11)</f>
        <v>60246.456266000001</v>
      </c>
      <c r="C11" s="58">
        <f>+SUM('Data-cuentacorriente'!B11:E11)</f>
        <v>66328.784163999997</v>
      </c>
      <c r="D11" s="58">
        <f t="shared" si="0"/>
        <v>6082.3278979999959</v>
      </c>
    </row>
    <row r="12" spans="1:4">
      <c r="A12" s="81" t="s">
        <v>369</v>
      </c>
      <c r="B12" s="58">
        <f>+SUM('Data-cuentacorriente'!F12:I12)</f>
        <v>-526.71981942000002</v>
      </c>
      <c r="C12" s="58">
        <f>+SUM('Data-cuentacorriente'!B12:E12)</f>
        <v>-39.018654129999959</v>
      </c>
      <c r="D12" s="58">
        <f t="shared" si="0"/>
        <v>487.70116529000006</v>
      </c>
    </row>
    <row r="13" spans="1:4">
      <c r="A13" s="81" t="s">
        <v>367</v>
      </c>
      <c r="B13" s="58">
        <f>+SUM('Data-cuentacorriente'!F13:I13)</f>
        <v>18037.114481000001</v>
      </c>
      <c r="C13" s="58">
        <f>+SUM('Data-cuentacorriente'!B13:E13)</f>
        <v>19586.684071</v>
      </c>
      <c r="D13" s="58">
        <f t="shared" si="0"/>
        <v>1549.5695899999992</v>
      </c>
    </row>
    <row r="14" spans="1:4">
      <c r="A14" s="81" t="s">
        <v>368</v>
      </c>
      <c r="B14" s="58">
        <f>+SUM('Data-cuentacorriente'!F14:I14)</f>
        <v>18563.834300299997</v>
      </c>
      <c r="C14" s="58">
        <f>+SUM('Data-cuentacorriente'!B14:E14)</f>
        <v>19625.7027251</v>
      </c>
      <c r="D14" s="58">
        <f t="shared" si="0"/>
        <v>1061.8684248000027</v>
      </c>
    </row>
    <row r="15" spans="1:4">
      <c r="A15" s="81" t="s">
        <v>370</v>
      </c>
      <c r="B15" s="58">
        <f>+SUM('Data-cuentacorriente'!F15:I15)</f>
        <v>-12837.020950999999</v>
      </c>
      <c r="C15" s="58">
        <f>+SUM('Data-cuentacorriente'!B15:E15)</f>
        <v>-12445.955264</v>
      </c>
      <c r="D15" s="58">
        <f t="shared" si="0"/>
        <v>391.06568699999843</v>
      </c>
    </row>
    <row r="16" spans="1:4">
      <c r="A16" s="81" t="s">
        <v>371</v>
      </c>
      <c r="B16" s="58">
        <f>+SUM('Data-cuentacorriente'!F16:I16)</f>
        <v>9484.3343200000018</v>
      </c>
      <c r="C16" s="58">
        <f>+SUM('Data-cuentacorriente'!B16:E16)</f>
        <v>9832.2051502000013</v>
      </c>
      <c r="D16" s="58">
        <f t="shared" si="0"/>
        <v>347.87083019999955</v>
      </c>
    </row>
    <row r="17" spans="1:4">
      <c r="A17" s="81" t="s">
        <v>372</v>
      </c>
      <c r="B17" s="58">
        <f>+SUM('Data-cuentacorriente'!F17:I17)</f>
        <v>22321.35527</v>
      </c>
      <c r="C17" s="58">
        <f>+SUM('Data-cuentacorriente'!B17:E17)</f>
        <v>22278.160413899997</v>
      </c>
      <c r="D17" s="58">
        <f t="shared" si="0"/>
        <v>-43.194856100002653</v>
      </c>
    </row>
    <row r="18" spans="1:4">
      <c r="A18" s="81" t="s">
        <v>373</v>
      </c>
      <c r="B18" s="58">
        <f>+SUM('Data-cuentacorriente'!F18:I18)</f>
        <v>15507.155017699999</v>
      </c>
      <c r="C18" s="58">
        <f>+SUM('Data-cuentacorriente'!B18:E18)</f>
        <v>16434.533934299998</v>
      </c>
      <c r="D18" s="58">
        <f t="shared" si="0"/>
        <v>927.37891659999877</v>
      </c>
    </row>
    <row r="19" spans="1:4">
      <c r="A19" s="81" t="s">
        <v>371</v>
      </c>
      <c r="B19" s="58">
        <f>+SUM('Data-cuentacorriente'!F19:I19)</f>
        <v>17125.912711699999</v>
      </c>
      <c r="C19" s="58">
        <f>+SUM('Data-cuentacorriente'!B19:E19)</f>
        <v>17994.549161200001</v>
      </c>
      <c r="D19" s="58">
        <f t="shared" si="0"/>
        <v>868.63644950000162</v>
      </c>
    </row>
    <row r="20" spans="1:4">
      <c r="A20" s="81" t="s">
        <v>372</v>
      </c>
      <c r="B20" s="58">
        <f>+SUM('Data-cuentacorriente'!F20:I20)</f>
        <v>1618.7576939800001</v>
      </c>
      <c r="C20" s="58">
        <f>+SUM('Data-cuentacorriente'!B20:E20)</f>
        <v>1560.01522694</v>
      </c>
      <c r="D20" s="58">
        <f t="shared" si="0"/>
        <v>-58.742467040000065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1E9B-2A99-714C-8BDF-FB65C3143AC0}">
  <dimension ref="A1:DA69"/>
  <sheetViews>
    <sheetView tabSelected="1" zoomScale="114" workbookViewId="0">
      <selection activeCell="D9" sqref="D9"/>
    </sheetView>
  </sheetViews>
  <sheetFormatPr baseColWidth="10" defaultRowHeight="15"/>
  <cols>
    <col min="1" max="1" width="103.33203125" bestFit="1" customWidth="1"/>
    <col min="3" max="3" width="14.5" bestFit="1" customWidth="1"/>
    <col min="4" max="4" width="19.1640625" bestFit="1" customWidth="1"/>
    <col min="5" max="5" width="18.83203125" bestFit="1" customWidth="1"/>
    <col min="6" max="6" width="20.1640625" bestFit="1" customWidth="1"/>
    <col min="7" max="7" width="22.5" bestFit="1" customWidth="1"/>
    <col min="8" max="8" width="22.1640625" bestFit="1" customWidth="1"/>
    <col min="9" max="9" width="18.1640625" bestFit="1" customWidth="1"/>
    <col min="10" max="10" width="26" bestFit="1" customWidth="1"/>
    <col min="11" max="11" width="25.6640625" bestFit="1" customWidth="1"/>
    <col min="12" max="12" width="19.83203125" bestFit="1" customWidth="1"/>
    <col min="13" max="13" width="26" bestFit="1" customWidth="1"/>
    <col min="14" max="14" width="25.6640625" bestFit="1" customWidth="1"/>
    <col min="15" max="15" width="28.83203125" bestFit="1" customWidth="1"/>
    <col min="16" max="16" width="13.6640625" bestFit="1" customWidth="1"/>
    <col min="18" max="18" width="35.6640625" bestFit="1" customWidth="1"/>
  </cols>
  <sheetData>
    <row r="1" spans="1:105">
      <c r="A1" s="49" t="s">
        <v>130</v>
      </c>
      <c r="B1" s="156">
        <v>45658</v>
      </c>
      <c r="C1" s="156"/>
      <c r="D1" s="156"/>
      <c r="E1" s="156"/>
      <c r="F1" s="156">
        <v>45292</v>
      </c>
      <c r="G1" s="156"/>
      <c r="H1" s="156"/>
      <c r="I1" s="156"/>
      <c r="J1" s="156">
        <v>44927</v>
      </c>
      <c r="K1" s="156"/>
      <c r="L1" s="156"/>
      <c r="M1" s="156"/>
      <c r="N1" s="156">
        <v>44562</v>
      </c>
      <c r="O1" s="156"/>
      <c r="P1" s="156"/>
      <c r="Q1" s="156"/>
      <c r="R1" s="156">
        <v>44197</v>
      </c>
      <c r="S1" s="156"/>
      <c r="T1" s="156"/>
      <c r="U1" s="156"/>
      <c r="V1" s="156">
        <v>43831</v>
      </c>
      <c r="W1" s="156"/>
      <c r="X1" s="156"/>
      <c r="Y1" s="156"/>
      <c r="Z1" s="156">
        <v>43466</v>
      </c>
      <c r="AA1" s="156"/>
      <c r="AB1" s="156"/>
      <c r="AC1" s="156"/>
      <c r="AD1" s="156">
        <v>43101</v>
      </c>
      <c r="AE1" s="156"/>
      <c r="AF1" s="156"/>
      <c r="AG1" s="156"/>
      <c r="AH1" s="156">
        <v>42736</v>
      </c>
      <c r="AI1" s="156"/>
      <c r="AJ1" s="156"/>
      <c r="AK1" s="156"/>
      <c r="AL1" s="156">
        <v>42370</v>
      </c>
      <c r="AM1" s="156"/>
      <c r="AN1" s="156"/>
      <c r="AO1" s="156"/>
      <c r="AP1" s="156">
        <v>42005</v>
      </c>
      <c r="AQ1" s="156"/>
      <c r="AR1" s="156"/>
      <c r="AS1" s="156"/>
      <c r="AT1" s="156">
        <v>41640</v>
      </c>
      <c r="AU1" s="156"/>
      <c r="AV1" s="156"/>
      <c r="AW1" s="156"/>
      <c r="AX1" s="156">
        <v>41275</v>
      </c>
      <c r="AY1" s="156"/>
      <c r="AZ1" s="156"/>
      <c r="BA1" s="156"/>
      <c r="BB1" s="156">
        <v>40909</v>
      </c>
      <c r="BC1" s="156"/>
      <c r="BD1" s="156"/>
      <c r="BE1" s="156"/>
      <c r="BF1" s="156">
        <v>40544</v>
      </c>
      <c r="BG1" s="156"/>
      <c r="BH1" s="156"/>
      <c r="BI1" s="156"/>
      <c r="BJ1" s="156">
        <v>40179</v>
      </c>
      <c r="BK1" s="156"/>
      <c r="BL1" s="156"/>
      <c r="BM1" s="156"/>
      <c r="BN1" s="156">
        <v>39814</v>
      </c>
      <c r="BO1" s="156"/>
      <c r="BP1" s="156"/>
      <c r="BQ1" s="156"/>
      <c r="BR1" s="156">
        <v>39448</v>
      </c>
      <c r="BS1" s="156"/>
      <c r="BT1" s="156"/>
      <c r="BU1" s="156"/>
      <c r="BV1" s="156">
        <v>39083</v>
      </c>
      <c r="BW1" s="156"/>
      <c r="BX1" s="156"/>
      <c r="BY1" s="156"/>
      <c r="BZ1" s="156">
        <v>38718</v>
      </c>
      <c r="CA1" s="156"/>
      <c r="CB1" s="156"/>
      <c r="CC1" s="156"/>
      <c r="CD1" s="156">
        <v>38353</v>
      </c>
      <c r="CE1" s="156"/>
      <c r="CF1" s="156"/>
      <c r="CG1" s="156"/>
      <c r="CH1" s="156">
        <v>37987</v>
      </c>
      <c r="CI1" s="156"/>
      <c r="CJ1" s="156"/>
      <c r="CK1" s="156"/>
      <c r="CL1" s="156">
        <v>37622</v>
      </c>
      <c r="CM1" s="156"/>
      <c r="CN1" s="156"/>
      <c r="CO1" s="156"/>
      <c r="CP1" s="156">
        <v>37257</v>
      </c>
      <c r="CQ1" s="156"/>
      <c r="CR1" s="156"/>
      <c r="CS1" s="156"/>
      <c r="CT1" s="156">
        <v>36892</v>
      </c>
      <c r="CU1" s="156"/>
      <c r="CV1" s="156"/>
      <c r="CW1" s="156"/>
      <c r="CX1" s="156">
        <v>36526</v>
      </c>
      <c r="CY1" s="156"/>
      <c r="CZ1" s="156"/>
      <c r="DA1" s="156"/>
    </row>
    <row r="2" spans="1:105">
      <c r="A2" s="55" t="s">
        <v>132</v>
      </c>
      <c r="B2" s="49" t="s">
        <v>405</v>
      </c>
      <c r="C2" s="49" t="s">
        <v>404</v>
      </c>
      <c r="D2" s="49" t="s">
        <v>403</v>
      </c>
      <c r="E2" s="49" t="s">
        <v>402</v>
      </c>
      <c r="F2" s="49" t="s">
        <v>405</v>
      </c>
      <c r="G2" s="49" t="s">
        <v>404</v>
      </c>
      <c r="H2" s="49" t="s">
        <v>403</v>
      </c>
      <c r="I2" s="49" t="s">
        <v>402</v>
      </c>
      <c r="J2" s="49" t="s">
        <v>405</v>
      </c>
      <c r="K2" s="49" t="s">
        <v>404</v>
      </c>
      <c r="L2" s="49" t="s">
        <v>403</v>
      </c>
      <c r="M2" s="49" t="s">
        <v>402</v>
      </c>
      <c r="N2" s="49" t="s">
        <v>405</v>
      </c>
      <c r="O2" s="49" t="s">
        <v>404</v>
      </c>
      <c r="P2" s="49" t="s">
        <v>403</v>
      </c>
      <c r="Q2" s="49" t="s">
        <v>402</v>
      </c>
      <c r="R2" s="49" t="s">
        <v>405</v>
      </c>
      <c r="S2" s="49" t="s">
        <v>404</v>
      </c>
      <c r="T2" s="49" t="s">
        <v>403</v>
      </c>
      <c r="U2" s="49" t="s">
        <v>402</v>
      </c>
      <c r="V2" s="49" t="s">
        <v>405</v>
      </c>
      <c r="W2" s="49" t="s">
        <v>404</v>
      </c>
      <c r="X2" s="49" t="s">
        <v>403</v>
      </c>
      <c r="Y2" s="49" t="s">
        <v>402</v>
      </c>
      <c r="Z2" s="49" t="s">
        <v>405</v>
      </c>
      <c r="AA2" s="49" t="s">
        <v>404</v>
      </c>
      <c r="AB2" s="49" t="s">
        <v>403</v>
      </c>
      <c r="AC2" s="49" t="s">
        <v>402</v>
      </c>
      <c r="AD2" s="49" t="s">
        <v>405</v>
      </c>
      <c r="AE2" s="49" t="s">
        <v>404</v>
      </c>
      <c r="AF2" s="49" t="s">
        <v>403</v>
      </c>
      <c r="AG2" s="49" t="s">
        <v>402</v>
      </c>
      <c r="AH2" s="49" t="s">
        <v>405</v>
      </c>
      <c r="AI2" s="49" t="s">
        <v>404</v>
      </c>
      <c r="AJ2" s="49" t="s">
        <v>403</v>
      </c>
      <c r="AK2" s="49" t="s">
        <v>402</v>
      </c>
      <c r="AL2" s="49" t="s">
        <v>405</v>
      </c>
      <c r="AM2" s="49" t="s">
        <v>404</v>
      </c>
      <c r="AN2" s="49" t="s">
        <v>403</v>
      </c>
      <c r="AO2" s="49" t="s">
        <v>402</v>
      </c>
      <c r="AP2" s="49" t="s">
        <v>405</v>
      </c>
      <c r="AQ2" s="49" t="s">
        <v>404</v>
      </c>
      <c r="AR2" s="49" t="s">
        <v>403</v>
      </c>
      <c r="AS2" s="49" t="s">
        <v>402</v>
      </c>
      <c r="AT2" s="49" t="s">
        <v>405</v>
      </c>
      <c r="AU2" s="49" t="s">
        <v>404</v>
      </c>
      <c r="AV2" s="49" t="s">
        <v>403</v>
      </c>
      <c r="AW2" s="49" t="s">
        <v>402</v>
      </c>
      <c r="AX2" s="49" t="s">
        <v>405</v>
      </c>
      <c r="AY2" s="49" t="s">
        <v>404</v>
      </c>
      <c r="AZ2" s="49" t="s">
        <v>403</v>
      </c>
      <c r="BA2" s="49" t="s">
        <v>402</v>
      </c>
      <c r="BB2" s="49" t="s">
        <v>405</v>
      </c>
      <c r="BC2" s="49" t="s">
        <v>404</v>
      </c>
      <c r="BD2" s="49" t="s">
        <v>403</v>
      </c>
      <c r="BE2" s="49" t="s">
        <v>402</v>
      </c>
      <c r="BF2" s="49" t="s">
        <v>405</v>
      </c>
      <c r="BG2" s="49" t="s">
        <v>404</v>
      </c>
      <c r="BH2" s="49" t="s">
        <v>403</v>
      </c>
      <c r="BI2" s="49" t="s">
        <v>402</v>
      </c>
      <c r="BJ2" s="49" t="s">
        <v>405</v>
      </c>
      <c r="BK2" s="49" t="s">
        <v>404</v>
      </c>
      <c r="BL2" s="49" t="s">
        <v>403</v>
      </c>
      <c r="BM2" s="49" t="s">
        <v>402</v>
      </c>
      <c r="BN2" s="49" t="s">
        <v>405</v>
      </c>
      <c r="BO2" s="49" t="s">
        <v>404</v>
      </c>
      <c r="BP2" s="49" t="s">
        <v>403</v>
      </c>
      <c r="BQ2" s="49" t="s">
        <v>402</v>
      </c>
      <c r="BR2" s="49" t="s">
        <v>405</v>
      </c>
      <c r="BS2" s="49" t="s">
        <v>404</v>
      </c>
      <c r="BT2" s="49" t="s">
        <v>403</v>
      </c>
      <c r="BU2" s="49" t="s">
        <v>402</v>
      </c>
      <c r="BV2" s="49" t="s">
        <v>405</v>
      </c>
      <c r="BW2" s="49" t="s">
        <v>404</v>
      </c>
      <c r="BX2" s="49" t="s">
        <v>403</v>
      </c>
      <c r="BY2" s="49" t="s">
        <v>402</v>
      </c>
      <c r="BZ2" s="49" t="s">
        <v>405</v>
      </c>
      <c r="CA2" s="49" t="s">
        <v>404</v>
      </c>
      <c r="CB2" s="49" t="s">
        <v>403</v>
      </c>
      <c r="CC2" s="49" t="s">
        <v>402</v>
      </c>
      <c r="CD2" s="49" t="s">
        <v>405</v>
      </c>
      <c r="CE2" s="49" t="s">
        <v>404</v>
      </c>
      <c r="CF2" s="49" t="s">
        <v>403</v>
      </c>
      <c r="CG2" s="49" t="s">
        <v>402</v>
      </c>
      <c r="CH2" s="49" t="s">
        <v>405</v>
      </c>
      <c r="CI2" s="49" t="s">
        <v>404</v>
      </c>
      <c r="CJ2" s="49" t="s">
        <v>403</v>
      </c>
      <c r="CK2" s="49" t="s">
        <v>402</v>
      </c>
      <c r="CL2" s="49" t="s">
        <v>405</v>
      </c>
      <c r="CM2" s="49" t="s">
        <v>404</v>
      </c>
      <c r="CN2" s="49" t="s">
        <v>403</v>
      </c>
      <c r="CO2" s="49" t="s">
        <v>402</v>
      </c>
      <c r="CP2" s="49" t="s">
        <v>405</v>
      </c>
      <c r="CQ2" s="49" t="s">
        <v>404</v>
      </c>
      <c r="CR2" s="49" t="s">
        <v>403</v>
      </c>
      <c r="CS2" s="49" t="s">
        <v>402</v>
      </c>
      <c r="CT2" s="49" t="s">
        <v>405</v>
      </c>
      <c r="CU2" s="49" t="s">
        <v>404</v>
      </c>
      <c r="CV2" s="49" t="s">
        <v>403</v>
      </c>
      <c r="CW2" s="49" t="s">
        <v>402</v>
      </c>
      <c r="CX2" s="49" t="s">
        <v>405</v>
      </c>
      <c r="CY2" s="49" t="s">
        <v>404</v>
      </c>
      <c r="CZ2" s="49" t="s">
        <v>403</v>
      </c>
      <c r="DA2" s="49" t="s">
        <v>402</v>
      </c>
    </row>
    <row r="3" spans="1:105">
      <c r="A3" s="57" t="s">
        <v>409</v>
      </c>
      <c r="B3" s="58">
        <v>-1695.944677</v>
      </c>
      <c r="C3" s="58">
        <v>-2457.546409</v>
      </c>
      <c r="D3" s="58">
        <v>-2817.2324600000002</v>
      </c>
      <c r="E3" s="58">
        <v>-3912.1702519999999</v>
      </c>
      <c r="F3" s="58">
        <v>-1602.2569550000001</v>
      </c>
      <c r="G3" s="58">
        <v>-1427.733549</v>
      </c>
      <c r="H3" s="58">
        <v>-1649.5970600000001</v>
      </c>
      <c r="I3" s="58">
        <v>-2332.7680420000002</v>
      </c>
      <c r="J3" s="58">
        <v>-2809.6532579999998</v>
      </c>
      <c r="K3" s="58">
        <v>-2083.4962850000002</v>
      </c>
      <c r="L3" s="58">
        <v>-1546.9226470000001</v>
      </c>
      <c r="M3" s="58">
        <v>-1879.8756840000001</v>
      </c>
      <c r="N3" s="58">
        <v>-5397.8760430000002</v>
      </c>
      <c r="O3" s="58">
        <v>-4748.0374089999996</v>
      </c>
      <c r="P3" s="58">
        <v>-6107.228709</v>
      </c>
      <c r="Q3" s="58">
        <v>-4624.9337130000004</v>
      </c>
      <c r="R3" s="58">
        <v>-3105.0933100000002</v>
      </c>
      <c r="S3" s="58">
        <v>-4047.2334420000002</v>
      </c>
      <c r="T3" s="58">
        <v>-4834.8345140000001</v>
      </c>
      <c r="U3" s="58">
        <v>-5962.2416800000001</v>
      </c>
      <c r="V3" s="58">
        <v>-2295.19974</v>
      </c>
      <c r="W3" s="58">
        <v>-1962.0712659999999</v>
      </c>
      <c r="X3" s="58">
        <v>-2012.545351</v>
      </c>
      <c r="Y3" s="58">
        <v>-2996.9971300000002</v>
      </c>
      <c r="Z3" s="58">
        <v>-3820.3551430000002</v>
      </c>
      <c r="AA3" s="58">
        <v>-3218.9233009999998</v>
      </c>
      <c r="AB3" s="58">
        <v>-4302.645383</v>
      </c>
      <c r="AC3" s="58">
        <v>-3466.7441370000001</v>
      </c>
      <c r="AD3" s="58">
        <v>-3022.5520339999998</v>
      </c>
      <c r="AE3" s="58">
        <v>-3470.9300680000001</v>
      </c>
      <c r="AF3" s="58">
        <v>-3406.018548</v>
      </c>
      <c r="AG3" s="58">
        <v>-4141.4601119999998</v>
      </c>
      <c r="AH3" s="58">
        <v>-3489.5217779999998</v>
      </c>
      <c r="AI3" s="58">
        <v>-2425.5564479999998</v>
      </c>
      <c r="AJ3" s="58">
        <v>-2560.6482810000002</v>
      </c>
      <c r="AK3" s="58">
        <v>-1448.6390100000001</v>
      </c>
      <c r="AL3" s="58">
        <v>-3524.7903590000001</v>
      </c>
      <c r="AM3" s="58">
        <v>-2794.4167910000001</v>
      </c>
      <c r="AN3" s="58">
        <v>-3601.1421479999999</v>
      </c>
      <c r="AO3" s="58">
        <v>-2666.2122770000001</v>
      </c>
      <c r="AP3" s="58">
        <v>-5291.9290149999997</v>
      </c>
      <c r="AQ3" s="58">
        <v>-4426.374178</v>
      </c>
      <c r="AR3" s="58">
        <v>-5055.7732820000001</v>
      </c>
      <c r="AS3" s="58">
        <v>-3928.1531839999998</v>
      </c>
      <c r="AT3" s="58">
        <v>-4124.711526</v>
      </c>
      <c r="AU3" s="58">
        <v>-4189.2845159999997</v>
      </c>
      <c r="AV3" s="58">
        <v>-5033.4058919999998</v>
      </c>
      <c r="AW3" s="58">
        <v>-6471.1436990000002</v>
      </c>
      <c r="AX3" s="58">
        <v>-3439.15823</v>
      </c>
      <c r="AY3" s="58">
        <v>-2205.9443449999999</v>
      </c>
      <c r="AZ3" s="58">
        <v>-3596.219454</v>
      </c>
      <c r="BA3" s="58">
        <v>-3123.8077199999998</v>
      </c>
      <c r="BB3" s="58">
        <v>-1838.261659</v>
      </c>
      <c r="BC3" s="58">
        <v>-3235.4589850000002</v>
      </c>
      <c r="BD3" s="58">
        <v>-3596.2425389999999</v>
      </c>
      <c r="BE3" s="58">
        <v>-2970.0358679999999</v>
      </c>
      <c r="BF3" s="58">
        <v>-2002.9657830000001</v>
      </c>
      <c r="BG3" s="58">
        <v>-1726.111058</v>
      </c>
      <c r="BH3" s="58">
        <v>-3030.8470900000002</v>
      </c>
      <c r="BI3" s="58">
        <v>-2974.577863</v>
      </c>
      <c r="BJ3" s="58">
        <v>-1260.8207600000001</v>
      </c>
      <c r="BK3" s="58">
        <v>-1405.755574</v>
      </c>
      <c r="BL3" s="58">
        <v>-3210.3496420000001</v>
      </c>
      <c r="BM3" s="58">
        <v>-2706.0882219999999</v>
      </c>
      <c r="BN3" s="58">
        <v>-932.17903430000001</v>
      </c>
      <c r="BO3" s="58">
        <v>-760.92073779999998</v>
      </c>
      <c r="BP3" s="58">
        <v>-1296.2697639999999</v>
      </c>
      <c r="BQ3" s="58">
        <v>-1443.64139</v>
      </c>
      <c r="BR3" s="58">
        <v>-1312.2933840000001</v>
      </c>
      <c r="BS3" s="58">
        <v>-1157.3507649999999</v>
      </c>
      <c r="BT3" s="58">
        <v>-1661.079657</v>
      </c>
      <c r="BU3" s="58">
        <v>-2366.5619360000001</v>
      </c>
      <c r="BV3" s="58">
        <v>-2091.335051</v>
      </c>
      <c r="BW3" s="58">
        <v>-1453.64285</v>
      </c>
      <c r="BX3" s="58">
        <v>-1462.8601630000001</v>
      </c>
      <c r="BY3" s="58">
        <v>-1141.8009239999999</v>
      </c>
      <c r="BZ3" s="58">
        <v>-669.34636090000004</v>
      </c>
      <c r="CA3" s="58">
        <v>-707.38684269999999</v>
      </c>
      <c r="CB3" s="58">
        <v>-775.02325269999994</v>
      </c>
      <c r="CC3" s="58">
        <v>-839.28006730000004</v>
      </c>
      <c r="CD3" s="58">
        <v>-551.51214800000002</v>
      </c>
      <c r="CE3" s="58">
        <v>-285.26848840000002</v>
      </c>
      <c r="CF3" s="58">
        <v>-877.34265370000003</v>
      </c>
      <c r="CG3" s="58">
        <v>-233.63947809999999</v>
      </c>
      <c r="CH3" s="58">
        <v>-591.14507849999995</v>
      </c>
      <c r="CI3" s="58">
        <v>-210.2244537</v>
      </c>
      <c r="CJ3" s="58">
        <v>119.29379591999999</v>
      </c>
      <c r="CK3" s="58">
        <v>-92.480214610000004</v>
      </c>
      <c r="CL3" s="58">
        <v>-605.42178530000001</v>
      </c>
      <c r="CM3" s="58">
        <v>-70.257993949999999</v>
      </c>
      <c r="CN3" s="58">
        <v>59.359248274000002</v>
      </c>
      <c r="CO3" s="58">
        <v>-295.68385339999998</v>
      </c>
      <c r="CP3" s="58">
        <v>-235.597903</v>
      </c>
      <c r="CQ3" s="58">
        <v>-348.8176201</v>
      </c>
      <c r="CR3" s="58">
        <v>-305.35207070000001</v>
      </c>
      <c r="CS3" s="58">
        <v>-399.4350761</v>
      </c>
      <c r="CT3" s="58">
        <v>-477.53886390000002</v>
      </c>
      <c r="CU3" s="58">
        <v>-290.92019720000002</v>
      </c>
      <c r="CV3" s="58">
        <v>-22.782888209999999</v>
      </c>
      <c r="CW3" s="58">
        <v>-249.08597130000001</v>
      </c>
      <c r="CX3" s="58">
        <v>91.158597186999998</v>
      </c>
      <c r="CY3" s="58">
        <v>77.494127473000006</v>
      </c>
      <c r="CZ3" s="58">
        <v>363.39414800999998</v>
      </c>
      <c r="DA3" s="58">
        <v>313.35721038000003</v>
      </c>
    </row>
    <row r="4" spans="1:105">
      <c r="A4" s="57" t="s">
        <v>410</v>
      </c>
      <c r="B4" s="58">
        <v>23634.678212999999</v>
      </c>
      <c r="C4" s="58">
        <v>24298.220084</v>
      </c>
      <c r="D4" s="58">
        <v>25781.222181000001</v>
      </c>
      <c r="E4" s="58">
        <v>25195.648254</v>
      </c>
      <c r="F4" s="58">
        <v>22209.980028999998</v>
      </c>
      <c r="G4" s="58">
        <v>24060.261106000002</v>
      </c>
      <c r="H4" s="58">
        <v>24678.991484999999</v>
      </c>
      <c r="I4" s="58">
        <v>24788.815306</v>
      </c>
      <c r="J4" s="58">
        <v>22738.906919000001</v>
      </c>
      <c r="K4" s="58">
        <v>22360.822465000001</v>
      </c>
      <c r="L4" s="58">
        <v>23299.56393</v>
      </c>
      <c r="M4" s="58">
        <v>23636.992880000002</v>
      </c>
      <c r="N4" s="58">
        <v>21737.676283000001</v>
      </c>
      <c r="O4" s="58">
        <v>24606.465308999999</v>
      </c>
      <c r="P4" s="58">
        <v>24624.647473000001</v>
      </c>
      <c r="Q4" s="58">
        <v>23169.571805</v>
      </c>
      <c r="R4" s="58">
        <v>14935.782352</v>
      </c>
      <c r="S4" s="58">
        <v>15809.202912000001</v>
      </c>
      <c r="T4" s="58">
        <v>17606.131788999999</v>
      </c>
      <c r="U4" s="58">
        <v>20431.447553000002</v>
      </c>
      <c r="V4" s="58">
        <v>15112.769243000001</v>
      </c>
      <c r="W4" s="58">
        <v>10693.135835999999</v>
      </c>
      <c r="X4" s="58">
        <v>12665.914220000001</v>
      </c>
      <c r="Y4" s="58">
        <v>13948.380687999999</v>
      </c>
      <c r="Z4" s="58">
        <v>16551.396410000001</v>
      </c>
      <c r="AA4" s="58">
        <v>17745.923948</v>
      </c>
      <c r="AB4" s="58">
        <v>16914.940906</v>
      </c>
      <c r="AC4" s="58">
        <v>17106.077524</v>
      </c>
      <c r="AD4" s="58">
        <v>16147.118063</v>
      </c>
      <c r="AE4" s="58">
        <v>17297.564612999999</v>
      </c>
      <c r="AF4" s="58">
        <v>17452.206449000001</v>
      </c>
      <c r="AG4" s="58">
        <v>17902.842930999999</v>
      </c>
      <c r="AH4" s="58">
        <v>14430.257844</v>
      </c>
      <c r="AI4" s="58">
        <v>15130.540204000001</v>
      </c>
      <c r="AJ4" s="58">
        <v>15881.981395999999</v>
      </c>
      <c r="AK4" s="58">
        <v>17212.286747999999</v>
      </c>
      <c r="AL4" s="58">
        <v>12091.107634</v>
      </c>
      <c r="AM4" s="58">
        <v>13653.903585</v>
      </c>
      <c r="AN4" s="58">
        <v>13955.596427</v>
      </c>
      <c r="AO4" s="58">
        <v>15047.000064</v>
      </c>
      <c r="AP4" s="58">
        <v>14771.142646</v>
      </c>
      <c r="AQ4" s="58">
        <v>15013.673768000001</v>
      </c>
      <c r="AR4" s="58">
        <v>14629.648407000001</v>
      </c>
      <c r="AS4" s="58">
        <v>13752.011748999999</v>
      </c>
      <c r="AT4" s="58">
        <v>18284.706425</v>
      </c>
      <c r="AU4" s="58">
        <v>19411.251861000001</v>
      </c>
      <c r="AV4" s="58">
        <v>20312.840416999999</v>
      </c>
      <c r="AW4" s="58">
        <v>17601.184514</v>
      </c>
      <c r="AX4" s="58">
        <v>18593.389018999998</v>
      </c>
      <c r="AY4" s="58">
        <v>20005.058329</v>
      </c>
      <c r="AZ4" s="58">
        <v>19459.002145999999</v>
      </c>
      <c r="BA4" s="58">
        <v>20362.977083000002</v>
      </c>
      <c r="BB4" s="58">
        <v>19933.101693000001</v>
      </c>
      <c r="BC4" s="58">
        <v>19532.205554</v>
      </c>
      <c r="BD4" s="58">
        <v>19247.416251999999</v>
      </c>
      <c r="BE4" s="58">
        <v>20244.248514999999</v>
      </c>
      <c r="BF4" s="58">
        <v>16340.441097000001</v>
      </c>
      <c r="BG4" s="58">
        <v>18724.785081999999</v>
      </c>
      <c r="BH4" s="58">
        <v>18855.853708999999</v>
      </c>
      <c r="BI4" s="58">
        <v>19896.237046999999</v>
      </c>
      <c r="BJ4" s="58">
        <v>12503.681026</v>
      </c>
      <c r="BK4" s="58">
        <v>13436.284173</v>
      </c>
      <c r="BL4" s="58">
        <v>13467.744479999999</v>
      </c>
      <c r="BM4" s="58">
        <v>14913.780898999999</v>
      </c>
      <c r="BN4" s="58">
        <v>10904.005771</v>
      </c>
      <c r="BO4" s="58">
        <v>11103.071352999999</v>
      </c>
      <c r="BP4" s="58">
        <v>11658.781257000001</v>
      </c>
      <c r="BQ4" s="58">
        <v>12662.812859</v>
      </c>
      <c r="BR4" s="58">
        <v>12052.553877</v>
      </c>
      <c r="BS4" s="58">
        <v>13893.585845</v>
      </c>
      <c r="BT4" s="58">
        <v>13803.160637999999</v>
      </c>
      <c r="BU4" s="58">
        <v>11885.444533</v>
      </c>
      <c r="BV4" s="58">
        <v>9021.8260399999999</v>
      </c>
      <c r="BW4" s="58">
        <v>10233.605115</v>
      </c>
      <c r="BX4" s="58">
        <v>10902.946171</v>
      </c>
      <c r="BY4" s="58">
        <v>12395.153605</v>
      </c>
      <c r="BZ4" s="58">
        <v>7937.8261021999997</v>
      </c>
      <c r="CA4" s="58">
        <v>8723.2109385000003</v>
      </c>
      <c r="CB4" s="58">
        <v>9127.7344861000001</v>
      </c>
      <c r="CC4" s="58">
        <v>9593.4661429000007</v>
      </c>
      <c r="CD4" s="58">
        <v>6538.6042668999999</v>
      </c>
      <c r="CE4" s="58">
        <v>7718.9948614000004</v>
      </c>
      <c r="CF4" s="58">
        <v>7701.0797493</v>
      </c>
      <c r="CG4" s="58">
        <v>8058.0379972999999</v>
      </c>
      <c r="CH4" s="58">
        <v>5076.7693901000002</v>
      </c>
      <c r="CI4" s="58">
        <v>5821.8559433</v>
      </c>
      <c r="CJ4" s="58">
        <v>6489.9707299000002</v>
      </c>
      <c r="CK4" s="58">
        <v>6946.9392415000002</v>
      </c>
      <c r="CL4" s="58">
        <v>4425.5549408999996</v>
      </c>
      <c r="CM4" s="58">
        <v>4847.8934380000001</v>
      </c>
      <c r="CN4" s="58">
        <v>5443.4326412</v>
      </c>
      <c r="CO4" s="58">
        <v>5137.5324927000001</v>
      </c>
      <c r="CP4" s="58">
        <v>4141.3311058999998</v>
      </c>
      <c r="CQ4" s="58">
        <v>4603.8966641999996</v>
      </c>
      <c r="CR4" s="58">
        <v>4558.2072003000003</v>
      </c>
      <c r="CS4" s="58">
        <v>4616.9043445999996</v>
      </c>
      <c r="CT4" s="58">
        <v>4408.0250861000004</v>
      </c>
      <c r="CU4" s="58">
        <v>4776.6622404</v>
      </c>
      <c r="CV4" s="58">
        <v>4833.4235240999997</v>
      </c>
      <c r="CW4" s="58">
        <v>4600.4485951999995</v>
      </c>
      <c r="CX4" s="58">
        <v>4469.6180658000003</v>
      </c>
      <c r="CY4" s="58">
        <v>4513.4974490000004</v>
      </c>
      <c r="CZ4" s="58">
        <v>4869.7363157</v>
      </c>
      <c r="DA4" s="58">
        <v>4894.8995293999997</v>
      </c>
    </row>
    <row r="5" spans="1:105">
      <c r="A5" s="57" t="s">
        <v>411</v>
      </c>
      <c r="B5" s="58">
        <v>25330.622889999999</v>
      </c>
      <c r="C5" s="58">
        <v>26755.766492999999</v>
      </c>
      <c r="D5" s="58">
        <v>28598.454641</v>
      </c>
      <c r="E5" s="58">
        <v>29107.818506</v>
      </c>
      <c r="F5" s="58">
        <v>23812.236983999999</v>
      </c>
      <c r="G5" s="58">
        <v>25487.994654999999</v>
      </c>
      <c r="H5" s="58">
        <v>26328.588543999998</v>
      </c>
      <c r="I5" s="58">
        <v>27121.583347</v>
      </c>
      <c r="J5" s="58">
        <v>25548.560176999999</v>
      </c>
      <c r="K5" s="58">
        <v>24444.318748999998</v>
      </c>
      <c r="L5" s="58">
        <v>24846.486577</v>
      </c>
      <c r="M5" s="58">
        <v>25516.868564</v>
      </c>
      <c r="N5" s="58">
        <v>27135.552326000001</v>
      </c>
      <c r="O5" s="58">
        <v>29354.502718</v>
      </c>
      <c r="P5" s="58">
        <v>30731.876181</v>
      </c>
      <c r="Q5" s="58">
        <v>27794.505517000001</v>
      </c>
      <c r="R5" s="58">
        <v>18040.875661999999</v>
      </c>
      <c r="S5" s="58">
        <v>19856.436354000001</v>
      </c>
      <c r="T5" s="58">
        <v>22440.966303000001</v>
      </c>
      <c r="U5" s="58">
        <v>26393.689233000001</v>
      </c>
      <c r="V5" s="58">
        <v>17407.968982999999</v>
      </c>
      <c r="W5" s="58">
        <v>12655.207101</v>
      </c>
      <c r="X5" s="58">
        <v>14678.459570999999</v>
      </c>
      <c r="Y5" s="58">
        <v>16945.377818000001</v>
      </c>
      <c r="Z5" s="58">
        <v>20371.751552999998</v>
      </c>
      <c r="AA5" s="58">
        <v>20964.847247999998</v>
      </c>
      <c r="AB5" s="58">
        <v>21217.586288999999</v>
      </c>
      <c r="AC5" s="58">
        <v>20572.821661000002</v>
      </c>
      <c r="AD5" s="58">
        <v>19169.670096999998</v>
      </c>
      <c r="AE5" s="58">
        <v>20768.494681</v>
      </c>
      <c r="AF5" s="58">
        <v>20858.224997000001</v>
      </c>
      <c r="AG5" s="58">
        <v>22044.303042</v>
      </c>
      <c r="AH5" s="58">
        <v>17919.779621999998</v>
      </c>
      <c r="AI5" s="58">
        <v>17556.096653000001</v>
      </c>
      <c r="AJ5" s="58">
        <v>18442.629676</v>
      </c>
      <c r="AK5" s="58">
        <v>18660.925758000001</v>
      </c>
      <c r="AL5" s="58">
        <v>15615.897992</v>
      </c>
      <c r="AM5" s="58">
        <v>16448.320376</v>
      </c>
      <c r="AN5" s="58">
        <v>17556.738574999999</v>
      </c>
      <c r="AO5" s="58">
        <v>17713.212339999998</v>
      </c>
      <c r="AP5" s="58">
        <v>20063.071661000002</v>
      </c>
      <c r="AQ5" s="58">
        <v>19440.047946999999</v>
      </c>
      <c r="AR5" s="58">
        <v>19685.421688999999</v>
      </c>
      <c r="AS5" s="58">
        <v>17680.164933</v>
      </c>
      <c r="AT5" s="58">
        <v>22409.417950999999</v>
      </c>
      <c r="AU5" s="58">
        <v>23600.536376</v>
      </c>
      <c r="AV5" s="58">
        <v>25346.246308999998</v>
      </c>
      <c r="AW5" s="58">
        <v>24072.328213000001</v>
      </c>
      <c r="AX5" s="58">
        <v>22032.547248999999</v>
      </c>
      <c r="AY5" s="58">
        <v>22211.002672999999</v>
      </c>
      <c r="AZ5" s="58">
        <v>23055.221600000001</v>
      </c>
      <c r="BA5" s="58">
        <v>23486.784803999999</v>
      </c>
      <c r="BB5" s="58">
        <v>21771.363351</v>
      </c>
      <c r="BC5" s="58">
        <v>22767.664539000001</v>
      </c>
      <c r="BD5" s="58">
        <v>22843.658791000002</v>
      </c>
      <c r="BE5" s="58">
        <v>23214.284382999998</v>
      </c>
      <c r="BF5" s="58">
        <v>18343.406879999999</v>
      </c>
      <c r="BG5" s="58">
        <v>20450.896140000001</v>
      </c>
      <c r="BH5" s="58">
        <v>21886.700798999998</v>
      </c>
      <c r="BI5" s="58">
        <v>22870.814909000001</v>
      </c>
      <c r="BJ5" s="58">
        <v>13764.501786999999</v>
      </c>
      <c r="BK5" s="58">
        <v>14842.039747000001</v>
      </c>
      <c r="BL5" s="58">
        <v>16678.094121999999</v>
      </c>
      <c r="BM5" s="58">
        <v>17619.869121</v>
      </c>
      <c r="BN5" s="58">
        <v>11836.184805000001</v>
      </c>
      <c r="BO5" s="58">
        <v>11863.992091</v>
      </c>
      <c r="BP5" s="58">
        <v>12955.051020999999</v>
      </c>
      <c r="BQ5" s="58">
        <v>14106.454249</v>
      </c>
      <c r="BR5" s="58">
        <v>13364.847261000001</v>
      </c>
      <c r="BS5" s="58">
        <v>15050.936610000001</v>
      </c>
      <c r="BT5" s="58">
        <v>15464.240295</v>
      </c>
      <c r="BU5" s="58">
        <v>14252.006469</v>
      </c>
      <c r="BV5" s="58">
        <v>11113.161091</v>
      </c>
      <c r="BW5" s="58">
        <v>11687.247965</v>
      </c>
      <c r="BX5" s="58">
        <v>12365.806334000001</v>
      </c>
      <c r="BY5" s="58">
        <v>13536.954529000001</v>
      </c>
      <c r="BZ5" s="58">
        <v>8607.1724630999997</v>
      </c>
      <c r="CA5" s="58">
        <v>9430.5977812000001</v>
      </c>
      <c r="CB5" s="58">
        <v>9902.7577388000009</v>
      </c>
      <c r="CC5" s="58">
        <v>10432.746209999999</v>
      </c>
      <c r="CD5" s="58">
        <v>7090.1164150000004</v>
      </c>
      <c r="CE5" s="58">
        <v>8004.2633497999996</v>
      </c>
      <c r="CF5" s="58">
        <v>8578.4224030000005</v>
      </c>
      <c r="CG5" s="58">
        <v>8291.6774753999998</v>
      </c>
      <c r="CH5" s="58">
        <v>5667.9144686</v>
      </c>
      <c r="CI5" s="58">
        <v>6032.0803970999996</v>
      </c>
      <c r="CJ5" s="58">
        <v>6370.6769339000002</v>
      </c>
      <c r="CK5" s="58">
        <v>7039.4194562000002</v>
      </c>
      <c r="CL5" s="58">
        <v>5030.9767261999996</v>
      </c>
      <c r="CM5" s="58">
        <v>4918.1514318999998</v>
      </c>
      <c r="CN5" s="58">
        <v>5384.0733928999998</v>
      </c>
      <c r="CO5" s="58">
        <v>5433.2163460000002</v>
      </c>
      <c r="CP5" s="58">
        <v>4376.9290088999996</v>
      </c>
      <c r="CQ5" s="58">
        <v>4952.7142842000003</v>
      </c>
      <c r="CR5" s="58">
        <v>4863.5592710000001</v>
      </c>
      <c r="CS5" s="58">
        <v>5016.3394207000001</v>
      </c>
      <c r="CT5" s="58">
        <v>4885.5639499999997</v>
      </c>
      <c r="CU5" s="58">
        <v>5067.5824376</v>
      </c>
      <c r="CV5" s="58">
        <v>4856.2064123</v>
      </c>
      <c r="CW5" s="58">
        <v>4849.5345665000004</v>
      </c>
      <c r="CX5" s="58">
        <v>4378.4594686</v>
      </c>
      <c r="CY5" s="58">
        <v>4436.0033215000003</v>
      </c>
      <c r="CZ5" s="58">
        <v>4506.3421676999997</v>
      </c>
      <c r="DA5" s="58">
        <v>4581.5423190000001</v>
      </c>
    </row>
    <row r="6" spans="1:105">
      <c r="A6" s="57" t="s">
        <v>412</v>
      </c>
      <c r="B6" s="58">
        <v>-2549.3058230000001</v>
      </c>
      <c r="C6" s="58">
        <v>-3828.2416969999999</v>
      </c>
      <c r="D6" s="58">
        <v>-4037.0215899999998</v>
      </c>
      <c r="E6" s="58">
        <v>-4456.9033589999999</v>
      </c>
      <c r="F6" s="58">
        <v>-1781.331694</v>
      </c>
      <c r="G6" s="58">
        <v>-2359.5336950000001</v>
      </c>
      <c r="H6" s="58">
        <v>-2380.1737760000001</v>
      </c>
      <c r="I6" s="58">
        <v>-3161.4505079999999</v>
      </c>
      <c r="J6" s="58">
        <v>-2176.9698309999999</v>
      </c>
      <c r="K6" s="58">
        <v>-2056.5831090000001</v>
      </c>
      <c r="L6" s="58">
        <v>-1403.99405</v>
      </c>
      <c r="M6" s="58">
        <v>-2165.6566630000002</v>
      </c>
      <c r="N6" s="58">
        <v>-4957.5295619999997</v>
      </c>
      <c r="O6" s="58">
        <v>-3046.188013</v>
      </c>
      <c r="P6" s="58">
        <v>-4416.150361</v>
      </c>
      <c r="Q6" s="58">
        <v>-3673.3439229999999</v>
      </c>
      <c r="R6" s="58">
        <v>-3688.0689400000001</v>
      </c>
      <c r="S6" s="58">
        <v>-5021.7105959999999</v>
      </c>
      <c r="T6" s="58">
        <v>-5258.6634240000003</v>
      </c>
      <c r="U6" s="58">
        <v>-6032.2362000000003</v>
      </c>
      <c r="V6" s="58">
        <v>-3098.351514</v>
      </c>
      <c r="W6" s="58">
        <v>-2651.0096979999998</v>
      </c>
      <c r="X6" s="58">
        <v>-3263.0393709999998</v>
      </c>
      <c r="Y6" s="58">
        <v>-4092.3505719999998</v>
      </c>
      <c r="Z6" s="58">
        <v>-3137.5066409999999</v>
      </c>
      <c r="AA6" s="58">
        <v>-2997.8017770000001</v>
      </c>
      <c r="AB6" s="58">
        <v>-4406.0387579999997</v>
      </c>
      <c r="AC6" s="58">
        <v>-3606.8152679999998</v>
      </c>
      <c r="AD6" s="58">
        <v>-1839.605863</v>
      </c>
      <c r="AE6" s="58">
        <v>-2557.2826209999998</v>
      </c>
      <c r="AF6" s="58">
        <v>-2671.9347830000002</v>
      </c>
      <c r="AG6" s="58">
        <v>-3487.3687180000002</v>
      </c>
      <c r="AH6" s="58">
        <v>-2729.6633339999998</v>
      </c>
      <c r="AI6" s="58">
        <v>-2551.3934380000001</v>
      </c>
      <c r="AJ6" s="58">
        <v>-2325.998505</v>
      </c>
      <c r="AK6" s="58">
        <v>-1154.453651</v>
      </c>
      <c r="AL6" s="58">
        <v>-3970.8738619999999</v>
      </c>
      <c r="AM6" s="58">
        <v>-2935.2173419999999</v>
      </c>
      <c r="AN6" s="58">
        <v>-3559.9910239999999</v>
      </c>
      <c r="AO6" s="58">
        <v>-2985.0470810000002</v>
      </c>
      <c r="AP6" s="58">
        <v>-4869.0480530000004</v>
      </c>
      <c r="AQ6" s="58">
        <v>-3785.0907609999999</v>
      </c>
      <c r="AR6" s="58">
        <v>-5391.7518239999999</v>
      </c>
      <c r="AS6" s="58">
        <v>-4958.490871</v>
      </c>
      <c r="AT6" s="58">
        <v>-1965.198639</v>
      </c>
      <c r="AU6" s="58">
        <v>-2062.7262519999999</v>
      </c>
      <c r="AV6" s="58">
        <v>-2728.691237</v>
      </c>
      <c r="AW6" s="58">
        <v>-5575.660347</v>
      </c>
      <c r="AX6" s="58">
        <v>-827.68699630000003</v>
      </c>
      <c r="AY6" s="58">
        <v>-81.884191450000003</v>
      </c>
      <c r="AZ6" s="58">
        <v>-1464.4866</v>
      </c>
      <c r="BA6" s="58">
        <v>-876.44006950000005</v>
      </c>
      <c r="BB6" s="58">
        <v>905.07306545999995</v>
      </c>
      <c r="BC6" s="58">
        <v>-820.24555399999997</v>
      </c>
      <c r="BD6" s="58">
        <v>-1341.260509</v>
      </c>
      <c r="BE6" s="58">
        <v>-208.55937159999999</v>
      </c>
      <c r="BF6" s="58">
        <v>6.5864745464999999</v>
      </c>
      <c r="BG6" s="58">
        <v>619.54749992999996</v>
      </c>
      <c r="BH6" s="58">
        <v>-350.80198280000002</v>
      </c>
      <c r="BI6" s="58">
        <v>252.24137847</v>
      </c>
      <c r="BJ6" s="58">
        <v>257.96519275000003</v>
      </c>
      <c r="BK6" s="58">
        <v>224.97493327000001</v>
      </c>
      <c r="BL6" s="58">
        <v>-1525.0968989999999</v>
      </c>
      <c r="BM6" s="58">
        <v>-1203.99344</v>
      </c>
      <c r="BN6" s="58">
        <v>-350.19370379999998</v>
      </c>
      <c r="BO6" s="58">
        <v>128.38372031</v>
      </c>
      <c r="BP6" s="58">
        <v>-293.81553179999997</v>
      </c>
      <c r="BQ6" s="58">
        <v>-290.1022112</v>
      </c>
      <c r="BR6" s="58">
        <v>-177.171862</v>
      </c>
      <c r="BS6" s="58">
        <v>296.66111188999997</v>
      </c>
      <c r="BT6" s="58">
        <v>-649.33585100000005</v>
      </c>
      <c r="BU6" s="58">
        <v>-1772.550943</v>
      </c>
      <c r="BV6" s="58">
        <v>-1355.6072349999999</v>
      </c>
      <c r="BW6" s="58">
        <v>-713.83396440000001</v>
      </c>
      <c r="BX6" s="58">
        <v>-948.46101659999999</v>
      </c>
      <c r="BY6" s="58">
        <v>-423.56980140000002</v>
      </c>
      <c r="BZ6" s="58">
        <v>-201.5116448</v>
      </c>
      <c r="CA6" s="58">
        <v>-436.78516400000001</v>
      </c>
      <c r="CB6" s="58">
        <v>-653.11486730000001</v>
      </c>
      <c r="CC6" s="58">
        <v>-660.13279499999999</v>
      </c>
      <c r="CD6" s="58">
        <v>-138.048013</v>
      </c>
      <c r="CE6" s="58">
        <v>-11.31911822</v>
      </c>
      <c r="CF6" s="58">
        <v>-412.36493810000002</v>
      </c>
      <c r="CG6" s="58">
        <v>-128.88237770000001</v>
      </c>
      <c r="CH6" s="58">
        <v>-283.59032109999998</v>
      </c>
      <c r="CI6" s="58">
        <v>-174.17351450000001</v>
      </c>
      <c r="CJ6" s="58">
        <v>176.29967735</v>
      </c>
      <c r="CK6" s="58">
        <v>-201.66952760000001</v>
      </c>
      <c r="CL6" s="58">
        <v>-470.34270309999999</v>
      </c>
      <c r="CM6" s="58">
        <v>-108.0533344</v>
      </c>
      <c r="CN6" s="58">
        <v>-17.482381530000001</v>
      </c>
      <c r="CO6" s="58">
        <v>-436.85281170000002</v>
      </c>
      <c r="CP6" s="58">
        <v>-116.491246</v>
      </c>
      <c r="CQ6" s="58">
        <v>-303.69317000000001</v>
      </c>
      <c r="CR6" s="58">
        <v>-412.16753340000002</v>
      </c>
      <c r="CS6" s="58">
        <v>-481.27657820000002</v>
      </c>
      <c r="CT6" s="58">
        <v>-288.20202110000002</v>
      </c>
      <c r="CU6" s="58">
        <v>-329.39035689999997</v>
      </c>
      <c r="CV6" s="58">
        <v>-37.092372470000001</v>
      </c>
      <c r="CW6" s="58">
        <v>-315.85362079999999</v>
      </c>
      <c r="CX6" s="58">
        <v>260.17144561999999</v>
      </c>
      <c r="CY6" s="58">
        <v>268.16557017999997</v>
      </c>
      <c r="CZ6" s="58">
        <v>484.10375979999998</v>
      </c>
      <c r="DA6" s="58">
        <v>316.22613825000002</v>
      </c>
    </row>
    <row r="7" spans="1:105">
      <c r="A7" s="57" t="s">
        <v>413</v>
      </c>
      <c r="B7" s="58">
        <v>17044.336305000001</v>
      </c>
      <c r="C7" s="58">
        <v>17297.630428</v>
      </c>
      <c r="D7" s="58">
        <v>18643.604415000002</v>
      </c>
      <c r="E7" s="58">
        <v>18097.443272</v>
      </c>
      <c r="F7" s="58">
        <v>16111.250314000001</v>
      </c>
      <c r="G7" s="58">
        <v>17236.943945999999</v>
      </c>
      <c r="H7" s="58">
        <v>17826.779172999999</v>
      </c>
      <c r="I7" s="58">
        <v>17952.827461000001</v>
      </c>
      <c r="J7" s="58">
        <v>17160.332194999999</v>
      </c>
      <c r="K7" s="58">
        <v>16604.459361000001</v>
      </c>
      <c r="L7" s="58">
        <v>17368.268597999999</v>
      </c>
      <c r="M7" s="58">
        <v>17527.707773999999</v>
      </c>
      <c r="N7" s="58">
        <v>16656.352237999999</v>
      </c>
      <c r="O7" s="58">
        <v>19667.831133</v>
      </c>
      <c r="P7" s="58">
        <v>19461.206254000001</v>
      </c>
      <c r="Q7" s="58">
        <v>17696.923424000001</v>
      </c>
      <c r="R7" s="58">
        <v>10856.500212999999</v>
      </c>
      <c r="S7" s="58">
        <v>11316.80546</v>
      </c>
      <c r="T7" s="58">
        <v>13232.477204999999</v>
      </c>
      <c r="U7" s="58">
        <v>15507.657476</v>
      </c>
      <c r="V7" s="58">
        <v>11574.707891</v>
      </c>
      <c r="W7" s="58">
        <v>7745.8152487999996</v>
      </c>
      <c r="X7" s="58">
        <v>8923.0570212000002</v>
      </c>
      <c r="Y7" s="58">
        <v>9980.0522954999997</v>
      </c>
      <c r="Z7" s="58">
        <v>12627.020688000001</v>
      </c>
      <c r="AA7" s="58">
        <v>13422.0357</v>
      </c>
      <c r="AB7" s="58">
        <v>12544.770144</v>
      </c>
      <c r="AC7" s="58">
        <v>12730.193488000001</v>
      </c>
      <c r="AD7" s="58">
        <v>12657.354600000001</v>
      </c>
      <c r="AE7" s="58">
        <v>13634.371773000001</v>
      </c>
      <c r="AF7" s="58">
        <v>13649.764010999999</v>
      </c>
      <c r="AG7" s="58">
        <v>13782.528413</v>
      </c>
      <c r="AH7" s="58">
        <v>11377.193370999999</v>
      </c>
      <c r="AI7" s="58">
        <v>11786.042132</v>
      </c>
      <c r="AJ7" s="58">
        <v>12521.069879999999</v>
      </c>
      <c r="AK7" s="58">
        <v>13637.332038</v>
      </c>
      <c r="AL7" s="58">
        <v>9220.7594109999991</v>
      </c>
      <c r="AM7" s="58">
        <v>10738.509518999999</v>
      </c>
      <c r="AN7" s="58">
        <v>11018.201386999999</v>
      </c>
      <c r="AO7" s="58">
        <v>11791.36572</v>
      </c>
      <c r="AP7" s="58">
        <v>12106.260659</v>
      </c>
      <c r="AQ7" s="58">
        <v>12345.980965999999</v>
      </c>
      <c r="AR7" s="58">
        <v>11659.568058999999</v>
      </c>
      <c r="AS7" s="58">
        <v>10894.725578</v>
      </c>
      <c r="AT7" s="58">
        <v>15964.416442</v>
      </c>
      <c r="AU7" s="58">
        <v>16979.664087000001</v>
      </c>
      <c r="AV7" s="58">
        <v>17661.240667999999</v>
      </c>
      <c r="AW7" s="58">
        <v>14821.160591</v>
      </c>
      <c r="AX7" s="58">
        <v>16308.884231</v>
      </c>
      <c r="AY7" s="58">
        <v>17543.396895999998</v>
      </c>
      <c r="AZ7" s="58">
        <v>16940.462854000001</v>
      </c>
      <c r="BA7" s="58">
        <v>17774.049491999998</v>
      </c>
      <c r="BB7" s="58">
        <v>17551.174663999998</v>
      </c>
      <c r="BC7" s="58">
        <v>17047.252112999999</v>
      </c>
      <c r="BD7" s="58">
        <v>16827.415643</v>
      </c>
      <c r="BE7" s="58">
        <v>17725.856056000001</v>
      </c>
      <c r="BF7" s="58">
        <v>14308.83224</v>
      </c>
      <c r="BG7" s="58">
        <v>16504.534625</v>
      </c>
      <c r="BH7" s="58">
        <v>16499.367559999999</v>
      </c>
      <c r="BI7" s="58">
        <v>17475.154471999998</v>
      </c>
      <c r="BJ7" s="58">
        <v>10832.660598</v>
      </c>
      <c r="BK7" s="58">
        <v>11592.119647</v>
      </c>
      <c r="BL7" s="58">
        <v>11613.279087000001</v>
      </c>
      <c r="BM7" s="58">
        <v>12747.392458</v>
      </c>
      <c r="BN7" s="58">
        <v>9184.6796935999992</v>
      </c>
      <c r="BO7" s="58">
        <v>9359.9057240999991</v>
      </c>
      <c r="BP7" s="58">
        <v>9998.5251047000002</v>
      </c>
      <c r="BQ7" s="58">
        <v>10806.420736</v>
      </c>
      <c r="BR7" s="58">
        <v>10188.458043000001</v>
      </c>
      <c r="BS7" s="58">
        <v>11938.242381</v>
      </c>
      <c r="BT7" s="58">
        <v>11789.857787999999</v>
      </c>
      <c r="BU7" s="58">
        <v>10024.507132999999</v>
      </c>
      <c r="BV7" s="58">
        <v>7314.1931450000002</v>
      </c>
      <c r="BW7" s="58">
        <v>8516.9568447000001</v>
      </c>
      <c r="BX7" s="58">
        <v>8991.1494698000006</v>
      </c>
      <c r="BY7" s="58">
        <v>10305.431687</v>
      </c>
      <c r="BZ7" s="58">
        <v>6499.6419681999996</v>
      </c>
      <c r="CA7" s="58">
        <v>7068.2604058999996</v>
      </c>
      <c r="CB7" s="58">
        <v>7475.4856360000003</v>
      </c>
      <c r="CC7" s="58">
        <v>7818.3415193999999</v>
      </c>
      <c r="CD7" s="58">
        <v>5374.3967915000003</v>
      </c>
      <c r="CE7" s="58">
        <v>6399.2811904999999</v>
      </c>
      <c r="CF7" s="58">
        <v>6323.0471040000002</v>
      </c>
      <c r="CG7" s="58">
        <v>6568.095241</v>
      </c>
      <c r="CH7" s="58">
        <v>4052.1654251</v>
      </c>
      <c r="CI7" s="58">
        <v>4685.1726779999999</v>
      </c>
      <c r="CJ7" s="58">
        <v>5322.3491575999997</v>
      </c>
      <c r="CK7" s="58">
        <v>5572.5180957000002</v>
      </c>
      <c r="CL7" s="58">
        <v>3491.8897962999999</v>
      </c>
      <c r="CM7" s="58">
        <v>3860.2611901999999</v>
      </c>
      <c r="CN7" s="58">
        <v>4336.1430346999996</v>
      </c>
      <c r="CO7" s="58">
        <v>4039.5939472999999</v>
      </c>
      <c r="CP7" s="58">
        <v>3307.1773782</v>
      </c>
      <c r="CQ7" s="58">
        <v>3711.2647298000002</v>
      </c>
      <c r="CR7" s="58">
        <v>3595.9791796</v>
      </c>
      <c r="CS7" s="58">
        <v>3642.8888393000002</v>
      </c>
      <c r="CT7" s="58">
        <v>3627.2535032000001</v>
      </c>
      <c r="CU7" s="58">
        <v>3808.2207340999998</v>
      </c>
      <c r="CV7" s="58">
        <v>3955.4111031000002</v>
      </c>
      <c r="CW7" s="58">
        <v>3672.1965783999999</v>
      </c>
      <c r="CX7" s="58">
        <v>3735.0923805000002</v>
      </c>
      <c r="CY7" s="58">
        <v>3843.2061758999998</v>
      </c>
      <c r="CZ7" s="58">
        <v>4119.7563670999998</v>
      </c>
      <c r="DA7" s="58">
        <v>4108.6101375999997</v>
      </c>
    </row>
    <row r="8" spans="1:105">
      <c r="A8" s="57" t="s">
        <v>414</v>
      </c>
      <c r="B8" s="58">
        <v>19593.642128</v>
      </c>
      <c r="C8" s="58">
        <v>21125.872125000002</v>
      </c>
      <c r="D8" s="58">
        <v>22680.626004999998</v>
      </c>
      <c r="E8" s="58">
        <v>22554.346631</v>
      </c>
      <c r="F8" s="58">
        <v>17892.582007000001</v>
      </c>
      <c r="G8" s="58">
        <v>19596.477641000001</v>
      </c>
      <c r="H8" s="58">
        <v>20206.952948999999</v>
      </c>
      <c r="I8" s="58">
        <v>21114.277968999999</v>
      </c>
      <c r="J8" s="58">
        <v>19337.302026000001</v>
      </c>
      <c r="K8" s="58">
        <v>18661.04247</v>
      </c>
      <c r="L8" s="58">
        <v>18772.262648</v>
      </c>
      <c r="M8" s="58">
        <v>19693.364437</v>
      </c>
      <c r="N8" s="58">
        <v>21613.881799999999</v>
      </c>
      <c r="O8" s="58">
        <v>22714.019145999999</v>
      </c>
      <c r="P8" s="58">
        <v>23877.356615000001</v>
      </c>
      <c r="Q8" s="58">
        <v>21370.267347000001</v>
      </c>
      <c r="R8" s="58">
        <v>14544.569152</v>
      </c>
      <c r="S8" s="58">
        <v>16338.516056</v>
      </c>
      <c r="T8" s="58">
        <v>18491.140629000001</v>
      </c>
      <c r="U8" s="58">
        <v>21539.893676</v>
      </c>
      <c r="V8" s="58">
        <v>14673.059405</v>
      </c>
      <c r="W8" s="58">
        <v>10396.824946999999</v>
      </c>
      <c r="X8" s="58">
        <v>12186.096391999999</v>
      </c>
      <c r="Y8" s="58">
        <v>14072.402867999999</v>
      </c>
      <c r="Z8" s="58">
        <v>15764.527329</v>
      </c>
      <c r="AA8" s="58">
        <v>16419.837477000001</v>
      </c>
      <c r="AB8" s="58">
        <v>16950.808902000001</v>
      </c>
      <c r="AC8" s="58">
        <v>16337.008755999999</v>
      </c>
      <c r="AD8" s="58">
        <v>14496.960462999999</v>
      </c>
      <c r="AE8" s="58">
        <v>16191.654395</v>
      </c>
      <c r="AF8" s="58">
        <v>16321.698795</v>
      </c>
      <c r="AG8" s="58">
        <v>17269.897131999998</v>
      </c>
      <c r="AH8" s="58">
        <v>14106.856706</v>
      </c>
      <c r="AI8" s="58">
        <v>14337.43557</v>
      </c>
      <c r="AJ8" s="58">
        <v>14847.068385</v>
      </c>
      <c r="AK8" s="58">
        <v>14791.785689</v>
      </c>
      <c r="AL8" s="58">
        <v>13191.633272999999</v>
      </c>
      <c r="AM8" s="58">
        <v>13673.726862</v>
      </c>
      <c r="AN8" s="58">
        <v>14578.192411</v>
      </c>
      <c r="AO8" s="58">
        <v>14776.4128</v>
      </c>
      <c r="AP8" s="58">
        <v>16975.308711999998</v>
      </c>
      <c r="AQ8" s="58">
        <v>16131.071726</v>
      </c>
      <c r="AR8" s="58">
        <v>17051.319884</v>
      </c>
      <c r="AS8" s="58">
        <v>15853.216449</v>
      </c>
      <c r="AT8" s="58">
        <v>17929.615081</v>
      </c>
      <c r="AU8" s="58">
        <v>19042.390339000001</v>
      </c>
      <c r="AV8" s="58">
        <v>20389.931905000001</v>
      </c>
      <c r="AW8" s="58">
        <v>20396.820938000001</v>
      </c>
      <c r="AX8" s="58">
        <v>17136.571227</v>
      </c>
      <c r="AY8" s="58">
        <v>17625.281086999999</v>
      </c>
      <c r="AZ8" s="58">
        <v>18404.949455000002</v>
      </c>
      <c r="BA8" s="58">
        <v>18650.489561999999</v>
      </c>
      <c r="BB8" s="58">
        <v>16646.101598000001</v>
      </c>
      <c r="BC8" s="58">
        <v>17867.497667</v>
      </c>
      <c r="BD8" s="58">
        <v>18168.676152</v>
      </c>
      <c r="BE8" s="58">
        <v>17934.415427</v>
      </c>
      <c r="BF8" s="58">
        <v>14302.245765</v>
      </c>
      <c r="BG8" s="58">
        <v>15884.987125</v>
      </c>
      <c r="BH8" s="58">
        <v>16850.169543</v>
      </c>
      <c r="BI8" s="58">
        <v>17222.913092999999</v>
      </c>
      <c r="BJ8" s="58">
        <v>10574.695405</v>
      </c>
      <c r="BK8" s="58">
        <v>11367.144713</v>
      </c>
      <c r="BL8" s="58">
        <v>13138.375985999999</v>
      </c>
      <c r="BM8" s="58">
        <v>13951.385898</v>
      </c>
      <c r="BN8" s="58">
        <v>9534.8733974999996</v>
      </c>
      <c r="BO8" s="58">
        <v>9231.5220036999999</v>
      </c>
      <c r="BP8" s="58">
        <v>10292.340636000001</v>
      </c>
      <c r="BQ8" s="58">
        <v>11096.522946999999</v>
      </c>
      <c r="BR8" s="58">
        <v>10365.629905</v>
      </c>
      <c r="BS8" s="58">
        <v>11641.581269</v>
      </c>
      <c r="BT8" s="58">
        <v>12439.193638999999</v>
      </c>
      <c r="BU8" s="58">
        <v>11797.058075999999</v>
      </c>
      <c r="BV8" s="58">
        <v>8669.8003795999994</v>
      </c>
      <c r="BW8" s="58">
        <v>9230.7908091000008</v>
      </c>
      <c r="BX8" s="58">
        <v>9939.6104864000008</v>
      </c>
      <c r="BY8" s="58">
        <v>10729.001488</v>
      </c>
      <c r="BZ8" s="58">
        <v>6701.1536128999996</v>
      </c>
      <c r="CA8" s="58">
        <v>7505.0455699000004</v>
      </c>
      <c r="CB8" s="58">
        <v>8128.6005033000001</v>
      </c>
      <c r="CC8" s="58">
        <v>8478.4743144999993</v>
      </c>
      <c r="CD8" s="58">
        <v>5512.4448044999999</v>
      </c>
      <c r="CE8" s="58">
        <v>6410.6003086999999</v>
      </c>
      <c r="CF8" s="58">
        <v>6735.4120421999996</v>
      </c>
      <c r="CG8" s="58">
        <v>6696.9776186999998</v>
      </c>
      <c r="CH8" s="58">
        <v>4335.7557462000004</v>
      </c>
      <c r="CI8" s="58">
        <v>4859.3461924000003</v>
      </c>
      <c r="CJ8" s="58">
        <v>5146.0494802000003</v>
      </c>
      <c r="CK8" s="58">
        <v>5774.1876233000003</v>
      </c>
      <c r="CL8" s="58">
        <v>3962.2324994000001</v>
      </c>
      <c r="CM8" s="58">
        <v>3968.3145245999999</v>
      </c>
      <c r="CN8" s="58">
        <v>4353.6254161999996</v>
      </c>
      <c r="CO8" s="58">
        <v>4476.4467590000004</v>
      </c>
      <c r="CP8" s="58">
        <v>3423.6686242999999</v>
      </c>
      <c r="CQ8" s="58">
        <v>4014.9578999</v>
      </c>
      <c r="CR8" s="58">
        <v>4008.1467130000001</v>
      </c>
      <c r="CS8" s="58">
        <v>4124.1654176000002</v>
      </c>
      <c r="CT8" s="58">
        <v>3915.4555243</v>
      </c>
      <c r="CU8" s="58">
        <v>4137.6110909999998</v>
      </c>
      <c r="CV8" s="58">
        <v>3992.5034756</v>
      </c>
      <c r="CW8" s="58">
        <v>3988.0501992</v>
      </c>
      <c r="CX8" s="58">
        <v>3474.9209348999998</v>
      </c>
      <c r="CY8" s="58">
        <v>3575.0406057999999</v>
      </c>
      <c r="CZ8" s="58">
        <v>3635.6526073</v>
      </c>
      <c r="DA8" s="58">
        <v>3792.3839994</v>
      </c>
    </row>
    <row r="9" spans="1:105">
      <c r="A9" s="57" t="s">
        <v>415</v>
      </c>
      <c r="B9" s="58">
        <v>-3064.9152220000001</v>
      </c>
      <c r="C9" s="58">
        <v>-3631.821328</v>
      </c>
      <c r="D9" s="58">
        <v>-4007.6605669999999</v>
      </c>
      <c r="E9" s="58">
        <v>-4128.0566980000003</v>
      </c>
      <c r="F9" s="58">
        <v>-2105.2188679999999</v>
      </c>
      <c r="G9" s="58">
        <v>-1967.1971699999999</v>
      </c>
      <c r="H9" s="58">
        <v>-2318.0735410000002</v>
      </c>
      <c r="I9" s="58">
        <v>-2765.2802750000001</v>
      </c>
      <c r="J9" s="58">
        <v>-1917.4467360000001</v>
      </c>
      <c r="K9" s="58">
        <v>-1699.2559249999999</v>
      </c>
      <c r="L9" s="58">
        <v>-1352.9820709999999</v>
      </c>
      <c r="M9" s="58">
        <v>-1837.8732230000001</v>
      </c>
      <c r="N9" s="58">
        <v>-3733.9745189999999</v>
      </c>
      <c r="O9" s="58">
        <v>-1974.6221410000001</v>
      </c>
      <c r="P9" s="58">
        <v>-3684.4672150000001</v>
      </c>
      <c r="Q9" s="58">
        <v>-2785.185105</v>
      </c>
      <c r="R9" s="58">
        <v>-2587.520595</v>
      </c>
      <c r="S9" s="58">
        <v>-3548.1394759999998</v>
      </c>
      <c r="T9" s="58">
        <v>-3692.5201109999998</v>
      </c>
      <c r="U9" s="58">
        <v>-4155.4611080000004</v>
      </c>
      <c r="V9" s="58">
        <v>-2244.4124529999999</v>
      </c>
      <c r="W9" s="58">
        <v>-1549.5345689999999</v>
      </c>
      <c r="X9" s="58">
        <v>-2204.1820859999998</v>
      </c>
      <c r="Y9" s="58">
        <v>-2871.6589549999999</v>
      </c>
      <c r="Z9" s="58">
        <v>-2310.411897</v>
      </c>
      <c r="AA9" s="58">
        <v>-1755.3294969999999</v>
      </c>
      <c r="AB9" s="58">
        <v>-3039.1208959999999</v>
      </c>
      <c r="AC9" s="58">
        <v>-2757.9070109999998</v>
      </c>
      <c r="AD9" s="58">
        <v>-1121.6790599999999</v>
      </c>
      <c r="AE9" s="58">
        <v>-1350.3319240000001</v>
      </c>
      <c r="AF9" s="58">
        <v>-1410.7847409999999</v>
      </c>
      <c r="AG9" s="58">
        <v>-2511.1591939999998</v>
      </c>
      <c r="AH9" s="58">
        <v>-1727.2918340000001</v>
      </c>
      <c r="AI9" s="58">
        <v>-1462.7521839999999</v>
      </c>
      <c r="AJ9" s="58">
        <v>-998.75379969999995</v>
      </c>
      <c r="AK9" s="58">
        <v>-95.764984179999999</v>
      </c>
      <c r="AL9" s="58">
        <v>-2974.9472009999999</v>
      </c>
      <c r="AM9" s="58">
        <v>-1769.2242189999999</v>
      </c>
      <c r="AN9" s="58">
        <v>-2339.8819749999998</v>
      </c>
      <c r="AO9" s="58">
        <v>-2091.6624339999998</v>
      </c>
      <c r="AP9" s="58">
        <v>-3423.1206579999998</v>
      </c>
      <c r="AQ9" s="58">
        <v>-2211.279955</v>
      </c>
      <c r="AR9" s="58">
        <v>-3972.7237230000001</v>
      </c>
      <c r="AS9" s="58">
        <v>-3871.5146530000002</v>
      </c>
      <c r="AT9" s="58">
        <v>-282.23810120000002</v>
      </c>
      <c r="AU9" s="58">
        <v>-239.79126500000001</v>
      </c>
      <c r="AV9" s="58">
        <v>-701.37578029999997</v>
      </c>
      <c r="AW9" s="58">
        <v>-3417.1903160000002</v>
      </c>
      <c r="AX9" s="58">
        <v>750.72337447999996</v>
      </c>
      <c r="AY9" s="58">
        <v>1450.3777186</v>
      </c>
      <c r="AZ9" s="58">
        <v>254.83664798000001</v>
      </c>
      <c r="BA9" s="58">
        <v>723.28658313000005</v>
      </c>
      <c r="BB9" s="58">
        <v>2265.1687201999998</v>
      </c>
      <c r="BC9" s="58">
        <v>901.81034419000002</v>
      </c>
      <c r="BD9" s="58">
        <v>403.51423510000001</v>
      </c>
      <c r="BE9" s="58">
        <v>1385.0808801000001</v>
      </c>
      <c r="BF9" s="58">
        <v>1269.2741805000001</v>
      </c>
      <c r="BG9" s="58">
        <v>2041.1376703999999</v>
      </c>
      <c r="BH9" s="58">
        <v>1050.1943246999999</v>
      </c>
      <c r="BI9" s="58">
        <v>1776.0397307000001</v>
      </c>
      <c r="BJ9" s="58">
        <v>1108.4225461999999</v>
      </c>
      <c r="BK9" s="58">
        <v>1287.772921</v>
      </c>
      <c r="BL9" s="58">
        <v>-257.01842540000001</v>
      </c>
      <c r="BM9" s="58">
        <v>216.90568432000001</v>
      </c>
      <c r="BN9" s="58">
        <v>297.84973022000003</v>
      </c>
      <c r="BO9" s="58">
        <v>851.31747387999997</v>
      </c>
      <c r="BP9" s="58">
        <v>510.26621841000002</v>
      </c>
      <c r="BQ9" s="58">
        <v>889.8262565</v>
      </c>
      <c r="BR9" s="58">
        <v>454.30854346000001</v>
      </c>
      <c r="BS9" s="58">
        <v>1117.7990272</v>
      </c>
      <c r="BT9" s="58">
        <v>304.90701761999998</v>
      </c>
      <c r="BU9" s="58">
        <v>-912.43401470000003</v>
      </c>
      <c r="BV9" s="58">
        <v>-753.88029619999998</v>
      </c>
      <c r="BW9" s="58">
        <v>-63.183304769999999</v>
      </c>
      <c r="BX9" s="58">
        <v>-148.9358129</v>
      </c>
      <c r="BY9" s="58">
        <v>405.47980835999999</v>
      </c>
      <c r="BZ9" s="58">
        <v>212.47432366000001</v>
      </c>
      <c r="CA9" s="58">
        <v>190.32677903999999</v>
      </c>
      <c r="CB9" s="58">
        <v>46.660338895000002</v>
      </c>
      <c r="CC9" s="58">
        <v>-93.233549310000001</v>
      </c>
      <c r="CD9" s="58">
        <v>436.17006395999999</v>
      </c>
      <c r="CE9" s="58">
        <v>560.87127758999998</v>
      </c>
      <c r="CF9" s="58">
        <v>269.73425278000002</v>
      </c>
      <c r="CG9" s="58">
        <v>347.52084839999998</v>
      </c>
      <c r="CH9" s="58">
        <v>109.60730683</v>
      </c>
      <c r="CI9" s="58">
        <v>291.04521306999999</v>
      </c>
      <c r="CJ9" s="58">
        <v>634.73842706999994</v>
      </c>
      <c r="CK9" s="58">
        <v>321.05189884999999</v>
      </c>
      <c r="CL9" s="58">
        <v>-128.14835890000001</v>
      </c>
      <c r="CM9" s="58">
        <v>266.82602906</v>
      </c>
      <c r="CN9" s="58">
        <v>410.49025890000001</v>
      </c>
      <c r="CO9" s="58">
        <v>53.651425942000003</v>
      </c>
      <c r="CP9" s="58">
        <v>256.26868696000003</v>
      </c>
      <c r="CQ9" s="58">
        <v>75.266412297000002</v>
      </c>
      <c r="CR9" s="58">
        <v>23.062972578</v>
      </c>
      <c r="CS9" s="58">
        <v>-12.00868659</v>
      </c>
      <c r="CT9" s="58">
        <v>69.084157524999995</v>
      </c>
      <c r="CU9" s="58">
        <v>56.066466847999997</v>
      </c>
      <c r="CV9" s="58">
        <v>372.03778232000002</v>
      </c>
      <c r="CW9" s="58">
        <v>133.55282840999999</v>
      </c>
      <c r="CX9" s="58">
        <v>582.56818797000005</v>
      </c>
      <c r="CY9" s="58">
        <v>584.68272250999996</v>
      </c>
      <c r="CZ9" s="58">
        <v>827.42804378000005</v>
      </c>
      <c r="DA9" s="58">
        <v>707.51667468000005</v>
      </c>
    </row>
    <row r="10" spans="1:105">
      <c r="A10" s="57" t="s">
        <v>416</v>
      </c>
      <c r="B10" s="58">
        <v>12236.189926999999</v>
      </c>
      <c r="C10" s="58">
        <v>12729.983063</v>
      </c>
      <c r="D10" s="58">
        <v>13344.000988</v>
      </c>
      <c r="E10" s="58">
        <v>13186.156370999999</v>
      </c>
      <c r="F10" s="58">
        <v>11763.559203999999</v>
      </c>
      <c r="G10" s="58">
        <v>13152.600673000001</v>
      </c>
      <c r="H10" s="58">
        <v>13008.538417</v>
      </c>
      <c r="I10" s="58">
        <v>13165.988117999999</v>
      </c>
      <c r="J10" s="58">
        <v>13490.229525999999</v>
      </c>
      <c r="K10" s="58">
        <v>12824.583338</v>
      </c>
      <c r="L10" s="58">
        <v>13191.632224000001</v>
      </c>
      <c r="M10" s="58">
        <v>13135.496148</v>
      </c>
      <c r="N10" s="58">
        <v>13584.987928</v>
      </c>
      <c r="O10" s="58">
        <v>16337.933512</v>
      </c>
      <c r="P10" s="58">
        <v>15661.462877</v>
      </c>
      <c r="Q10" s="58">
        <v>13889.067343000001</v>
      </c>
      <c r="R10" s="58">
        <v>9278.5691659999993</v>
      </c>
      <c r="S10" s="58">
        <v>9542.7400369000006</v>
      </c>
      <c r="T10" s="58">
        <v>11075.900373</v>
      </c>
      <c r="U10" s="58">
        <v>12838.364869999999</v>
      </c>
      <c r="V10" s="58">
        <v>9065.8729165999994</v>
      </c>
      <c r="W10" s="58">
        <v>6849.7780910000001</v>
      </c>
      <c r="X10" s="58">
        <v>7912.9262089000003</v>
      </c>
      <c r="Y10" s="58">
        <v>8480.3899782999997</v>
      </c>
      <c r="Z10" s="58">
        <v>9933.3520962999992</v>
      </c>
      <c r="AA10" s="58">
        <v>11017.863595000001</v>
      </c>
      <c r="AB10" s="58">
        <v>9897.1879088999995</v>
      </c>
      <c r="AC10" s="58">
        <v>9807.1970591000008</v>
      </c>
      <c r="AD10" s="58">
        <v>9968.0722568000001</v>
      </c>
      <c r="AE10" s="58">
        <v>11149.534202999999</v>
      </c>
      <c r="AF10" s="58">
        <v>11061.466920000001</v>
      </c>
      <c r="AG10" s="58">
        <v>10813.975973000001</v>
      </c>
      <c r="AH10" s="58">
        <v>9187.2188418000005</v>
      </c>
      <c r="AI10" s="58">
        <v>9472.8324916000001</v>
      </c>
      <c r="AJ10" s="58">
        <v>10177.635321</v>
      </c>
      <c r="AK10" s="58">
        <v>10947.92597</v>
      </c>
      <c r="AL10" s="58">
        <v>7192.4508445000001</v>
      </c>
      <c r="AM10" s="58">
        <v>8776.9628283999991</v>
      </c>
      <c r="AN10" s="58">
        <v>8765.7009159000008</v>
      </c>
      <c r="AO10" s="58">
        <v>9328.1190105000005</v>
      </c>
      <c r="AP10" s="58">
        <v>10053.223830999999</v>
      </c>
      <c r="AQ10" s="58">
        <v>10372.043629</v>
      </c>
      <c r="AR10" s="58">
        <v>9513.2203181000004</v>
      </c>
      <c r="AS10" s="58">
        <v>8633.6253044000005</v>
      </c>
      <c r="AT10" s="58">
        <v>13941.790774999999</v>
      </c>
      <c r="AU10" s="58">
        <v>14933.567697</v>
      </c>
      <c r="AV10" s="58">
        <v>15463.024602</v>
      </c>
      <c r="AW10" s="58">
        <v>12560.366001</v>
      </c>
      <c r="AX10" s="58">
        <v>14444.91397</v>
      </c>
      <c r="AY10" s="58">
        <v>15549.463828</v>
      </c>
      <c r="AZ10" s="58">
        <v>14849.585514</v>
      </c>
      <c r="BA10" s="58">
        <v>15438.336821999999</v>
      </c>
      <c r="BB10" s="58">
        <v>15730.863044</v>
      </c>
      <c r="BC10" s="58">
        <v>15331.6787</v>
      </c>
      <c r="BD10" s="58">
        <v>14910.210384</v>
      </c>
      <c r="BE10" s="58">
        <v>15631.112295999999</v>
      </c>
      <c r="BF10" s="58">
        <v>12822.560957</v>
      </c>
      <c r="BG10" s="58">
        <v>15009.293997999999</v>
      </c>
      <c r="BH10" s="58">
        <v>14794.586751999999</v>
      </c>
      <c r="BI10" s="58">
        <v>15635.749771000001</v>
      </c>
      <c r="BJ10" s="58">
        <v>9443.3472167</v>
      </c>
      <c r="BK10" s="58">
        <v>10229.365195</v>
      </c>
      <c r="BL10" s="58">
        <v>10051.742023999999</v>
      </c>
      <c r="BM10" s="58">
        <v>11037.461106999999</v>
      </c>
      <c r="BN10" s="58">
        <v>7897.6577470000002</v>
      </c>
      <c r="BO10" s="58">
        <v>8108.5571288000001</v>
      </c>
      <c r="BP10" s="58">
        <v>8633.8847592000002</v>
      </c>
      <c r="BQ10" s="58">
        <v>9337.2478272999997</v>
      </c>
      <c r="BR10" s="58">
        <v>8816.2713669000004</v>
      </c>
      <c r="BS10" s="58">
        <v>10635.804811</v>
      </c>
      <c r="BT10" s="58">
        <v>10411.967515</v>
      </c>
      <c r="BU10" s="58">
        <v>8611.9781425000001</v>
      </c>
      <c r="BV10" s="58">
        <v>6253.2076232999998</v>
      </c>
      <c r="BW10" s="58">
        <v>7424.0179342000001</v>
      </c>
      <c r="BX10" s="58">
        <v>7838.3775304000001</v>
      </c>
      <c r="BY10" s="58">
        <v>9040.1639940999994</v>
      </c>
      <c r="BZ10" s="58">
        <v>5581.5369506999996</v>
      </c>
      <c r="CA10" s="58">
        <v>6249.0257443</v>
      </c>
      <c r="CB10" s="58">
        <v>6560.1095573000002</v>
      </c>
      <c r="CC10" s="58">
        <v>6775.5717451999999</v>
      </c>
      <c r="CD10" s="58">
        <v>4753.9420203999998</v>
      </c>
      <c r="CE10" s="58">
        <v>5700.4157243999998</v>
      </c>
      <c r="CF10" s="58">
        <v>5566.8919422999998</v>
      </c>
      <c r="CG10" s="58">
        <v>5687.4130941000003</v>
      </c>
      <c r="CH10" s="58">
        <v>3525.1570609999999</v>
      </c>
      <c r="CI10" s="58">
        <v>4142.1810173000003</v>
      </c>
      <c r="CJ10" s="58">
        <v>4662.8959087000003</v>
      </c>
      <c r="CK10" s="58">
        <v>4864.6746939000004</v>
      </c>
      <c r="CL10" s="58">
        <v>3062.6227379000002</v>
      </c>
      <c r="CM10" s="58">
        <v>3400.1141097999998</v>
      </c>
      <c r="CN10" s="58">
        <v>3831.5409998999999</v>
      </c>
      <c r="CO10" s="58">
        <v>3503.9688990999998</v>
      </c>
      <c r="CP10" s="58">
        <v>2842.7707571999999</v>
      </c>
      <c r="CQ10" s="58">
        <v>3238.6629195999999</v>
      </c>
      <c r="CR10" s="58">
        <v>3111.0198571000001</v>
      </c>
      <c r="CS10" s="58">
        <v>3174.5872777</v>
      </c>
      <c r="CT10" s="58">
        <v>3113.0422401999999</v>
      </c>
      <c r="CU10" s="58">
        <v>3264.2703628999998</v>
      </c>
      <c r="CV10" s="58">
        <v>3401.0655781</v>
      </c>
      <c r="CW10" s="58">
        <v>3082.0504043999999</v>
      </c>
      <c r="CX10" s="58">
        <v>3267.3531373999999</v>
      </c>
      <c r="CY10" s="58">
        <v>3344.9780036000002</v>
      </c>
      <c r="CZ10" s="58">
        <v>3587.6426274999999</v>
      </c>
      <c r="DA10" s="58">
        <v>3544.720973</v>
      </c>
    </row>
    <row r="11" spans="1:105">
      <c r="A11" s="57" t="s">
        <v>417</v>
      </c>
      <c r="B11" s="58">
        <v>15301.105149000001</v>
      </c>
      <c r="C11" s="58">
        <v>16361.804391</v>
      </c>
      <c r="D11" s="58">
        <v>17351.661554999999</v>
      </c>
      <c r="E11" s="58">
        <v>17314.213069000001</v>
      </c>
      <c r="F11" s="58">
        <v>13868.778071999999</v>
      </c>
      <c r="G11" s="58">
        <v>15119.797843</v>
      </c>
      <c r="H11" s="58">
        <v>15326.611959</v>
      </c>
      <c r="I11" s="58">
        <v>15931.268392</v>
      </c>
      <c r="J11" s="58">
        <v>15407.676262000001</v>
      </c>
      <c r="K11" s="58">
        <v>14523.839264</v>
      </c>
      <c r="L11" s="58">
        <v>14544.614294999999</v>
      </c>
      <c r="M11" s="58">
        <v>14973.369371000001</v>
      </c>
      <c r="N11" s="58">
        <v>17318.962447000002</v>
      </c>
      <c r="O11" s="58">
        <v>18312.555651999999</v>
      </c>
      <c r="P11" s="58">
        <v>19345.930091999999</v>
      </c>
      <c r="Q11" s="58">
        <v>16674.252449</v>
      </c>
      <c r="R11" s="58">
        <v>11866.089760999999</v>
      </c>
      <c r="S11" s="58">
        <v>13090.879513</v>
      </c>
      <c r="T11" s="58">
        <v>14768.420485000001</v>
      </c>
      <c r="U11" s="58">
        <v>16993.825978000001</v>
      </c>
      <c r="V11" s="58">
        <v>11310.285368999999</v>
      </c>
      <c r="W11" s="58">
        <v>8399.3126596000002</v>
      </c>
      <c r="X11" s="58">
        <v>10117.108295</v>
      </c>
      <c r="Y11" s="58">
        <v>11352.048934</v>
      </c>
      <c r="Z11" s="58">
        <v>12243.763994000001</v>
      </c>
      <c r="AA11" s="58">
        <v>12773.193092</v>
      </c>
      <c r="AB11" s="58">
        <v>12936.308805000001</v>
      </c>
      <c r="AC11" s="58">
        <v>12565.104069999999</v>
      </c>
      <c r="AD11" s="58">
        <v>11089.751317</v>
      </c>
      <c r="AE11" s="58">
        <v>12499.866128</v>
      </c>
      <c r="AF11" s="58">
        <v>12472.25166</v>
      </c>
      <c r="AG11" s="58">
        <v>13325.135167</v>
      </c>
      <c r="AH11" s="58">
        <v>10914.510676</v>
      </c>
      <c r="AI11" s="58">
        <v>10935.584676</v>
      </c>
      <c r="AJ11" s="58">
        <v>11176.38912</v>
      </c>
      <c r="AK11" s="58">
        <v>11043.690954</v>
      </c>
      <c r="AL11" s="58">
        <v>10167.398045</v>
      </c>
      <c r="AM11" s="58">
        <v>10546.187048</v>
      </c>
      <c r="AN11" s="58">
        <v>11105.582891</v>
      </c>
      <c r="AO11" s="58">
        <v>11419.781445000001</v>
      </c>
      <c r="AP11" s="58">
        <v>13476.344488999999</v>
      </c>
      <c r="AQ11" s="58">
        <v>12583.323584</v>
      </c>
      <c r="AR11" s="58">
        <v>13485.944041999999</v>
      </c>
      <c r="AS11" s="58">
        <v>12505.139958</v>
      </c>
      <c r="AT11" s="58">
        <v>14224.028876</v>
      </c>
      <c r="AU11" s="58">
        <v>15173.358962</v>
      </c>
      <c r="AV11" s="58">
        <v>16164.400382</v>
      </c>
      <c r="AW11" s="58">
        <v>15977.556317</v>
      </c>
      <c r="AX11" s="58">
        <v>13694.190596</v>
      </c>
      <c r="AY11" s="58">
        <v>14099.086109</v>
      </c>
      <c r="AZ11" s="58">
        <v>14594.748866</v>
      </c>
      <c r="BA11" s="58">
        <v>14715.050239</v>
      </c>
      <c r="BB11" s="58">
        <v>13465.694324</v>
      </c>
      <c r="BC11" s="58">
        <v>14429.868356000001</v>
      </c>
      <c r="BD11" s="58">
        <v>14506.696148999999</v>
      </c>
      <c r="BE11" s="58">
        <v>14246.031416</v>
      </c>
      <c r="BF11" s="58">
        <v>11553.286776999999</v>
      </c>
      <c r="BG11" s="58">
        <v>12968.156327000001</v>
      </c>
      <c r="BH11" s="58">
        <v>13744.392427000001</v>
      </c>
      <c r="BI11" s="58">
        <v>13859.710041</v>
      </c>
      <c r="BJ11" s="58">
        <v>8334.9246703999997</v>
      </c>
      <c r="BK11" s="58">
        <v>8941.5922738999998</v>
      </c>
      <c r="BL11" s="58">
        <v>10308.760448999999</v>
      </c>
      <c r="BM11" s="58">
        <v>10820.555421999999</v>
      </c>
      <c r="BN11" s="58">
        <v>7599.8080167999997</v>
      </c>
      <c r="BO11" s="58">
        <v>7257.2396550000003</v>
      </c>
      <c r="BP11" s="58">
        <v>8123.6185408000001</v>
      </c>
      <c r="BQ11" s="58">
        <v>8447.4215707999992</v>
      </c>
      <c r="BR11" s="58">
        <v>8361.9628233999993</v>
      </c>
      <c r="BS11" s="58">
        <v>9518.0057835999996</v>
      </c>
      <c r="BT11" s="58">
        <v>10107.060497</v>
      </c>
      <c r="BU11" s="58">
        <v>9524.4121572000004</v>
      </c>
      <c r="BV11" s="58">
        <v>7007.0879194999998</v>
      </c>
      <c r="BW11" s="58">
        <v>7487.201239</v>
      </c>
      <c r="BX11" s="58">
        <v>7987.3133433000003</v>
      </c>
      <c r="BY11" s="58">
        <v>8634.6841858000007</v>
      </c>
      <c r="BZ11" s="58">
        <v>5369.0626271000001</v>
      </c>
      <c r="CA11" s="58">
        <v>6058.6989652000002</v>
      </c>
      <c r="CB11" s="58">
        <v>6513.4492184000001</v>
      </c>
      <c r="CC11" s="58">
        <v>6868.8052944999999</v>
      </c>
      <c r="CD11" s="58">
        <v>4317.7719563999999</v>
      </c>
      <c r="CE11" s="58">
        <v>5139.5444467999996</v>
      </c>
      <c r="CF11" s="58">
        <v>5297.1576894999998</v>
      </c>
      <c r="CG11" s="58">
        <v>5339.8922456999999</v>
      </c>
      <c r="CH11" s="58">
        <v>3415.5497541</v>
      </c>
      <c r="CI11" s="58">
        <v>3851.1358043</v>
      </c>
      <c r="CJ11" s="58">
        <v>4028.1574816000002</v>
      </c>
      <c r="CK11" s="58">
        <v>4543.6227950000002</v>
      </c>
      <c r="CL11" s="58">
        <v>3190.7710966999998</v>
      </c>
      <c r="CM11" s="58">
        <v>3133.2880808</v>
      </c>
      <c r="CN11" s="58">
        <v>3421.050741</v>
      </c>
      <c r="CO11" s="58">
        <v>3450.3174730999999</v>
      </c>
      <c r="CP11" s="58">
        <v>2586.5020702000002</v>
      </c>
      <c r="CQ11" s="58">
        <v>3163.3965072999999</v>
      </c>
      <c r="CR11" s="58">
        <v>3087.9568844999999</v>
      </c>
      <c r="CS11" s="58">
        <v>3186.5959643000001</v>
      </c>
      <c r="CT11" s="58">
        <v>3043.9580826000001</v>
      </c>
      <c r="CU11" s="58">
        <v>3208.203896</v>
      </c>
      <c r="CV11" s="58">
        <v>3029.0277958000001</v>
      </c>
      <c r="CW11" s="58">
        <v>2948.4975760000002</v>
      </c>
      <c r="CX11" s="58">
        <v>2684.7849494000002</v>
      </c>
      <c r="CY11" s="58">
        <v>2760.2952811</v>
      </c>
      <c r="CZ11" s="58">
        <v>2760.2145836999998</v>
      </c>
      <c r="DA11" s="58">
        <v>2837.2042983000001</v>
      </c>
    </row>
    <row r="12" spans="1:105">
      <c r="A12" s="57" t="s">
        <v>418</v>
      </c>
      <c r="B12" s="58">
        <v>515.60939867000002</v>
      </c>
      <c r="C12" s="58">
        <v>-196.4203689</v>
      </c>
      <c r="D12" s="58">
        <v>-29.361022899999998</v>
      </c>
      <c r="E12" s="58">
        <v>-328.84666099999998</v>
      </c>
      <c r="F12" s="58">
        <v>323.88717442000001</v>
      </c>
      <c r="G12" s="58">
        <v>-392.33652549999999</v>
      </c>
      <c r="H12" s="58">
        <v>-62.100234839999999</v>
      </c>
      <c r="I12" s="58">
        <v>-396.17023349999999</v>
      </c>
      <c r="J12" s="58">
        <v>-259.5230947</v>
      </c>
      <c r="K12" s="58">
        <v>-357.3271838</v>
      </c>
      <c r="L12" s="58">
        <v>-51.011978579999997</v>
      </c>
      <c r="M12" s="58">
        <v>-327.78344070000003</v>
      </c>
      <c r="N12" s="58">
        <v>-1223.5550430000001</v>
      </c>
      <c r="O12" s="58">
        <v>-1071.565873</v>
      </c>
      <c r="P12" s="58">
        <v>-731.68314559999999</v>
      </c>
      <c r="Q12" s="58">
        <v>-888.15881769999999</v>
      </c>
      <c r="R12" s="58">
        <v>-1100.5483449999999</v>
      </c>
      <c r="S12" s="58">
        <v>-1473.5711200000001</v>
      </c>
      <c r="T12" s="58">
        <v>-1566.1433119999999</v>
      </c>
      <c r="U12" s="58">
        <v>-1876.7750920000001</v>
      </c>
      <c r="V12" s="58">
        <v>-853.93906130000005</v>
      </c>
      <c r="W12" s="58">
        <v>-1101.4751289999999</v>
      </c>
      <c r="X12" s="58">
        <v>-1058.857285</v>
      </c>
      <c r="Y12" s="58">
        <v>-1220.691617</v>
      </c>
      <c r="Z12" s="58">
        <v>-827.09474399999999</v>
      </c>
      <c r="AA12" s="58">
        <v>-1242.47228</v>
      </c>
      <c r="AB12" s="58">
        <v>-1366.917862</v>
      </c>
      <c r="AC12" s="58">
        <v>-848.90825689999997</v>
      </c>
      <c r="AD12" s="58">
        <v>-717.92680299999995</v>
      </c>
      <c r="AE12" s="58">
        <v>-1206.950697</v>
      </c>
      <c r="AF12" s="58">
        <v>-1261.1500430000001</v>
      </c>
      <c r="AG12" s="58">
        <v>-976.20952420000003</v>
      </c>
      <c r="AH12" s="58">
        <v>-1002.3715</v>
      </c>
      <c r="AI12" s="58">
        <v>-1088.641253</v>
      </c>
      <c r="AJ12" s="58">
        <v>-1327.2447050000001</v>
      </c>
      <c r="AK12" s="58">
        <v>-1058.6886669999999</v>
      </c>
      <c r="AL12" s="58">
        <v>-995.92666159999999</v>
      </c>
      <c r="AM12" s="58">
        <v>-1165.993123</v>
      </c>
      <c r="AN12" s="58">
        <v>-1220.10905</v>
      </c>
      <c r="AO12" s="58">
        <v>-893.38464650000003</v>
      </c>
      <c r="AP12" s="58">
        <v>-1445.9273949999999</v>
      </c>
      <c r="AQ12" s="58">
        <v>-1573.810806</v>
      </c>
      <c r="AR12" s="58">
        <v>-1419.0281010000001</v>
      </c>
      <c r="AS12" s="58">
        <v>-1086.9762169999999</v>
      </c>
      <c r="AT12" s="58">
        <v>-1682.960538</v>
      </c>
      <c r="AU12" s="58">
        <v>-1822.9349870000001</v>
      </c>
      <c r="AV12" s="58">
        <v>-2027.3154569999999</v>
      </c>
      <c r="AW12" s="58">
        <v>-2158.4700309999998</v>
      </c>
      <c r="AX12" s="58">
        <v>-1578.4103709999999</v>
      </c>
      <c r="AY12" s="58">
        <v>-1532.2619099999999</v>
      </c>
      <c r="AZ12" s="58">
        <v>-1719.3232479999999</v>
      </c>
      <c r="BA12" s="58">
        <v>-1599.7266529999999</v>
      </c>
      <c r="BB12" s="58">
        <v>-1360.0956550000001</v>
      </c>
      <c r="BC12" s="58">
        <v>-1722.0558980000001</v>
      </c>
      <c r="BD12" s="58">
        <v>-1744.7747440000001</v>
      </c>
      <c r="BE12" s="58">
        <v>-1593.6402519999999</v>
      </c>
      <c r="BF12" s="58">
        <v>-1262.6877059999999</v>
      </c>
      <c r="BG12" s="58">
        <v>-1421.5901710000001</v>
      </c>
      <c r="BH12" s="58">
        <v>-1400.996308</v>
      </c>
      <c r="BI12" s="58">
        <v>-1523.798352</v>
      </c>
      <c r="BJ12" s="58">
        <v>-850.45735349999995</v>
      </c>
      <c r="BK12" s="58">
        <v>-1062.797988</v>
      </c>
      <c r="BL12" s="58">
        <v>-1268.0784739999999</v>
      </c>
      <c r="BM12" s="58">
        <v>-1420.8991249999999</v>
      </c>
      <c r="BN12" s="58">
        <v>-648.04343410000001</v>
      </c>
      <c r="BO12" s="58">
        <v>-722.93375360000005</v>
      </c>
      <c r="BP12" s="58">
        <v>-804.08175019999999</v>
      </c>
      <c r="BQ12" s="58">
        <v>-1179.9284680000001</v>
      </c>
      <c r="BR12" s="58">
        <v>-631.48040549999996</v>
      </c>
      <c r="BS12" s="58">
        <v>-821.13791530000003</v>
      </c>
      <c r="BT12" s="58">
        <v>-954.24286859999995</v>
      </c>
      <c r="BU12" s="58">
        <v>-860.11692860000005</v>
      </c>
      <c r="BV12" s="58">
        <v>-601.72693849999996</v>
      </c>
      <c r="BW12" s="58">
        <v>-650.65065960000004</v>
      </c>
      <c r="BX12" s="58">
        <v>-799.52520370000002</v>
      </c>
      <c r="BY12" s="58">
        <v>-829.04960970000002</v>
      </c>
      <c r="BZ12" s="58">
        <v>-413.98596839999999</v>
      </c>
      <c r="CA12" s="58">
        <v>-627.111943</v>
      </c>
      <c r="CB12" s="58">
        <v>-699.77520619999996</v>
      </c>
      <c r="CC12" s="58">
        <v>-566.89924570000005</v>
      </c>
      <c r="CD12" s="58">
        <v>-574.21807699999999</v>
      </c>
      <c r="CE12" s="58">
        <v>-572.19039580000003</v>
      </c>
      <c r="CF12" s="58">
        <v>-682.09919090000005</v>
      </c>
      <c r="CG12" s="58">
        <v>-476.40322609999998</v>
      </c>
      <c r="CH12" s="58">
        <v>-393.19762789999999</v>
      </c>
      <c r="CI12" s="58">
        <v>-465.2187275</v>
      </c>
      <c r="CJ12" s="58">
        <v>-458.43874970000002</v>
      </c>
      <c r="CK12" s="58">
        <v>-522.72142650000001</v>
      </c>
      <c r="CL12" s="58">
        <v>-342.19434419999999</v>
      </c>
      <c r="CM12" s="58">
        <v>-374.87936339999999</v>
      </c>
      <c r="CN12" s="58">
        <v>-427.97264039999999</v>
      </c>
      <c r="CO12" s="58">
        <v>-490.50423769999998</v>
      </c>
      <c r="CP12" s="58">
        <v>-372.75993299999999</v>
      </c>
      <c r="CQ12" s="58">
        <v>-378.95958230000002</v>
      </c>
      <c r="CR12" s="58">
        <v>-435.23050599999999</v>
      </c>
      <c r="CS12" s="58">
        <v>-469.26789159999998</v>
      </c>
      <c r="CT12" s="58">
        <v>-357.28617860000003</v>
      </c>
      <c r="CU12" s="58">
        <v>-385.4568238</v>
      </c>
      <c r="CV12" s="58">
        <v>-409.13015480000001</v>
      </c>
      <c r="CW12" s="58">
        <v>-449.4064492</v>
      </c>
      <c r="CX12" s="58">
        <v>-322.39674230000003</v>
      </c>
      <c r="CY12" s="58">
        <v>-316.51715230000002</v>
      </c>
      <c r="CZ12" s="58">
        <v>-343.32428399999998</v>
      </c>
      <c r="DA12" s="58">
        <v>-391.29053640000001</v>
      </c>
    </row>
    <row r="13" spans="1:105">
      <c r="A13" s="57" t="s">
        <v>416</v>
      </c>
      <c r="B13" s="58">
        <v>4808.1463783999998</v>
      </c>
      <c r="C13" s="58">
        <v>4567.6473652000004</v>
      </c>
      <c r="D13" s="58">
        <v>5299.6034266999995</v>
      </c>
      <c r="E13" s="58">
        <v>4911.2869006999999</v>
      </c>
      <c r="F13" s="58">
        <v>4347.6911098</v>
      </c>
      <c r="G13" s="58">
        <v>4084.3432727999998</v>
      </c>
      <c r="H13" s="58">
        <v>4818.2407556999997</v>
      </c>
      <c r="I13" s="58">
        <v>4786.8393427000001</v>
      </c>
      <c r="J13" s="58">
        <v>3670.1026695999999</v>
      </c>
      <c r="K13" s="58">
        <v>3779.8760229</v>
      </c>
      <c r="L13" s="58">
        <v>4176.6363740999996</v>
      </c>
      <c r="M13" s="58">
        <v>4392.2116255999999</v>
      </c>
      <c r="N13" s="58">
        <v>3071.3643092000002</v>
      </c>
      <c r="O13" s="58">
        <v>3329.8976210000001</v>
      </c>
      <c r="P13" s="58">
        <v>3799.7433768000001</v>
      </c>
      <c r="Q13" s="58">
        <v>3807.8560806999999</v>
      </c>
      <c r="R13" s="58">
        <v>1577.9310468000001</v>
      </c>
      <c r="S13" s="58">
        <v>1774.0654235</v>
      </c>
      <c r="T13" s="58">
        <v>2156.5768315</v>
      </c>
      <c r="U13" s="58">
        <v>2669.2926062000001</v>
      </c>
      <c r="V13" s="58">
        <v>2508.8349741000002</v>
      </c>
      <c r="W13" s="58">
        <v>896.03715776000001</v>
      </c>
      <c r="X13" s="58">
        <v>1010.1308123</v>
      </c>
      <c r="Y13" s="58">
        <v>1499.6623171000001</v>
      </c>
      <c r="Z13" s="58">
        <v>2693.6685916000001</v>
      </c>
      <c r="AA13" s="58">
        <v>2404.1721047000001</v>
      </c>
      <c r="AB13" s="58">
        <v>2647.5822349999999</v>
      </c>
      <c r="AC13" s="58">
        <v>2922.9964285999999</v>
      </c>
      <c r="AD13" s="58">
        <v>2689.2823432999999</v>
      </c>
      <c r="AE13" s="58">
        <v>2484.8375701</v>
      </c>
      <c r="AF13" s="58">
        <v>2588.2970918000001</v>
      </c>
      <c r="AG13" s="58">
        <v>2968.5524405000001</v>
      </c>
      <c r="AH13" s="58">
        <v>2189.9745293000001</v>
      </c>
      <c r="AI13" s="58">
        <v>2313.2096402000002</v>
      </c>
      <c r="AJ13" s="58">
        <v>2343.4345595999998</v>
      </c>
      <c r="AK13" s="58">
        <v>2689.4060682999998</v>
      </c>
      <c r="AL13" s="58">
        <v>2028.3085665999999</v>
      </c>
      <c r="AM13" s="58">
        <v>1961.5466908999999</v>
      </c>
      <c r="AN13" s="58">
        <v>2252.5004711000001</v>
      </c>
      <c r="AO13" s="58">
        <v>2463.2467092000002</v>
      </c>
      <c r="AP13" s="58">
        <v>2053.0368276999998</v>
      </c>
      <c r="AQ13" s="58">
        <v>1973.9373370999999</v>
      </c>
      <c r="AR13" s="58">
        <v>2146.3477412000002</v>
      </c>
      <c r="AS13" s="58">
        <v>2261.1002733999999</v>
      </c>
      <c r="AT13" s="58">
        <v>2022.6256668000001</v>
      </c>
      <c r="AU13" s="58">
        <v>2046.0963899000001</v>
      </c>
      <c r="AV13" s="58">
        <v>2198.2160654999998</v>
      </c>
      <c r="AW13" s="58">
        <v>2260.79459</v>
      </c>
      <c r="AX13" s="58">
        <v>1863.9702605</v>
      </c>
      <c r="AY13" s="58">
        <v>1993.933068</v>
      </c>
      <c r="AZ13" s="58">
        <v>2090.8773403</v>
      </c>
      <c r="BA13" s="58">
        <v>2335.7126704000002</v>
      </c>
      <c r="BB13" s="58">
        <v>1820.3116199000001</v>
      </c>
      <c r="BC13" s="58">
        <v>1715.5734123</v>
      </c>
      <c r="BD13" s="58">
        <v>1917.2052598</v>
      </c>
      <c r="BE13" s="58">
        <v>2094.7437601000001</v>
      </c>
      <c r="BF13" s="58">
        <v>1486.2712824</v>
      </c>
      <c r="BG13" s="58">
        <v>1495.2406275000001</v>
      </c>
      <c r="BH13" s="58">
        <v>1704.7808084999999</v>
      </c>
      <c r="BI13" s="58">
        <v>1839.4047002</v>
      </c>
      <c r="BJ13" s="58">
        <v>1389.3133811</v>
      </c>
      <c r="BK13" s="58">
        <v>1362.7544518</v>
      </c>
      <c r="BL13" s="58">
        <v>1561.5370627</v>
      </c>
      <c r="BM13" s="58">
        <v>1709.9313509000001</v>
      </c>
      <c r="BN13" s="58">
        <v>1287.0219466000001</v>
      </c>
      <c r="BO13" s="58">
        <v>1251.3485952000001</v>
      </c>
      <c r="BP13" s="58">
        <v>1364.6403455</v>
      </c>
      <c r="BQ13" s="58">
        <v>1469.1729089</v>
      </c>
      <c r="BR13" s="58">
        <v>1372.186676</v>
      </c>
      <c r="BS13" s="58">
        <v>1302.4375700000001</v>
      </c>
      <c r="BT13" s="58">
        <v>1377.8902737000001</v>
      </c>
      <c r="BU13" s="58">
        <v>1412.5289906999999</v>
      </c>
      <c r="BV13" s="58">
        <v>1060.9855216999999</v>
      </c>
      <c r="BW13" s="58">
        <v>1092.9389105</v>
      </c>
      <c r="BX13" s="58">
        <v>1152.7719394000001</v>
      </c>
      <c r="BY13" s="58">
        <v>1265.2676925999999</v>
      </c>
      <c r="BZ13" s="58">
        <v>918.10501742999998</v>
      </c>
      <c r="CA13" s="58">
        <v>819.23466160999999</v>
      </c>
      <c r="CB13" s="58">
        <v>915.37607867999998</v>
      </c>
      <c r="CC13" s="58">
        <v>1042.7697743000001</v>
      </c>
      <c r="CD13" s="58">
        <v>620.45477104999998</v>
      </c>
      <c r="CE13" s="58">
        <v>698.86546605000001</v>
      </c>
      <c r="CF13" s="58">
        <v>756.15516176000006</v>
      </c>
      <c r="CG13" s="58">
        <v>880.68214693000004</v>
      </c>
      <c r="CH13" s="58">
        <v>527.00836417000005</v>
      </c>
      <c r="CI13" s="58">
        <v>542.99166061999995</v>
      </c>
      <c r="CJ13" s="58">
        <v>659.45324886000003</v>
      </c>
      <c r="CK13" s="58">
        <v>707.84340180000004</v>
      </c>
      <c r="CL13" s="58">
        <v>429.26705844000003</v>
      </c>
      <c r="CM13" s="58">
        <v>460.14708037999998</v>
      </c>
      <c r="CN13" s="58">
        <v>504.60203476999999</v>
      </c>
      <c r="CO13" s="58">
        <v>535.62504820000004</v>
      </c>
      <c r="CP13" s="58">
        <v>464.40662103</v>
      </c>
      <c r="CQ13" s="58">
        <v>472.60181021</v>
      </c>
      <c r="CR13" s="58">
        <v>484.95932248000003</v>
      </c>
      <c r="CS13" s="58">
        <v>468.30156165</v>
      </c>
      <c r="CT13" s="58">
        <v>514.21126301000004</v>
      </c>
      <c r="CU13" s="58">
        <v>543.95037126</v>
      </c>
      <c r="CV13" s="58">
        <v>554.34552498999994</v>
      </c>
      <c r="CW13" s="58">
        <v>590.14617405000001</v>
      </c>
      <c r="CX13" s="58">
        <v>467.73924314999999</v>
      </c>
      <c r="CY13" s="58">
        <v>498.22817230999999</v>
      </c>
      <c r="CZ13" s="58">
        <v>532.11373963000005</v>
      </c>
      <c r="DA13" s="58">
        <v>563.88916459999996</v>
      </c>
    </row>
    <row r="14" spans="1:105">
      <c r="A14" s="57" t="s">
        <v>417</v>
      </c>
      <c r="B14" s="58">
        <v>4292.5369797000003</v>
      </c>
      <c r="C14" s="58">
        <v>4764.0677341000001</v>
      </c>
      <c r="D14" s="58">
        <v>5328.9644496000001</v>
      </c>
      <c r="E14" s="58">
        <v>5240.1335617000004</v>
      </c>
      <c r="F14" s="58">
        <v>4023.8039352999999</v>
      </c>
      <c r="G14" s="58">
        <v>4476.6797982999997</v>
      </c>
      <c r="H14" s="58">
        <v>4880.3409904999999</v>
      </c>
      <c r="I14" s="58">
        <v>5183.0095762000001</v>
      </c>
      <c r="J14" s="58">
        <v>3929.6257642</v>
      </c>
      <c r="K14" s="58">
        <v>4137.2032067</v>
      </c>
      <c r="L14" s="58">
        <v>4227.6483527</v>
      </c>
      <c r="M14" s="58">
        <v>4719.9950663</v>
      </c>
      <c r="N14" s="58">
        <v>4294.9193525000001</v>
      </c>
      <c r="O14" s="58">
        <v>4401.4634936000002</v>
      </c>
      <c r="P14" s="58">
        <v>4531.4265223000002</v>
      </c>
      <c r="Q14" s="58">
        <v>4696.0148983999998</v>
      </c>
      <c r="R14" s="58">
        <v>2678.4793918</v>
      </c>
      <c r="S14" s="58">
        <v>3247.6365431999998</v>
      </c>
      <c r="T14" s="58">
        <v>3722.7201439999999</v>
      </c>
      <c r="U14" s="58">
        <v>4546.0676983000003</v>
      </c>
      <c r="V14" s="58">
        <v>3362.7740353999998</v>
      </c>
      <c r="W14" s="58">
        <v>1997.512287</v>
      </c>
      <c r="X14" s="58">
        <v>2068.9880972000001</v>
      </c>
      <c r="Y14" s="58">
        <v>2720.3539340000002</v>
      </c>
      <c r="Z14" s="58">
        <v>3520.7633356000001</v>
      </c>
      <c r="AA14" s="58">
        <v>3646.6443847999999</v>
      </c>
      <c r="AB14" s="58">
        <v>4014.5000970000001</v>
      </c>
      <c r="AC14" s="58">
        <v>3771.9046853999998</v>
      </c>
      <c r="AD14" s="58">
        <v>3407.2091464</v>
      </c>
      <c r="AE14" s="58">
        <v>3691.7882668000002</v>
      </c>
      <c r="AF14" s="58">
        <v>3849.4471346</v>
      </c>
      <c r="AG14" s="58">
        <v>3944.7619647000001</v>
      </c>
      <c r="AH14" s="58">
        <v>3192.3460295999998</v>
      </c>
      <c r="AI14" s="58">
        <v>3401.8508935999998</v>
      </c>
      <c r="AJ14" s="58">
        <v>3670.6792645</v>
      </c>
      <c r="AK14" s="58">
        <v>3748.0947348</v>
      </c>
      <c r="AL14" s="58">
        <v>3024.2352280999999</v>
      </c>
      <c r="AM14" s="58">
        <v>3127.5398140000002</v>
      </c>
      <c r="AN14" s="58">
        <v>3472.6095209</v>
      </c>
      <c r="AO14" s="58">
        <v>3356.6313556999999</v>
      </c>
      <c r="AP14" s="58">
        <v>3498.9642227999998</v>
      </c>
      <c r="AQ14" s="58">
        <v>3547.7481425999999</v>
      </c>
      <c r="AR14" s="58">
        <v>3565.3758419000001</v>
      </c>
      <c r="AS14" s="58">
        <v>3348.0764908000001</v>
      </c>
      <c r="AT14" s="58">
        <v>3705.5862049000002</v>
      </c>
      <c r="AU14" s="58">
        <v>3869.0313772</v>
      </c>
      <c r="AV14" s="58">
        <v>4225.5315223999996</v>
      </c>
      <c r="AW14" s="58">
        <v>4419.2646212</v>
      </c>
      <c r="AX14" s="58">
        <v>3442.3806313</v>
      </c>
      <c r="AY14" s="58">
        <v>3526.1949780999998</v>
      </c>
      <c r="AZ14" s="58">
        <v>3810.2005887</v>
      </c>
      <c r="BA14" s="58">
        <v>3935.4393230000001</v>
      </c>
      <c r="BB14" s="58">
        <v>3180.4072747</v>
      </c>
      <c r="BC14" s="58">
        <v>3437.6293105</v>
      </c>
      <c r="BD14" s="58">
        <v>3661.9800039000002</v>
      </c>
      <c r="BE14" s="58">
        <v>3688.3840117999998</v>
      </c>
      <c r="BF14" s="58">
        <v>2748.9589882999999</v>
      </c>
      <c r="BG14" s="58">
        <v>2916.830798</v>
      </c>
      <c r="BH14" s="58">
        <v>3105.7771160000002</v>
      </c>
      <c r="BI14" s="58">
        <v>3363.2030525</v>
      </c>
      <c r="BJ14" s="58">
        <v>2239.7707346000002</v>
      </c>
      <c r="BK14" s="58">
        <v>2425.5524395000002</v>
      </c>
      <c r="BL14" s="58">
        <v>2829.6155367000001</v>
      </c>
      <c r="BM14" s="58">
        <v>3130.8304756000002</v>
      </c>
      <c r="BN14" s="58">
        <v>1935.0653807000001</v>
      </c>
      <c r="BO14" s="58">
        <v>1974.2823487999999</v>
      </c>
      <c r="BP14" s="58">
        <v>2168.7220956000001</v>
      </c>
      <c r="BQ14" s="58">
        <v>2649.1013766000001</v>
      </c>
      <c r="BR14" s="58">
        <v>2003.6670815</v>
      </c>
      <c r="BS14" s="58">
        <v>2123.5754852999999</v>
      </c>
      <c r="BT14" s="58">
        <v>2332.1331423000001</v>
      </c>
      <c r="BU14" s="58">
        <v>2272.6459193000001</v>
      </c>
      <c r="BV14" s="58">
        <v>1662.7124601999999</v>
      </c>
      <c r="BW14" s="58">
        <v>1743.5895700000001</v>
      </c>
      <c r="BX14" s="58">
        <v>1952.2971431000001</v>
      </c>
      <c r="BY14" s="58">
        <v>2094.3173022999999</v>
      </c>
      <c r="BZ14" s="58">
        <v>1332.0909858</v>
      </c>
      <c r="CA14" s="58">
        <v>1446.3466046999999</v>
      </c>
      <c r="CB14" s="58">
        <v>1615.1512849000001</v>
      </c>
      <c r="CC14" s="58">
        <v>1609.66902</v>
      </c>
      <c r="CD14" s="58">
        <v>1194.6728479999999</v>
      </c>
      <c r="CE14" s="58">
        <v>1271.0558619000001</v>
      </c>
      <c r="CF14" s="58">
        <v>1438.2543527</v>
      </c>
      <c r="CG14" s="58">
        <v>1357.0853731</v>
      </c>
      <c r="CH14" s="58">
        <v>920.20599206999998</v>
      </c>
      <c r="CI14" s="58">
        <v>1008.2103882</v>
      </c>
      <c r="CJ14" s="58">
        <v>1117.8919986000001</v>
      </c>
      <c r="CK14" s="58">
        <v>1230.5648283</v>
      </c>
      <c r="CL14" s="58">
        <v>771.46140266999998</v>
      </c>
      <c r="CM14" s="58">
        <v>835.02644382000005</v>
      </c>
      <c r="CN14" s="58">
        <v>932.5746752</v>
      </c>
      <c r="CO14" s="58">
        <v>1026.1292859</v>
      </c>
      <c r="CP14" s="58">
        <v>837.16655401000003</v>
      </c>
      <c r="CQ14" s="58">
        <v>851.56139252000003</v>
      </c>
      <c r="CR14" s="58">
        <v>920.18982844000004</v>
      </c>
      <c r="CS14" s="58">
        <v>937.56945326000005</v>
      </c>
      <c r="CT14" s="58">
        <v>871.49744162000002</v>
      </c>
      <c r="CU14" s="58">
        <v>929.40719501000001</v>
      </c>
      <c r="CV14" s="58">
        <v>963.47567977000006</v>
      </c>
      <c r="CW14" s="58">
        <v>1039.5526233000001</v>
      </c>
      <c r="CX14" s="58">
        <v>790.13598549000005</v>
      </c>
      <c r="CY14" s="58">
        <v>814.74532464000004</v>
      </c>
      <c r="CZ14" s="58">
        <v>875.43802360999996</v>
      </c>
      <c r="DA14" s="58">
        <v>955.17970103000005</v>
      </c>
    </row>
    <row r="15" spans="1:105">
      <c r="A15" s="57" t="s">
        <v>419</v>
      </c>
      <c r="B15" s="58">
        <v>-2992.860228</v>
      </c>
      <c r="C15" s="58">
        <v>-2780.297329</v>
      </c>
      <c r="D15" s="58">
        <v>-2993.1170579999998</v>
      </c>
      <c r="E15" s="58">
        <v>-3679.6806489999999</v>
      </c>
      <c r="F15" s="58">
        <v>-3151.9959229999999</v>
      </c>
      <c r="G15" s="58">
        <v>-2964.9696439999998</v>
      </c>
      <c r="H15" s="58">
        <v>-3342.6929150000001</v>
      </c>
      <c r="I15" s="58">
        <v>-3377.3624690000001</v>
      </c>
      <c r="J15" s="58">
        <v>-3727.0918120000001</v>
      </c>
      <c r="K15" s="58">
        <v>-3056.0840710000002</v>
      </c>
      <c r="L15" s="58">
        <v>-3507.7165030000001</v>
      </c>
      <c r="M15" s="58">
        <v>-3147.8981239999998</v>
      </c>
      <c r="N15" s="58">
        <v>-3616.8406690000002</v>
      </c>
      <c r="O15" s="58">
        <v>-4530.5394310000001</v>
      </c>
      <c r="P15" s="58">
        <v>-4794.7434119999998</v>
      </c>
      <c r="Q15" s="58">
        <v>-4144.2064620000001</v>
      </c>
      <c r="R15" s="58">
        <v>-1867.196958</v>
      </c>
      <c r="S15" s="58">
        <v>-1652.067106</v>
      </c>
      <c r="T15" s="58">
        <v>-2339.0876250000001</v>
      </c>
      <c r="U15" s="58">
        <v>-2864.9071920000001</v>
      </c>
      <c r="V15" s="58">
        <v>-1369.448637</v>
      </c>
      <c r="W15" s="58">
        <v>-1028.6752269999999</v>
      </c>
      <c r="X15" s="58">
        <v>-1171.936899</v>
      </c>
      <c r="Y15" s="58">
        <v>-1379.8243319999999</v>
      </c>
      <c r="Z15" s="58">
        <v>-2614.6074100000001</v>
      </c>
      <c r="AA15" s="58">
        <v>-2502.1816450000001</v>
      </c>
      <c r="AB15" s="58">
        <v>-2301.0520529999999</v>
      </c>
      <c r="AC15" s="58">
        <v>-2298.065216</v>
      </c>
      <c r="AD15" s="58">
        <v>-2922.2318</v>
      </c>
      <c r="AE15" s="58">
        <v>-2783.7365669999999</v>
      </c>
      <c r="AF15" s="58">
        <v>-2769.1276250000001</v>
      </c>
      <c r="AG15" s="58">
        <v>-2967.0835790000001</v>
      </c>
      <c r="AH15" s="58">
        <v>-2286.453771</v>
      </c>
      <c r="AI15" s="58">
        <v>-1558.0049260000001</v>
      </c>
      <c r="AJ15" s="58">
        <v>-1993.4914659999999</v>
      </c>
      <c r="AK15" s="58">
        <v>-2208.2590719999998</v>
      </c>
      <c r="AL15" s="58">
        <v>-1034.0066360000001</v>
      </c>
      <c r="AM15" s="58">
        <v>-1347.5848100000001</v>
      </c>
      <c r="AN15" s="58">
        <v>-1525.1087869999999</v>
      </c>
      <c r="AO15" s="58">
        <v>-1405.4947569999999</v>
      </c>
      <c r="AP15" s="58">
        <v>-1720.915438</v>
      </c>
      <c r="AQ15" s="58">
        <v>-1913.735392</v>
      </c>
      <c r="AR15" s="58">
        <v>-1292.8223889999999</v>
      </c>
      <c r="AS15" s="58">
        <v>-522.08468870000002</v>
      </c>
      <c r="AT15" s="58">
        <v>-3209.1215320000001</v>
      </c>
      <c r="AU15" s="58">
        <v>-3167.2878260000002</v>
      </c>
      <c r="AV15" s="58">
        <v>-3469.0306799999998</v>
      </c>
      <c r="AW15" s="58">
        <v>-2262.4728110000001</v>
      </c>
      <c r="AX15" s="58">
        <v>-3663.822721</v>
      </c>
      <c r="AY15" s="58">
        <v>-3394.473133</v>
      </c>
      <c r="AZ15" s="58">
        <v>-3428.6814460000001</v>
      </c>
      <c r="BA15" s="58">
        <v>-3514.5443610000002</v>
      </c>
      <c r="BB15" s="58">
        <v>-3897.032467</v>
      </c>
      <c r="BC15" s="58">
        <v>-3658.1137939999999</v>
      </c>
      <c r="BD15" s="58">
        <v>-3418.057123</v>
      </c>
      <c r="BE15" s="58">
        <v>-4034.4693560000001</v>
      </c>
      <c r="BF15" s="58">
        <v>-3162.3269230000001</v>
      </c>
      <c r="BG15" s="58">
        <v>-3512.9767860000002</v>
      </c>
      <c r="BH15" s="58">
        <v>-4070.5627249999998</v>
      </c>
      <c r="BI15" s="58">
        <v>-4567.2691009999999</v>
      </c>
      <c r="BJ15" s="58">
        <v>-2494.8397209999998</v>
      </c>
      <c r="BK15" s="58">
        <v>-2790.673405</v>
      </c>
      <c r="BL15" s="58">
        <v>-2856.229288</v>
      </c>
      <c r="BM15" s="58">
        <v>-2854.5501039999999</v>
      </c>
      <c r="BN15" s="58">
        <v>-1782.6339929999999</v>
      </c>
      <c r="BO15" s="58">
        <v>-1974.0832089999999</v>
      </c>
      <c r="BP15" s="58">
        <v>-2064.2510520000001</v>
      </c>
      <c r="BQ15" s="58">
        <v>-2364.5539779999999</v>
      </c>
      <c r="BR15" s="58">
        <v>-2427.7414939999999</v>
      </c>
      <c r="BS15" s="58">
        <v>-2814.853447</v>
      </c>
      <c r="BT15" s="58">
        <v>-2477.7325689999998</v>
      </c>
      <c r="BU15" s="58">
        <v>-1929.181979</v>
      </c>
      <c r="BV15" s="58">
        <v>-1919.130813</v>
      </c>
      <c r="BW15" s="58">
        <v>-1867.6294929999999</v>
      </c>
      <c r="BX15" s="58">
        <v>-1836.0798199999999</v>
      </c>
      <c r="BY15" s="58">
        <v>-2238.2176629999999</v>
      </c>
      <c r="BZ15" s="58">
        <v>-1518.267388</v>
      </c>
      <c r="CA15" s="58">
        <v>-1478.6977400000001</v>
      </c>
      <c r="CB15" s="58">
        <v>-1325.1887429999999</v>
      </c>
      <c r="CC15" s="58">
        <v>-1431.530041</v>
      </c>
      <c r="CD15" s="58">
        <v>-1305.3998570000001</v>
      </c>
      <c r="CE15" s="58">
        <v>-1318.2584730000001</v>
      </c>
      <c r="CF15" s="58">
        <v>-1498.8733110000001</v>
      </c>
      <c r="CG15" s="58">
        <v>-1216.5115479999999</v>
      </c>
      <c r="CH15" s="58">
        <v>-1119.211489</v>
      </c>
      <c r="CI15" s="58">
        <v>-925.64665590000004</v>
      </c>
      <c r="CJ15" s="58">
        <v>-997.8534674</v>
      </c>
      <c r="CK15" s="58">
        <v>-972.97001909999994</v>
      </c>
      <c r="CL15" s="58">
        <v>-865.69251850000001</v>
      </c>
      <c r="CM15" s="58">
        <v>-765.93854859999999</v>
      </c>
      <c r="CN15" s="58">
        <v>-813.56778580000002</v>
      </c>
      <c r="CO15" s="58">
        <v>-742.57864559999996</v>
      </c>
      <c r="CP15" s="58">
        <v>-698.75126790000002</v>
      </c>
      <c r="CQ15" s="58">
        <v>-675.43299160000004</v>
      </c>
      <c r="CR15" s="58">
        <v>-619.82909289999998</v>
      </c>
      <c r="CS15" s="58">
        <v>-637.36580949999995</v>
      </c>
      <c r="CT15" s="58">
        <v>-653.40875689999996</v>
      </c>
      <c r="CU15" s="58">
        <v>-632.50020010000003</v>
      </c>
      <c r="CV15" s="58">
        <v>-576.82106829999998</v>
      </c>
      <c r="CW15" s="58">
        <v>-561.06311440000002</v>
      </c>
      <c r="CX15" s="58">
        <v>-610.03741300000002</v>
      </c>
      <c r="CY15" s="58">
        <v>-564.11593019999998</v>
      </c>
      <c r="CZ15" s="58">
        <v>-536.98192949999998</v>
      </c>
      <c r="DA15" s="58">
        <v>-445.30655039999999</v>
      </c>
    </row>
    <row r="16" spans="1:105">
      <c r="A16" s="57" t="s">
        <v>420</v>
      </c>
      <c r="B16" s="58">
        <v>2388.6843453000001</v>
      </c>
      <c r="C16" s="58">
        <v>2470.1048178999999</v>
      </c>
      <c r="D16" s="58">
        <v>2544.6486054000002</v>
      </c>
      <c r="E16" s="58">
        <v>2428.7673816000001</v>
      </c>
      <c r="F16" s="58">
        <v>2366.2631854000001</v>
      </c>
      <c r="G16" s="58">
        <v>2476.1916774000001</v>
      </c>
      <c r="H16" s="58">
        <v>2365.6555388000002</v>
      </c>
      <c r="I16" s="58">
        <v>2276.2239184</v>
      </c>
      <c r="J16" s="58">
        <v>2174.487376</v>
      </c>
      <c r="K16" s="58">
        <v>2359.6029152000001</v>
      </c>
      <c r="L16" s="58">
        <v>2161.5910238000001</v>
      </c>
      <c r="M16" s="58">
        <v>2267.3252209000002</v>
      </c>
      <c r="N16" s="58">
        <v>1575.3749926999999</v>
      </c>
      <c r="O16" s="58">
        <v>1731.240603</v>
      </c>
      <c r="P16" s="58">
        <v>1733.5132263999999</v>
      </c>
      <c r="Q16" s="58">
        <v>1934.7404471</v>
      </c>
      <c r="R16" s="58">
        <v>1377.3904333999999</v>
      </c>
      <c r="S16" s="58">
        <v>1568.0820086000001</v>
      </c>
      <c r="T16" s="58">
        <v>1303.9248004000001</v>
      </c>
      <c r="U16" s="58">
        <v>1682.8750783</v>
      </c>
      <c r="V16" s="58">
        <v>1139.5424051</v>
      </c>
      <c r="W16" s="58">
        <v>1059.8226612000001</v>
      </c>
      <c r="X16" s="58">
        <v>1120.8684171</v>
      </c>
      <c r="Y16" s="58">
        <v>1222.3804849999999</v>
      </c>
      <c r="Z16" s="58">
        <v>1764.8598543999999</v>
      </c>
      <c r="AA16" s="58">
        <v>1810.3508904</v>
      </c>
      <c r="AB16" s="58">
        <v>1721.4425814000001</v>
      </c>
      <c r="AC16" s="58">
        <v>1680.4629777</v>
      </c>
      <c r="AD16" s="58">
        <v>1513.1748554000001</v>
      </c>
      <c r="AE16" s="58">
        <v>1544.8879810000001</v>
      </c>
      <c r="AF16" s="58">
        <v>1540.9084508999999</v>
      </c>
      <c r="AG16" s="58">
        <v>1578.2334166999999</v>
      </c>
      <c r="AH16" s="58">
        <v>1309.4512187</v>
      </c>
      <c r="AI16" s="58">
        <v>1442.1774283</v>
      </c>
      <c r="AJ16" s="58">
        <v>1384.2451913</v>
      </c>
      <c r="AK16" s="58">
        <v>1440.740188</v>
      </c>
      <c r="AL16" s="58">
        <v>1209.9490675</v>
      </c>
      <c r="AM16" s="58">
        <v>1225.3533035</v>
      </c>
      <c r="AN16" s="58">
        <v>1231.5929484000001</v>
      </c>
      <c r="AO16" s="58">
        <v>1327.0906646999999</v>
      </c>
      <c r="AP16" s="58">
        <v>1155.7619189</v>
      </c>
      <c r="AQ16" s="58">
        <v>1178.1635546</v>
      </c>
      <c r="AR16" s="58">
        <v>1151.1191753999999</v>
      </c>
      <c r="AS16" s="58">
        <v>1109.7488396000001</v>
      </c>
      <c r="AT16" s="58">
        <v>953.14785002999997</v>
      </c>
      <c r="AU16" s="58">
        <v>1090.6132984999999</v>
      </c>
      <c r="AV16" s="58">
        <v>1200.6631276000001</v>
      </c>
      <c r="AW16" s="58">
        <v>1167.6113746000001</v>
      </c>
      <c r="AX16" s="58">
        <v>956.91295866999997</v>
      </c>
      <c r="AY16" s="58">
        <v>923.92764213999999</v>
      </c>
      <c r="AZ16" s="58">
        <v>943.29341580000005</v>
      </c>
      <c r="BA16" s="58">
        <v>1022.2372826</v>
      </c>
      <c r="BB16" s="58">
        <v>961.21963876999996</v>
      </c>
      <c r="BC16" s="58">
        <v>961.59485228999995</v>
      </c>
      <c r="BD16" s="58">
        <v>976.94924211</v>
      </c>
      <c r="BE16" s="58">
        <v>951.59962344999997</v>
      </c>
      <c r="BF16" s="58">
        <v>650.35023502000001</v>
      </c>
      <c r="BG16" s="58">
        <v>780.48581634000004</v>
      </c>
      <c r="BH16" s="58">
        <v>702.44128554999998</v>
      </c>
      <c r="BI16" s="58">
        <v>821.17796555999996</v>
      </c>
      <c r="BJ16" s="58">
        <v>451.09522231</v>
      </c>
      <c r="BK16" s="58">
        <v>450.47455277</v>
      </c>
      <c r="BL16" s="58">
        <v>438.15085006999999</v>
      </c>
      <c r="BM16" s="58">
        <v>573.62002447999998</v>
      </c>
      <c r="BN16" s="58">
        <v>400.90678128000002</v>
      </c>
      <c r="BO16" s="58">
        <v>496.92655711999998</v>
      </c>
      <c r="BP16" s="58">
        <v>439.83682988999999</v>
      </c>
      <c r="BQ16" s="58">
        <v>443.70300154</v>
      </c>
      <c r="BR16" s="58">
        <v>488.16404460000001</v>
      </c>
      <c r="BS16" s="58">
        <v>475.98920243999999</v>
      </c>
      <c r="BT16" s="58">
        <v>450.08846875</v>
      </c>
      <c r="BU16" s="58">
        <v>438.71129316999998</v>
      </c>
      <c r="BV16" s="58">
        <v>427.13051110999999</v>
      </c>
      <c r="BW16" s="58">
        <v>477.82130304999998</v>
      </c>
      <c r="BX16" s="58">
        <v>480.45997477999998</v>
      </c>
      <c r="BY16" s="58">
        <v>461.66835336999998</v>
      </c>
      <c r="BZ16" s="58">
        <v>324.86519629999998</v>
      </c>
      <c r="CA16" s="58">
        <v>358.69918254999999</v>
      </c>
      <c r="CB16" s="58">
        <v>386.15434189000001</v>
      </c>
      <c r="CC16" s="58">
        <v>442.73010359</v>
      </c>
      <c r="CD16" s="58">
        <v>222.17533854999999</v>
      </c>
      <c r="CE16" s="58">
        <v>221.52324598000001</v>
      </c>
      <c r="CF16" s="58">
        <v>269.81392185999999</v>
      </c>
      <c r="CG16" s="58">
        <v>296.15660717999998</v>
      </c>
      <c r="CH16" s="58">
        <v>149.56643116000001</v>
      </c>
      <c r="CI16" s="58">
        <v>176.40225767999999</v>
      </c>
      <c r="CJ16" s="58">
        <v>180.86869808</v>
      </c>
      <c r="CK16" s="58">
        <v>202.70768974000001</v>
      </c>
      <c r="CL16" s="58">
        <v>136.37425689</v>
      </c>
      <c r="CM16" s="58">
        <v>133.51492289000001</v>
      </c>
      <c r="CN16" s="58">
        <v>148.59657480999999</v>
      </c>
      <c r="CO16" s="58">
        <v>143.52320788</v>
      </c>
      <c r="CP16" s="58">
        <v>187.54859536999999</v>
      </c>
      <c r="CQ16" s="58">
        <v>183.65364840999999</v>
      </c>
      <c r="CR16" s="58">
        <v>169.08271887999999</v>
      </c>
      <c r="CS16" s="58">
        <v>162.69448696000001</v>
      </c>
      <c r="CT16" s="58">
        <v>256.60201547999998</v>
      </c>
      <c r="CU16" s="58">
        <v>232.77117967000001</v>
      </c>
      <c r="CV16" s="58">
        <v>209.27349305000001</v>
      </c>
      <c r="CW16" s="58">
        <v>201.30065195</v>
      </c>
      <c r="CX16" s="58">
        <v>241.53644972000001</v>
      </c>
      <c r="CY16" s="58">
        <v>239.85367389000001</v>
      </c>
      <c r="CZ16" s="58">
        <v>258.01107811000003</v>
      </c>
      <c r="DA16" s="58">
        <v>290.29704973999998</v>
      </c>
    </row>
    <row r="17" spans="1:105">
      <c r="A17" s="57" t="s">
        <v>421</v>
      </c>
      <c r="B17" s="58">
        <v>5381.5445732999997</v>
      </c>
      <c r="C17" s="58">
        <v>5250.4021464999996</v>
      </c>
      <c r="D17" s="58">
        <v>5537.7656636000002</v>
      </c>
      <c r="E17" s="58">
        <v>6108.4480304999997</v>
      </c>
      <c r="F17" s="58">
        <v>5518.2591080000002</v>
      </c>
      <c r="G17" s="58">
        <v>5441.1613211000004</v>
      </c>
      <c r="H17" s="58">
        <v>5708.3484539999999</v>
      </c>
      <c r="I17" s="58">
        <v>5653.5863869000004</v>
      </c>
      <c r="J17" s="58">
        <v>5901.5791883000002</v>
      </c>
      <c r="K17" s="58">
        <v>5415.6869864</v>
      </c>
      <c r="L17" s="58">
        <v>5669.3075268000002</v>
      </c>
      <c r="M17" s="58">
        <v>5415.2233444000003</v>
      </c>
      <c r="N17" s="58">
        <v>5192.2156616000002</v>
      </c>
      <c r="O17" s="58">
        <v>6261.7800338999996</v>
      </c>
      <c r="P17" s="58">
        <v>6528.2566380999997</v>
      </c>
      <c r="Q17" s="58">
        <v>6078.9469093999996</v>
      </c>
      <c r="R17" s="58">
        <v>3244.5873918000002</v>
      </c>
      <c r="S17" s="58">
        <v>3220.1491148999999</v>
      </c>
      <c r="T17" s="58">
        <v>3643.0124257000002</v>
      </c>
      <c r="U17" s="58">
        <v>4547.7822698999998</v>
      </c>
      <c r="V17" s="58">
        <v>2508.9910423000001</v>
      </c>
      <c r="W17" s="58">
        <v>2088.4978887000002</v>
      </c>
      <c r="X17" s="58">
        <v>2292.8053157999998</v>
      </c>
      <c r="Y17" s="58">
        <v>2602.2048166999998</v>
      </c>
      <c r="Z17" s="58">
        <v>4379.4672645999999</v>
      </c>
      <c r="AA17" s="58">
        <v>4312.5325355000004</v>
      </c>
      <c r="AB17" s="58">
        <v>4022.4946344999998</v>
      </c>
      <c r="AC17" s="58">
        <v>3978.528194</v>
      </c>
      <c r="AD17" s="58">
        <v>4435.4066554000001</v>
      </c>
      <c r="AE17" s="58">
        <v>4328.6245479999998</v>
      </c>
      <c r="AF17" s="58">
        <v>4310.0360754000003</v>
      </c>
      <c r="AG17" s="58">
        <v>4545.3169952999997</v>
      </c>
      <c r="AH17" s="58">
        <v>3595.9049897999998</v>
      </c>
      <c r="AI17" s="58">
        <v>3000.182354</v>
      </c>
      <c r="AJ17" s="58">
        <v>3377.7366578000001</v>
      </c>
      <c r="AK17" s="58">
        <v>3648.9992602000002</v>
      </c>
      <c r="AL17" s="58">
        <v>2243.9557033999999</v>
      </c>
      <c r="AM17" s="58">
        <v>2572.9381136000002</v>
      </c>
      <c r="AN17" s="58">
        <v>2756.7017357</v>
      </c>
      <c r="AO17" s="58">
        <v>2732.5854218999998</v>
      </c>
      <c r="AP17" s="58">
        <v>2876.6773570999999</v>
      </c>
      <c r="AQ17" s="58">
        <v>3091.8989462999998</v>
      </c>
      <c r="AR17" s="58">
        <v>2443.9415643000002</v>
      </c>
      <c r="AS17" s="58">
        <v>1631.8335282999999</v>
      </c>
      <c r="AT17" s="58">
        <v>4162.2693823</v>
      </c>
      <c r="AU17" s="58">
        <v>4257.901124</v>
      </c>
      <c r="AV17" s="58">
        <v>4669.6938079000001</v>
      </c>
      <c r="AW17" s="58">
        <v>3430.0841859000002</v>
      </c>
      <c r="AX17" s="58">
        <v>4620.7356800999996</v>
      </c>
      <c r="AY17" s="58">
        <v>4318.4007755000002</v>
      </c>
      <c r="AZ17" s="58">
        <v>4371.9748620999999</v>
      </c>
      <c r="BA17" s="58">
        <v>4536.7816432</v>
      </c>
      <c r="BB17" s="58">
        <v>4858.2521053999999</v>
      </c>
      <c r="BC17" s="58">
        <v>4619.708646</v>
      </c>
      <c r="BD17" s="58">
        <v>4395.0063650000002</v>
      </c>
      <c r="BE17" s="58">
        <v>4986.0689792000003</v>
      </c>
      <c r="BF17" s="58">
        <v>3812.6771583</v>
      </c>
      <c r="BG17" s="58">
        <v>4293.4626018999998</v>
      </c>
      <c r="BH17" s="58">
        <v>4773.0040108000003</v>
      </c>
      <c r="BI17" s="58">
        <v>5388.4470665999997</v>
      </c>
      <c r="BJ17" s="58">
        <v>2945.9349437999999</v>
      </c>
      <c r="BK17" s="58">
        <v>3241.1479577</v>
      </c>
      <c r="BL17" s="58">
        <v>3294.3801383999999</v>
      </c>
      <c r="BM17" s="58">
        <v>3428.1701286000002</v>
      </c>
      <c r="BN17" s="58">
        <v>2183.5407742000002</v>
      </c>
      <c r="BO17" s="58">
        <v>2471.0097664999998</v>
      </c>
      <c r="BP17" s="58">
        <v>2504.0878822999998</v>
      </c>
      <c r="BQ17" s="58">
        <v>2808.2569792999998</v>
      </c>
      <c r="BR17" s="58">
        <v>2915.9055383</v>
      </c>
      <c r="BS17" s="58">
        <v>3290.8426496000002</v>
      </c>
      <c r="BT17" s="58">
        <v>2927.8210377999999</v>
      </c>
      <c r="BU17" s="58">
        <v>2367.8932721000001</v>
      </c>
      <c r="BV17" s="58">
        <v>2346.2613243999999</v>
      </c>
      <c r="BW17" s="58">
        <v>2345.4507956000002</v>
      </c>
      <c r="BX17" s="58">
        <v>2316.5397944000001</v>
      </c>
      <c r="BY17" s="58">
        <v>2699.8860168000001</v>
      </c>
      <c r="BZ17" s="58">
        <v>1843.1325846</v>
      </c>
      <c r="CA17" s="58">
        <v>1837.3969222999999</v>
      </c>
      <c r="CB17" s="58">
        <v>1711.3430847</v>
      </c>
      <c r="CC17" s="58">
        <v>1874.2601443999999</v>
      </c>
      <c r="CD17" s="58">
        <v>1527.5751952999999</v>
      </c>
      <c r="CE17" s="58">
        <v>1539.7817187000001</v>
      </c>
      <c r="CF17" s="58">
        <v>1768.6872329</v>
      </c>
      <c r="CG17" s="58">
        <v>1512.6681549</v>
      </c>
      <c r="CH17" s="58">
        <v>1268.7779204999999</v>
      </c>
      <c r="CI17" s="58">
        <v>1102.0489135</v>
      </c>
      <c r="CJ17" s="58">
        <v>1178.7221654</v>
      </c>
      <c r="CK17" s="58">
        <v>1175.6777089</v>
      </c>
      <c r="CL17" s="58">
        <v>1002.0667754</v>
      </c>
      <c r="CM17" s="58">
        <v>899.45347149999998</v>
      </c>
      <c r="CN17" s="58">
        <v>962.16436066000006</v>
      </c>
      <c r="CO17" s="58">
        <v>886.10185349000005</v>
      </c>
      <c r="CP17" s="58">
        <v>886.29986330999998</v>
      </c>
      <c r="CQ17" s="58">
        <v>859.08664004000002</v>
      </c>
      <c r="CR17" s="58">
        <v>788.91181179</v>
      </c>
      <c r="CS17" s="58">
        <v>800.06029642999999</v>
      </c>
      <c r="CT17" s="58">
        <v>910.01077237000004</v>
      </c>
      <c r="CU17" s="58">
        <v>865.27137975000005</v>
      </c>
      <c r="CV17" s="58">
        <v>786.09456134000004</v>
      </c>
      <c r="CW17" s="58">
        <v>762.36376637000001</v>
      </c>
      <c r="CX17" s="58">
        <v>851.57386272999997</v>
      </c>
      <c r="CY17" s="58">
        <v>803.96960412999999</v>
      </c>
      <c r="CZ17" s="58">
        <v>794.99300765999999</v>
      </c>
      <c r="DA17" s="58">
        <v>735.60360016000004</v>
      </c>
    </row>
    <row r="18" spans="1:105">
      <c r="A18" s="57" t="s">
        <v>422</v>
      </c>
      <c r="B18" s="58">
        <v>3846.2213740000002</v>
      </c>
      <c r="C18" s="58">
        <v>4150.9926160000005</v>
      </c>
      <c r="D18" s="58">
        <v>4212.9061881999996</v>
      </c>
      <c r="E18" s="58">
        <v>4224.4137560999998</v>
      </c>
      <c r="F18" s="58">
        <v>3331.0706616000002</v>
      </c>
      <c r="G18" s="58">
        <v>3896.7697896999998</v>
      </c>
      <c r="H18" s="58">
        <v>4073.2696314999998</v>
      </c>
      <c r="I18" s="58">
        <v>4206.0449349</v>
      </c>
      <c r="J18" s="58">
        <v>3094.4083856000002</v>
      </c>
      <c r="K18" s="58">
        <v>3029.1708956000002</v>
      </c>
      <c r="L18" s="58">
        <v>3364.7879063</v>
      </c>
      <c r="M18" s="58">
        <v>3433.6791029999999</v>
      </c>
      <c r="N18" s="58">
        <v>3176.4941878999998</v>
      </c>
      <c r="O18" s="58">
        <v>2828.6900346000002</v>
      </c>
      <c r="P18" s="58">
        <v>3103.6650636999998</v>
      </c>
      <c r="Q18" s="58">
        <v>3192.6166724999998</v>
      </c>
      <c r="R18" s="58">
        <v>2450.1725879999999</v>
      </c>
      <c r="S18" s="58">
        <v>2626.5442598999998</v>
      </c>
      <c r="T18" s="58">
        <v>2762.9165349999998</v>
      </c>
      <c r="U18" s="58">
        <v>2934.9017116999999</v>
      </c>
      <c r="V18" s="58">
        <v>2172.6004108000002</v>
      </c>
      <c r="W18" s="58">
        <v>1717.6136594</v>
      </c>
      <c r="X18" s="58">
        <v>2422.430918</v>
      </c>
      <c r="Y18" s="58">
        <v>2475.1777738999999</v>
      </c>
      <c r="Z18" s="58">
        <v>1931.7589085</v>
      </c>
      <c r="AA18" s="58">
        <v>2281.0601210999998</v>
      </c>
      <c r="AB18" s="58">
        <v>2404.4454276000001</v>
      </c>
      <c r="AC18" s="58">
        <v>2438.136348</v>
      </c>
      <c r="AD18" s="58">
        <v>1739.2856293</v>
      </c>
      <c r="AE18" s="58">
        <v>1870.0891200999999</v>
      </c>
      <c r="AF18" s="58">
        <v>2035.04386</v>
      </c>
      <c r="AG18" s="58">
        <v>2312.9921853999999</v>
      </c>
      <c r="AH18" s="58">
        <v>1526.5953278</v>
      </c>
      <c r="AI18" s="58">
        <v>1683.8419151000001</v>
      </c>
      <c r="AJ18" s="58">
        <v>1758.8416904000001</v>
      </c>
      <c r="AK18" s="58">
        <v>1914.0737128999999</v>
      </c>
      <c r="AL18" s="58">
        <v>1480.0901391</v>
      </c>
      <c r="AM18" s="58">
        <v>1488.3853611</v>
      </c>
      <c r="AN18" s="58">
        <v>1483.9576632000001</v>
      </c>
      <c r="AO18" s="58">
        <v>1724.3295611000001</v>
      </c>
      <c r="AP18" s="58">
        <v>1298.0344766000001</v>
      </c>
      <c r="AQ18" s="58">
        <v>1272.4519737999999</v>
      </c>
      <c r="AR18" s="58">
        <v>1628.8009307</v>
      </c>
      <c r="AS18" s="58">
        <v>1552.4223758000001</v>
      </c>
      <c r="AT18" s="58">
        <v>1049.6086455</v>
      </c>
      <c r="AU18" s="58">
        <v>1040.7295621999999</v>
      </c>
      <c r="AV18" s="58">
        <v>1164.3160259000001</v>
      </c>
      <c r="AW18" s="58">
        <v>1366.9894595999999</v>
      </c>
      <c r="AX18" s="58">
        <v>1052.3514877</v>
      </c>
      <c r="AY18" s="58">
        <v>1270.4129800000001</v>
      </c>
      <c r="AZ18" s="58">
        <v>1296.9485926</v>
      </c>
      <c r="BA18" s="58">
        <v>1267.1767098</v>
      </c>
      <c r="BB18" s="58">
        <v>1153.6977425</v>
      </c>
      <c r="BC18" s="58">
        <v>1242.9003623999999</v>
      </c>
      <c r="BD18" s="58">
        <v>1163.0750925</v>
      </c>
      <c r="BE18" s="58">
        <v>1272.9928597000001</v>
      </c>
      <c r="BF18" s="58">
        <v>1152.7746652999999</v>
      </c>
      <c r="BG18" s="58">
        <v>1167.3182276</v>
      </c>
      <c r="BH18" s="58">
        <v>1390.5176182</v>
      </c>
      <c r="BI18" s="58">
        <v>1340.4498601</v>
      </c>
      <c r="BJ18" s="58">
        <v>976.05376853999996</v>
      </c>
      <c r="BK18" s="58">
        <v>1159.9428978000001</v>
      </c>
      <c r="BL18" s="58">
        <v>1170.9765456</v>
      </c>
      <c r="BM18" s="58">
        <v>1352.4553228</v>
      </c>
      <c r="BN18" s="58">
        <v>1200.6486625</v>
      </c>
      <c r="BO18" s="58">
        <v>1084.7787513000001</v>
      </c>
      <c r="BP18" s="58">
        <v>1061.7968205</v>
      </c>
      <c r="BQ18" s="58">
        <v>1211.0147992</v>
      </c>
      <c r="BR18" s="58">
        <v>1292.619972</v>
      </c>
      <c r="BS18" s="58">
        <v>1360.8415703999999</v>
      </c>
      <c r="BT18" s="58">
        <v>1465.9887629</v>
      </c>
      <c r="BU18" s="58">
        <v>1335.1709860000001</v>
      </c>
      <c r="BV18" s="58">
        <v>1183.4029969999999</v>
      </c>
      <c r="BW18" s="58">
        <v>1127.8206068</v>
      </c>
      <c r="BX18" s="58">
        <v>1321.6806732</v>
      </c>
      <c r="BY18" s="58">
        <v>1519.9865407</v>
      </c>
      <c r="BZ18" s="58">
        <v>1050.4326721</v>
      </c>
      <c r="CA18" s="58">
        <v>1208.096061</v>
      </c>
      <c r="CB18" s="58">
        <v>1203.2803575</v>
      </c>
      <c r="CC18" s="58">
        <v>1252.3827685000001</v>
      </c>
      <c r="CD18" s="58">
        <v>891.93572175999998</v>
      </c>
      <c r="CE18" s="58">
        <v>1044.3091025000001</v>
      </c>
      <c r="CF18" s="58">
        <v>1033.8955956</v>
      </c>
      <c r="CG18" s="58">
        <v>1111.7544473999999</v>
      </c>
      <c r="CH18" s="58">
        <v>811.65673193999999</v>
      </c>
      <c r="CI18" s="58">
        <v>889.59571659999995</v>
      </c>
      <c r="CJ18" s="58">
        <v>940.84758592000003</v>
      </c>
      <c r="CK18" s="58">
        <v>1082.1593321</v>
      </c>
      <c r="CL18" s="58">
        <v>730.61343625999996</v>
      </c>
      <c r="CM18" s="58">
        <v>803.73388905000002</v>
      </c>
      <c r="CN18" s="58">
        <v>890.40941565000003</v>
      </c>
      <c r="CO18" s="58">
        <v>883.74760397</v>
      </c>
      <c r="CP18" s="58">
        <v>579.64461097000003</v>
      </c>
      <c r="CQ18" s="58">
        <v>630.30854158</v>
      </c>
      <c r="CR18" s="58">
        <v>726.64455555999996</v>
      </c>
      <c r="CS18" s="58">
        <v>719.20731159000002</v>
      </c>
      <c r="CT18" s="58">
        <v>464.07191406999999</v>
      </c>
      <c r="CU18" s="58">
        <v>670.97035974999994</v>
      </c>
      <c r="CV18" s="58">
        <v>591.13055254999995</v>
      </c>
      <c r="CW18" s="58">
        <v>627.83076387000006</v>
      </c>
      <c r="CX18" s="58">
        <v>441.02456458</v>
      </c>
      <c r="CY18" s="58">
        <v>373.44448753</v>
      </c>
      <c r="CZ18" s="58">
        <v>416.27231776000002</v>
      </c>
      <c r="DA18" s="58">
        <v>442.43762255000001</v>
      </c>
    </row>
    <row r="19" spans="1:105">
      <c r="A19" s="57" t="s">
        <v>420</v>
      </c>
      <c r="B19" s="58">
        <v>4201.6575628000001</v>
      </c>
      <c r="C19" s="58">
        <v>4530.4848374000003</v>
      </c>
      <c r="D19" s="58">
        <v>4592.9691603000001</v>
      </c>
      <c r="E19" s="58">
        <v>4669.4376007000001</v>
      </c>
      <c r="F19" s="58">
        <v>3732.4665298</v>
      </c>
      <c r="G19" s="58">
        <v>4347.1254823999998</v>
      </c>
      <c r="H19" s="58">
        <v>4486.5567727999996</v>
      </c>
      <c r="I19" s="58">
        <v>4559.7639267000004</v>
      </c>
      <c r="J19" s="58">
        <v>3404.0873482000002</v>
      </c>
      <c r="K19" s="58">
        <v>3396.7601881000001</v>
      </c>
      <c r="L19" s="58">
        <v>3769.7043084000002</v>
      </c>
      <c r="M19" s="58">
        <v>3841.9598857000001</v>
      </c>
      <c r="N19" s="58">
        <v>3505.9490526999998</v>
      </c>
      <c r="O19" s="58">
        <v>3207.3935726</v>
      </c>
      <c r="P19" s="58">
        <v>3429.9279921000002</v>
      </c>
      <c r="Q19" s="58">
        <v>3537.9079333999998</v>
      </c>
      <c r="R19" s="58">
        <v>2701.8917058000002</v>
      </c>
      <c r="S19" s="58">
        <v>2924.3154426000001</v>
      </c>
      <c r="T19" s="58">
        <v>3069.7297832999998</v>
      </c>
      <c r="U19" s="58">
        <v>3240.9149984000001</v>
      </c>
      <c r="V19" s="58">
        <v>2398.5189472000002</v>
      </c>
      <c r="W19" s="58">
        <v>1887.4979255000001</v>
      </c>
      <c r="X19" s="58">
        <v>2621.9887812000002</v>
      </c>
      <c r="Y19" s="58">
        <v>2745.9479075999998</v>
      </c>
      <c r="Z19" s="58">
        <v>2159.5158676999999</v>
      </c>
      <c r="AA19" s="58">
        <v>2513.5373571</v>
      </c>
      <c r="AB19" s="58">
        <v>2648.7281803999999</v>
      </c>
      <c r="AC19" s="58">
        <v>2695.4210591000001</v>
      </c>
      <c r="AD19" s="58">
        <v>1976.5886072999999</v>
      </c>
      <c r="AE19" s="58">
        <v>2118.3048585000001</v>
      </c>
      <c r="AF19" s="58">
        <v>2261.5339872</v>
      </c>
      <c r="AG19" s="58">
        <v>2542.0811005999999</v>
      </c>
      <c r="AH19" s="58">
        <v>1743.6132542</v>
      </c>
      <c r="AI19" s="58">
        <v>1902.3206442000001</v>
      </c>
      <c r="AJ19" s="58">
        <v>1976.6663241000001</v>
      </c>
      <c r="AK19" s="58">
        <v>2134.2145215</v>
      </c>
      <c r="AL19" s="58">
        <v>1660.3991550999999</v>
      </c>
      <c r="AM19" s="58">
        <v>1690.0407622</v>
      </c>
      <c r="AN19" s="58">
        <v>1705.8020911000001</v>
      </c>
      <c r="AO19" s="58">
        <v>1928.5436794</v>
      </c>
      <c r="AP19" s="58">
        <v>1509.1200684</v>
      </c>
      <c r="AQ19" s="58">
        <v>1489.5292480999999</v>
      </c>
      <c r="AR19" s="58">
        <v>1818.9611723</v>
      </c>
      <c r="AS19" s="58">
        <v>1747.5373321</v>
      </c>
      <c r="AT19" s="58">
        <v>1367.1421327</v>
      </c>
      <c r="AU19" s="58">
        <v>1340.9744751999999</v>
      </c>
      <c r="AV19" s="58">
        <v>1450.9366222000001</v>
      </c>
      <c r="AW19" s="58">
        <v>1612.4125486</v>
      </c>
      <c r="AX19" s="58">
        <v>1327.5918296</v>
      </c>
      <c r="AY19" s="58">
        <v>1537.7337906</v>
      </c>
      <c r="AZ19" s="58">
        <v>1575.2458763</v>
      </c>
      <c r="BA19" s="58">
        <v>1566.6903087000001</v>
      </c>
      <c r="BB19" s="58">
        <v>1420.7073903</v>
      </c>
      <c r="BC19" s="58">
        <v>1523.3585889999999</v>
      </c>
      <c r="BD19" s="58">
        <v>1443.0513661</v>
      </c>
      <c r="BE19" s="58">
        <v>1566.7928360999999</v>
      </c>
      <c r="BF19" s="58">
        <v>1381.2586219</v>
      </c>
      <c r="BG19" s="58">
        <v>1439.7646404</v>
      </c>
      <c r="BH19" s="58">
        <v>1654.0448633999999</v>
      </c>
      <c r="BI19" s="58">
        <v>1599.9046097999999</v>
      </c>
      <c r="BJ19" s="58">
        <v>1219.9252064</v>
      </c>
      <c r="BK19" s="58">
        <v>1393.6899738</v>
      </c>
      <c r="BL19" s="58">
        <v>1416.3145426999999</v>
      </c>
      <c r="BM19" s="58">
        <v>1592.7684174999999</v>
      </c>
      <c r="BN19" s="58">
        <v>1318.4192955999999</v>
      </c>
      <c r="BO19" s="58">
        <v>1246.2390720000001</v>
      </c>
      <c r="BP19" s="58">
        <v>1220.4193229</v>
      </c>
      <c r="BQ19" s="58">
        <v>1412.6891215000001</v>
      </c>
      <c r="BR19" s="58">
        <v>1375.9317894999999</v>
      </c>
      <c r="BS19" s="58">
        <v>1479.3542620000001</v>
      </c>
      <c r="BT19" s="58">
        <v>1563.2143804</v>
      </c>
      <c r="BU19" s="58">
        <v>1422.2261068</v>
      </c>
      <c r="BV19" s="58">
        <v>1280.5023839</v>
      </c>
      <c r="BW19" s="58">
        <v>1238.8269668</v>
      </c>
      <c r="BX19" s="58">
        <v>1431.3367268</v>
      </c>
      <c r="BY19" s="58">
        <v>1628.0535649000001</v>
      </c>
      <c r="BZ19" s="58">
        <v>1113.3189377000001</v>
      </c>
      <c r="CA19" s="58">
        <v>1296.2513501000001</v>
      </c>
      <c r="CB19" s="58">
        <v>1266.0945082000001</v>
      </c>
      <c r="CC19" s="58">
        <v>1332.3945199</v>
      </c>
      <c r="CD19" s="58">
        <v>942.03213693999999</v>
      </c>
      <c r="CE19" s="58">
        <v>1098.1904248999999</v>
      </c>
      <c r="CF19" s="58">
        <v>1108.2187234</v>
      </c>
      <c r="CG19" s="58">
        <v>1193.7861492</v>
      </c>
      <c r="CH19" s="58">
        <v>875.03753383000003</v>
      </c>
      <c r="CI19" s="58">
        <v>960.28100769000002</v>
      </c>
      <c r="CJ19" s="58">
        <v>986.75287420999996</v>
      </c>
      <c r="CK19" s="58">
        <v>1171.7134561</v>
      </c>
      <c r="CL19" s="58">
        <v>797.29088768999998</v>
      </c>
      <c r="CM19" s="58">
        <v>854.11732484000004</v>
      </c>
      <c r="CN19" s="58">
        <v>958.69303165999997</v>
      </c>
      <c r="CO19" s="58">
        <v>954.41533751999998</v>
      </c>
      <c r="CP19" s="58">
        <v>646.60513234999996</v>
      </c>
      <c r="CQ19" s="58">
        <v>708.97828594999999</v>
      </c>
      <c r="CR19" s="58">
        <v>793.14530176999995</v>
      </c>
      <c r="CS19" s="58">
        <v>811.32101833000002</v>
      </c>
      <c r="CT19" s="58">
        <v>524.16956740000001</v>
      </c>
      <c r="CU19" s="58">
        <v>735.67032657000004</v>
      </c>
      <c r="CV19" s="58">
        <v>668.73892793000005</v>
      </c>
      <c r="CW19" s="58">
        <v>726.95136477999995</v>
      </c>
      <c r="CX19" s="58">
        <v>492.98923558000001</v>
      </c>
      <c r="CY19" s="58">
        <v>430.43759913000002</v>
      </c>
      <c r="CZ19" s="58">
        <v>491.96887049999998</v>
      </c>
      <c r="DA19" s="58">
        <v>495.99234203999998</v>
      </c>
    </row>
    <row r="20" spans="1:105">
      <c r="A20" s="57" t="s">
        <v>421</v>
      </c>
      <c r="B20" s="58">
        <v>355.43618872000002</v>
      </c>
      <c r="C20" s="58">
        <v>379.49222143999998</v>
      </c>
      <c r="D20" s="58">
        <v>380.06297212999999</v>
      </c>
      <c r="E20" s="58">
        <v>445.02384465</v>
      </c>
      <c r="F20" s="58">
        <v>401.39586825999999</v>
      </c>
      <c r="G20" s="58">
        <v>450.35569268</v>
      </c>
      <c r="H20" s="58">
        <v>413.28714123999998</v>
      </c>
      <c r="I20" s="58">
        <v>353.71899180000003</v>
      </c>
      <c r="J20" s="58">
        <v>309.67896263</v>
      </c>
      <c r="K20" s="58">
        <v>367.5892925</v>
      </c>
      <c r="L20" s="58">
        <v>404.91640203999998</v>
      </c>
      <c r="M20" s="58">
        <v>408.28078277999998</v>
      </c>
      <c r="N20" s="58">
        <v>329.45486478999999</v>
      </c>
      <c r="O20" s="58">
        <v>378.70353797000001</v>
      </c>
      <c r="P20" s="58">
        <v>326.26292846000001</v>
      </c>
      <c r="Q20" s="58">
        <v>345.29126088999999</v>
      </c>
      <c r="R20" s="58">
        <v>251.71911782000001</v>
      </c>
      <c r="S20" s="58">
        <v>297.77118272000001</v>
      </c>
      <c r="T20" s="58">
        <v>306.81324833999997</v>
      </c>
      <c r="U20" s="58">
        <v>306.01328674000001</v>
      </c>
      <c r="V20" s="58">
        <v>225.91853634</v>
      </c>
      <c r="W20" s="58">
        <v>169.88426615</v>
      </c>
      <c r="X20" s="58">
        <v>199.55786318</v>
      </c>
      <c r="Y20" s="58">
        <v>270.77013367000001</v>
      </c>
      <c r="Z20" s="58">
        <v>227.75695920999999</v>
      </c>
      <c r="AA20" s="58">
        <v>232.47723597000001</v>
      </c>
      <c r="AB20" s="58">
        <v>244.28275282999999</v>
      </c>
      <c r="AC20" s="58">
        <v>257.28471110999999</v>
      </c>
      <c r="AD20" s="58">
        <v>237.30297802000001</v>
      </c>
      <c r="AE20" s="58">
        <v>248.21573838</v>
      </c>
      <c r="AF20" s="58">
        <v>226.49012716999999</v>
      </c>
      <c r="AG20" s="58">
        <v>229.08891525000001</v>
      </c>
      <c r="AH20" s="58">
        <v>217.01792638000001</v>
      </c>
      <c r="AI20" s="58">
        <v>218.47872909</v>
      </c>
      <c r="AJ20" s="58">
        <v>217.82463375</v>
      </c>
      <c r="AK20" s="58">
        <v>220.14080860000001</v>
      </c>
      <c r="AL20" s="58">
        <v>180.30901593999999</v>
      </c>
      <c r="AM20" s="58">
        <v>201.65540116</v>
      </c>
      <c r="AN20" s="58">
        <v>221.84442791999999</v>
      </c>
      <c r="AO20" s="58">
        <v>204.21411828000001</v>
      </c>
      <c r="AP20" s="58">
        <v>211.08559176</v>
      </c>
      <c r="AQ20" s="58">
        <v>217.07727424000001</v>
      </c>
      <c r="AR20" s="58">
        <v>190.16024163</v>
      </c>
      <c r="AS20" s="58">
        <v>195.11495632</v>
      </c>
      <c r="AT20" s="58">
        <v>317.53348718000001</v>
      </c>
      <c r="AU20" s="58">
        <v>300.24491291999999</v>
      </c>
      <c r="AV20" s="58">
        <v>286.62059634000002</v>
      </c>
      <c r="AW20" s="58">
        <v>245.42308899</v>
      </c>
      <c r="AX20" s="58">
        <v>275.24034191999999</v>
      </c>
      <c r="AY20" s="58">
        <v>267.32081051</v>
      </c>
      <c r="AZ20" s="58">
        <v>278.29728368999997</v>
      </c>
      <c r="BA20" s="58">
        <v>299.51359887000001</v>
      </c>
      <c r="BB20" s="58">
        <v>267.00964771999998</v>
      </c>
      <c r="BC20" s="58">
        <v>280.45822665999998</v>
      </c>
      <c r="BD20" s="58">
        <v>279.97627368000002</v>
      </c>
      <c r="BE20" s="58">
        <v>293.79997630999998</v>
      </c>
      <c r="BF20" s="58">
        <v>228.48395656</v>
      </c>
      <c r="BG20" s="58">
        <v>272.44641281000003</v>
      </c>
      <c r="BH20" s="58">
        <v>263.52724526999998</v>
      </c>
      <c r="BI20" s="58">
        <v>259.45474976999998</v>
      </c>
      <c r="BJ20" s="58">
        <v>243.87143785999999</v>
      </c>
      <c r="BK20" s="58">
        <v>233.74707598000001</v>
      </c>
      <c r="BL20" s="58">
        <v>245.33799712999999</v>
      </c>
      <c r="BM20" s="58">
        <v>240.31309462999999</v>
      </c>
      <c r="BN20" s="58">
        <v>117.77063307</v>
      </c>
      <c r="BO20" s="58">
        <v>161.46032068</v>
      </c>
      <c r="BP20" s="58">
        <v>158.62250237999999</v>
      </c>
      <c r="BQ20" s="58">
        <v>201.67432235999999</v>
      </c>
      <c r="BR20" s="58">
        <v>83.311817472000001</v>
      </c>
      <c r="BS20" s="58">
        <v>118.51269154000001</v>
      </c>
      <c r="BT20" s="58">
        <v>97.225617485000001</v>
      </c>
      <c r="BU20" s="58">
        <v>87.055120810999995</v>
      </c>
      <c r="BV20" s="58">
        <v>97.099386914999997</v>
      </c>
      <c r="BW20" s="58">
        <v>111.00636</v>
      </c>
      <c r="BX20" s="58">
        <v>109.65605358000001</v>
      </c>
      <c r="BY20" s="58">
        <v>108.06702412999999</v>
      </c>
      <c r="BZ20" s="58">
        <v>62.886265621</v>
      </c>
      <c r="CA20" s="58">
        <v>88.15528904</v>
      </c>
      <c r="CB20" s="58">
        <v>62.814150742999999</v>
      </c>
      <c r="CC20" s="58">
        <v>80.011751347000001</v>
      </c>
      <c r="CD20" s="58">
        <v>50.096415174999997</v>
      </c>
      <c r="CE20" s="58">
        <v>53.881322418000003</v>
      </c>
      <c r="CF20" s="58">
        <v>74.323127880000001</v>
      </c>
      <c r="CG20" s="58">
        <v>82.031701733000006</v>
      </c>
      <c r="CH20" s="58">
        <v>63.380801888999997</v>
      </c>
      <c r="CI20" s="58">
        <v>70.685291086000007</v>
      </c>
      <c r="CJ20" s="58">
        <v>45.905288290000001</v>
      </c>
      <c r="CK20" s="58">
        <v>89.554123989999994</v>
      </c>
      <c r="CL20" s="58">
        <v>66.677451429000001</v>
      </c>
      <c r="CM20" s="58">
        <v>50.383435787000003</v>
      </c>
      <c r="CN20" s="58">
        <v>68.283616013</v>
      </c>
      <c r="CO20" s="58">
        <v>70.667733545000004</v>
      </c>
      <c r="CP20" s="58">
        <v>66.960521377999996</v>
      </c>
      <c r="CQ20" s="58">
        <v>78.669744362000003</v>
      </c>
      <c r="CR20" s="58">
        <v>66.500746215000007</v>
      </c>
      <c r="CS20" s="58">
        <v>92.113706739999998</v>
      </c>
      <c r="CT20" s="58">
        <v>60.097653325000003</v>
      </c>
      <c r="CU20" s="58">
        <v>64.699966817000004</v>
      </c>
      <c r="CV20" s="58">
        <v>77.608375386000006</v>
      </c>
      <c r="CW20" s="58">
        <v>99.120600906000007</v>
      </c>
      <c r="CX20" s="58">
        <v>51.964670998999999</v>
      </c>
      <c r="CY20" s="58">
        <v>56.993111599000002</v>
      </c>
      <c r="CZ20" s="58">
        <v>75.696552740000001</v>
      </c>
      <c r="DA20" s="58">
        <v>53.554719491</v>
      </c>
    </row>
    <row r="24" spans="1:105">
      <c r="A24" s="49" t="s">
        <v>130</v>
      </c>
      <c r="B24" s="55" t="s">
        <v>132</v>
      </c>
      <c r="C24" s="57" t="s">
        <v>409</v>
      </c>
      <c r="D24" s="57" t="s">
        <v>410</v>
      </c>
      <c r="E24" s="57" t="s">
        <v>411</v>
      </c>
      <c r="F24" s="57" t="s">
        <v>412</v>
      </c>
      <c r="G24" s="57" t="s">
        <v>413</v>
      </c>
      <c r="H24" s="57" t="s">
        <v>414</v>
      </c>
      <c r="I24" s="57" t="s">
        <v>415</v>
      </c>
      <c r="J24" s="57" t="s">
        <v>416</v>
      </c>
      <c r="K24" s="57" t="s">
        <v>417</v>
      </c>
      <c r="L24" s="57" t="s">
        <v>418</v>
      </c>
      <c r="M24" s="57" t="s">
        <v>416</v>
      </c>
      <c r="N24" s="57" t="s">
        <v>417</v>
      </c>
      <c r="O24" s="57" t="s">
        <v>419</v>
      </c>
      <c r="P24" s="57" t="s">
        <v>420</v>
      </c>
      <c r="Q24" s="57" t="s">
        <v>421</v>
      </c>
      <c r="R24" s="57" t="s">
        <v>422</v>
      </c>
      <c r="S24" s="57" t="s">
        <v>420</v>
      </c>
      <c r="T24" s="57" t="s">
        <v>421</v>
      </c>
    </row>
    <row r="25" spans="1:105">
      <c r="A25" s="51">
        <v>44197</v>
      </c>
      <c r="B25" s="49" t="s">
        <v>405</v>
      </c>
      <c r="C25" s="58">
        <v>-3105.0933100000002</v>
      </c>
      <c r="D25" s="58">
        <v>14935.782352</v>
      </c>
      <c r="E25" s="58">
        <v>18040.875661999999</v>
      </c>
      <c r="F25" s="58">
        <v>-3688.0689400000001</v>
      </c>
      <c r="G25" s="58">
        <v>10856.500212999999</v>
      </c>
      <c r="H25" s="58">
        <v>14544.569152</v>
      </c>
      <c r="I25" s="58">
        <v>-2587.520595</v>
      </c>
      <c r="J25" s="58">
        <v>9278.5691659999993</v>
      </c>
      <c r="K25" s="58">
        <v>11866.089760999999</v>
      </c>
      <c r="L25" s="58">
        <v>-1100.5483449999999</v>
      </c>
      <c r="M25" s="58">
        <v>1577.9310468000001</v>
      </c>
      <c r="N25" s="58">
        <v>2678.4793918</v>
      </c>
      <c r="O25" s="58">
        <v>-1867.196958</v>
      </c>
      <c r="P25" s="58">
        <v>1377.3904333999999</v>
      </c>
      <c r="Q25" s="58">
        <v>3244.5873918000002</v>
      </c>
      <c r="R25" s="58">
        <v>2450.1725879999999</v>
      </c>
      <c r="S25" s="58">
        <v>2701.8917058000002</v>
      </c>
      <c r="T25" s="58">
        <v>251.71911782000001</v>
      </c>
    </row>
    <row r="26" spans="1:105">
      <c r="A26" s="51">
        <v>44198</v>
      </c>
      <c r="B26" s="49" t="s">
        <v>404</v>
      </c>
      <c r="C26" s="58">
        <v>-4047.2334420000002</v>
      </c>
      <c r="D26" s="58">
        <v>15809.202912000001</v>
      </c>
      <c r="E26" s="58">
        <v>19856.436354000001</v>
      </c>
      <c r="F26" s="58">
        <v>-5021.7105959999999</v>
      </c>
      <c r="G26" s="58">
        <v>11316.80546</v>
      </c>
      <c r="H26" s="58">
        <v>16338.516056</v>
      </c>
      <c r="I26" s="58">
        <v>-3548.1394759999998</v>
      </c>
      <c r="J26" s="58">
        <v>9542.7400369000006</v>
      </c>
      <c r="K26" s="58">
        <v>13090.879513</v>
      </c>
      <c r="L26" s="58">
        <v>-1473.5711200000001</v>
      </c>
      <c r="M26" s="58">
        <v>1774.0654235</v>
      </c>
      <c r="N26" s="58">
        <v>3247.6365431999998</v>
      </c>
      <c r="O26" s="58">
        <v>-1652.067106</v>
      </c>
      <c r="P26" s="58">
        <v>1568.0820086000001</v>
      </c>
      <c r="Q26" s="58">
        <v>3220.1491148999999</v>
      </c>
      <c r="R26" s="58">
        <v>2626.5442598999998</v>
      </c>
      <c r="S26" s="58">
        <v>2924.3154426000001</v>
      </c>
      <c r="T26" s="58">
        <v>297.77118272000001</v>
      </c>
    </row>
    <row r="27" spans="1:105">
      <c r="A27" s="51">
        <v>44199</v>
      </c>
      <c r="B27" s="49" t="s">
        <v>403</v>
      </c>
      <c r="C27" s="58">
        <v>-4834.8345140000001</v>
      </c>
      <c r="D27" s="58">
        <v>17606.131788999999</v>
      </c>
      <c r="E27" s="58">
        <v>22440.966303000001</v>
      </c>
      <c r="F27" s="58">
        <v>-5258.6634240000003</v>
      </c>
      <c r="G27" s="58">
        <v>13232.477204999999</v>
      </c>
      <c r="H27" s="58">
        <v>18491.140629000001</v>
      </c>
      <c r="I27" s="58">
        <v>-3692.5201109999998</v>
      </c>
      <c r="J27" s="58">
        <v>11075.900373</v>
      </c>
      <c r="K27" s="58">
        <v>14768.420485000001</v>
      </c>
      <c r="L27" s="58">
        <v>-1566.1433119999999</v>
      </c>
      <c r="M27" s="58">
        <v>2156.5768315</v>
      </c>
      <c r="N27" s="58">
        <v>3722.7201439999999</v>
      </c>
      <c r="O27" s="58">
        <v>-2339.0876250000001</v>
      </c>
      <c r="P27" s="58">
        <v>1303.9248004000001</v>
      </c>
      <c r="Q27" s="58">
        <v>3643.0124257000002</v>
      </c>
      <c r="R27" s="58">
        <v>2762.9165349999998</v>
      </c>
      <c r="S27" s="58">
        <v>3069.7297832999998</v>
      </c>
      <c r="T27" s="58">
        <v>306.81324833999997</v>
      </c>
    </row>
    <row r="28" spans="1:105">
      <c r="A28" s="51">
        <v>44200</v>
      </c>
      <c r="B28" s="49" t="s">
        <v>402</v>
      </c>
      <c r="C28" s="58">
        <v>-5962.2416800000001</v>
      </c>
      <c r="D28" s="58">
        <v>20431.447553000002</v>
      </c>
      <c r="E28" s="58">
        <v>26393.689233000001</v>
      </c>
      <c r="F28" s="58">
        <v>-6032.2362000000003</v>
      </c>
      <c r="G28" s="58">
        <v>15507.657476</v>
      </c>
      <c r="H28" s="58">
        <v>21539.893676</v>
      </c>
      <c r="I28" s="58">
        <v>-4155.4611080000004</v>
      </c>
      <c r="J28" s="58">
        <v>12838.364869999999</v>
      </c>
      <c r="K28" s="58">
        <v>16993.825978000001</v>
      </c>
      <c r="L28" s="58">
        <v>-1876.7750920000001</v>
      </c>
      <c r="M28" s="58">
        <v>2669.2926062000001</v>
      </c>
      <c r="N28" s="58">
        <v>4546.0676983000003</v>
      </c>
      <c r="O28" s="58">
        <v>-2864.9071920000001</v>
      </c>
      <c r="P28" s="58">
        <v>1682.8750783</v>
      </c>
      <c r="Q28" s="58">
        <v>4547.7822698999998</v>
      </c>
      <c r="R28" s="58">
        <v>2934.9017116999999</v>
      </c>
      <c r="S28" s="58">
        <v>3240.9149984000001</v>
      </c>
      <c r="T28" s="58">
        <v>306.01328674000001</v>
      </c>
    </row>
    <row r="29" spans="1:105">
      <c r="A29" s="51">
        <v>44562</v>
      </c>
      <c r="B29" s="49" t="s">
        <v>405</v>
      </c>
      <c r="C29" s="58">
        <v>-5397.8760430000002</v>
      </c>
      <c r="D29" s="58">
        <v>21737.676283000001</v>
      </c>
      <c r="E29" s="58">
        <v>27135.552326000001</v>
      </c>
      <c r="F29" s="58">
        <v>-4957.5295619999997</v>
      </c>
      <c r="G29" s="58">
        <v>16656.352237999999</v>
      </c>
      <c r="H29" s="58">
        <v>21613.881799999999</v>
      </c>
      <c r="I29" s="58">
        <v>-3733.9745189999999</v>
      </c>
      <c r="J29" s="58">
        <v>13584.987928</v>
      </c>
      <c r="K29" s="58">
        <v>17318.962447000002</v>
      </c>
      <c r="L29" s="58">
        <v>-1223.5550430000001</v>
      </c>
      <c r="M29" s="58">
        <v>3071.3643092000002</v>
      </c>
      <c r="N29" s="58">
        <v>4294.9193525000001</v>
      </c>
      <c r="O29" s="58">
        <v>-3616.8406690000002</v>
      </c>
      <c r="P29" s="58">
        <v>1575.3749926999999</v>
      </c>
      <c r="Q29" s="58">
        <v>5192.2156616000002</v>
      </c>
      <c r="R29" s="58">
        <v>3176.4941878999998</v>
      </c>
      <c r="S29" s="58">
        <v>3505.9490526999998</v>
      </c>
      <c r="T29" s="58">
        <v>329.45486478999999</v>
      </c>
    </row>
    <row r="30" spans="1:105">
      <c r="A30" s="51">
        <v>44563</v>
      </c>
      <c r="B30" s="49" t="s">
        <v>404</v>
      </c>
      <c r="C30" s="58">
        <v>-4748.0374089999996</v>
      </c>
      <c r="D30" s="58">
        <v>24606.465308999999</v>
      </c>
      <c r="E30" s="58">
        <v>29354.502718</v>
      </c>
      <c r="F30" s="58">
        <v>-3046.188013</v>
      </c>
      <c r="G30" s="58">
        <v>19667.831133</v>
      </c>
      <c r="H30" s="58">
        <v>22714.019145999999</v>
      </c>
      <c r="I30" s="58">
        <v>-1974.6221410000001</v>
      </c>
      <c r="J30" s="58">
        <v>16337.933512</v>
      </c>
      <c r="K30" s="58">
        <v>18312.555651999999</v>
      </c>
      <c r="L30" s="58">
        <v>-1071.565873</v>
      </c>
      <c r="M30" s="58">
        <v>3329.8976210000001</v>
      </c>
      <c r="N30" s="58">
        <v>4401.4634936000002</v>
      </c>
      <c r="O30" s="58">
        <v>-4530.5394310000001</v>
      </c>
      <c r="P30" s="58">
        <v>1731.240603</v>
      </c>
      <c r="Q30" s="58">
        <v>6261.7800338999996</v>
      </c>
      <c r="R30" s="58">
        <v>2828.6900346000002</v>
      </c>
      <c r="S30" s="58">
        <v>3207.3935726</v>
      </c>
      <c r="T30" s="58">
        <v>378.70353797000001</v>
      </c>
    </row>
    <row r="31" spans="1:105">
      <c r="A31" s="51">
        <v>44564</v>
      </c>
      <c r="B31" s="49" t="s">
        <v>403</v>
      </c>
      <c r="C31" s="58">
        <v>-6107.228709</v>
      </c>
      <c r="D31" s="58">
        <v>24624.647473000001</v>
      </c>
      <c r="E31" s="58">
        <v>30731.876181</v>
      </c>
      <c r="F31" s="58">
        <v>-4416.150361</v>
      </c>
      <c r="G31" s="58">
        <v>19461.206254000001</v>
      </c>
      <c r="H31" s="58">
        <v>23877.356615000001</v>
      </c>
      <c r="I31" s="58">
        <v>-3684.4672150000001</v>
      </c>
      <c r="J31" s="58">
        <v>15661.462877</v>
      </c>
      <c r="K31" s="58">
        <v>19345.930091999999</v>
      </c>
      <c r="L31" s="58">
        <v>-731.68314559999999</v>
      </c>
      <c r="M31" s="58">
        <v>3799.7433768000001</v>
      </c>
      <c r="N31" s="58">
        <v>4531.4265223000002</v>
      </c>
      <c r="O31" s="58">
        <v>-4794.7434119999998</v>
      </c>
      <c r="P31" s="58">
        <v>1733.5132263999999</v>
      </c>
      <c r="Q31" s="58">
        <v>6528.2566380999997</v>
      </c>
      <c r="R31" s="58">
        <v>3103.6650636999998</v>
      </c>
      <c r="S31" s="58">
        <v>3429.9279921000002</v>
      </c>
      <c r="T31" s="58">
        <v>326.26292846000001</v>
      </c>
    </row>
    <row r="32" spans="1:105">
      <c r="A32" s="51">
        <v>44565</v>
      </c>
      <c r="B32" s="49" t="s">
        <v>402</v>
      </c>
      <c r="C32" s="58">
        <v>-4624.9337130000004</v>
      </c>
      <c r="D32" s="58">
        <v>23169.571805</v>
      </c>
      <c r="E32" s="58">
        <v>27794.505517000001</v>
      </c>
      <c r="F32" s="58">
        <v>-3673.3439229999999</v>
      </c>
      <c r="G32" s="58">
        <v>17696.923424000001</v>
      </c>
      <c r="H32" s="58">
        <v>21370.267347000001</v>
      </c>
      <c r="I32" s="58">
        <v>-2785.185105</v>
      </c>
      <c r="J32" s="58">
        <v>13889.067343000001</v>
      </c>
      <c r="K32" s="58">
        <v>16674.252449</v>
      </c>
      <c r="L32" s="58">
        <v>-888.15881769999999</v>
      </c>
      <c r="M32" s="58">
        <v>3807.8560806999999</v>
      </c>
      <c r="N32" s="58">
        <v>4696.0148983999998</v>
      </c>
      <c r="O32" s="58">
        <v>-4144.2064620000001</v>
      </c>
      <c r="P32" s="58">
        <v>1934.7404471</v>
      </c>
      <c r="Q32" s="58">
        <v>6078.9469093999996</v>
      </c>
      <c r="R32" s="58">
        <v>3192.6166724999998</v>
      </c>
      <c r="S32" s="58">
        <v>3537.9079333999998</v>
      </c>
      <c r="T32" s="58">
        <v>345.29126088999999</v>
      </c>
    </row>
    <row r="33" spans="1:20">
      <c r="A33" s="51">
        <v>44927</v>
      </c>
      <c r="B33" s="49" t="s">
        <v>405</v>
      </c>
      <c r="C33" s="58">
        <v>-2809.6532579999998</v>
      </c>
      <c r="D33" s="58">
        <v>22738.906919000001</v>
      </c>
      <c r="E33" s="58">
        <v>25548.560176999999</v>
      </c>
      <c r="F33" s="58">
        <v>-2176.9698309999999</v>
      </c>
      <c r="G33" s="58">
        <v>17160.332194999999</v>
      </c>
      <c r="H33" s="58">
        <v>19337.302026000001</v>
      </c>
      <c r="I33" s="58">
        <v>-1917.4467360000001</v>
      </c>
      <c r="J33" s="58">
        <v>13490.229525999999</v>
      </c>
      <c r="K33" s="58">
        <v>15407.676262000001</v>
      </c>
      <c r="L33" s="58">
        <v>-259.5230947</v>
      </c>
      <c r="M33" s="58">
        <v>3670.1026695999999</v>
      </c>
      <c r="N33" s="58">
        <v>3929.6257642</v>
      </c>
      <c r="O33" s="58">
        <v>-3727.0918120000001</v>
      </c>
      <c r="P33" s="58">
        <v>2174.487376</v>
      </c>
      <c r="Q33" s="58">
        <v>5901.5791883000002</v>
      </c>
      <c r="R33" s="58">
        <v>3094.4083856000002</v>
      </c>
      <c r="S33" s="58">
        <v>3404.0873482000002</v>
      </c>
      <c r="T33" s="58">
        <v>309.67896263</v>
      </c>
    </row>
    <row r="34" spans="1:20">
      <c r="A34" s="51">
        <v>44928</v>
      </c>
      <c r="B34" s="49" t="s">
        <v>404</v>
      </c>
      <c r="C34" s="58">
        <v>-2083.4962850000002</v>
      </c>
      <c r="D34" s="58">
        <v>22360.822465000001</v>
      </c>
      <c r="E34" s="58">
        <v>24444.318748999998</v>
      </c>
      <c r="F34" s="58">
        <v>-2056.5831090000001</v>
      </c>
      <c r="G34" s="58">
        <v>16604.459361000001</v>
      </c>
      <c r="H34" s="58">
        <v>18661.04247</v>
      </c>
      <c r="I34" s="58">
        <v>-1699.2559249999999</v>
      </c>
      <c r="J34" s="58">
        <v>12824.583338</v>
      </c>
      <c r="K34" s="58">
        <v>14523.839264</v>
      </c>
      <c r="L34" s="58">
        <v>-357.3271838</v>
      </c>
      <c r="M34" s="58">
        <v>3779.8760229</v>
      </c>
      <c r="N34" s="58">
        <v>4137.2032067</v>
      </c>
      <c r="O34" s="58">
        <v>-3056.0840710000002</v>
      </c>
      <c r="P34" s="58">
        <v>2359.6029152000001</v>
      </c>
      <c r="Q34" s="58">
        <v>5415.6869864</v>
      </c>
      <c r="R34" s="58">
        <v>3029.1708956000002</v>
      </c>
      <c r="S34" s="58">
        <v>3396.7601881000001</v>
      </c>
      <c r="T34" s="58">
        <v>367.5892925</v>
      </c>
    </row>
    <row r="35" spans="1:20">
      <c r="A35" s="51">
        <v>44929</v>
      </c>
      <c r="B35" s="49" t="s">
        <v>403</v>
      </c>
      <c r="C35" s="58">
        <v>-1546.9226470000001</v>
      </c>
      <c r="D35" s="58">
        <v>23299.56393</v>
      </c>
      <c r="E35" s="58">
        <v>24846.486577</v>
      </c>
      <c r="F35" s="58">
        <v>-1403.99405</v>
      </c>
      <c r="G35" s="58">
        <v>17368.268597999999</v>
      </c>
      <c r="H35" s="58">
        <v>18772.262648</v>
      </c>
      <c r="I35" s="58">
        <v>-1352.9820709999999</v>
      </c>
      <c r="J35" s="58">
        <v>13191.632224000001</v>
      </c>
      <c r="K35" s="58">
        <v>14544.614294999999</v>
      </c>
      <c r="L35" s="58">
        <v>-51.011978579999997</v>
      </c>
      <c r="M35" s="58">
        <v>4176.6363740999996</v>
      </c>
      <c r="N35" s="58">
        <v>4227.6483527</v>
      </c>
      <c r="O35" s="58">
        <v>-3507.7165030000001</v>
      </c>
      <c r="P35" s="58">
        <v>2161.5910238000001</v>
      </c>
      <c r="Q35" s="58">
        <v>5669.3075268000002</v>
      </c>
      <c r="R35" s="58">
        <v>3364.7879063</v>
      </c>
      <c r="S35" s="58">
        <v>3769.7043084000002</v>
      </c>
      <c r="T35" s="58">
        <v>404.91640203999998</v>
      </c>
    </row>
    <row r="36" spans="1:20">
      <c r="A36" s="51">
        <v>44930</v>
      </c>
      <c r="B36" s="49" t="s">
        <v>402</v>
      </c>
      <c r="C36" s="58">
        <v>-1879.8756840000001</v>
      </c>
      <c r="D36" s="58">
        <v>23636.992880000002</v>
      </c>
      <c r="E36" s="58">
        <v>25516.868564</v>
      </c>
      <c r="F36" s="58">
        <v>-2165.6566630000002</v>
      </c>
      <c r="G36" s="58">
        <v>17527.707773999999</v>
      </c>
      <c r="H36" s="58">
        <v>19693.364437</v>
      </c>
      <c r="I36" s="58">
        <v>-1837.8732230000001</v>
      </c>
      <c r="J36" s="58">
        <v>13135.496148</v>
      </c>
      <c r="K36" s="58">
        <v>14973.369371000001</v>
      </c>
      <c r="L36" s="58">
        <v>-327.78344070000003</v>
      </c>
      <c r="M36" s="58">
        <v>4392.2116255999999</v>
      </c>
      <c r="N36" s="58">
        <v>4719.9950663</v>
      </c>
      <c r="O36" s="58">
        <v>-3147.8981239999998</v>
      </c>
      <c r="P36" s="58">
        <v>2267.3252209000002</v>
      </c>
      <c r="Q36" s="58">
        <v>5415.2233444000003</v>
      </c>
      <c r="R36" s="58">
        <v>3433.6791029999999</v>
      </c>
      <c r="S36" s="58">
        <v>3841.9598857000001</v>
      </c>
      <c r="T36" s="58">
        <v>408.28078277999998</v>
      </c>
    </row>
    <row r="37" spans="1:20">
      <c r="A37" s="51">
        <v>45292</v>
      </c>
      <c r="B37" s="49" t="s">
        <v>405</v>
      </c>
      <c r="C37" s="58">
        <v>-1602.2569550000001</v>
      </c>
      <c r="D37" s="58">
        <v>22209.980028999998</v>
      </c>
      <c r="E37" s="58">
        <v>23812.236983999999</v>
      </c>
      <c r="F37" s="58">
        <v>-1781.331694</v>
      </c>
      <c r="G37" s="58">
        <v>16111.250314000001</v>
      </c>
      <c r="H37" s="58">
        <v>17892.582007000001</v>
      </c>
      <c r="I37" s="58">
        <v>-2105.2188679999999</v>
      </c>
      <c r="J37" s="58">
        <v>11763.559203999999</v>
      </c>
      <c r="K37" s="58">
        <v>13868.778071999999</v>
      </c>
      <c r="L37" s="58">
        <v>323.88717442000001</v>
      </c>
      <c r="M37" s="58">
        <v>4347.6911098</v>
      </c>
      <c r="N37" s="58">
        <v>4023.8039352999999</v>
      </c>
      <c r="O37" s="58">
        <v>-3151.9959229999999</v>
      </c>
      <c r="P37" s="58">
        <v>2366.2631854000001</v>
      </c>
      <c r="Q37" s="58">
        <v>5518.2591080000002</v>
      </c>
      <c r="R37" s="58">
        <v>3331.0706616000002</v>
      </c>
      <c r="S37" s="58">
        <v>3732.4665298</v>
      </c>
      <c r="T37" s="58">
        <v>401.39586825999999</v>
      </c>
    </row>
    <row r="38" spans="1:20">
      <c r="A38" s="51">
        <v>45293</v>
      </c>
      <c r="B38" s="49" t="s">
        <v>404</v>
      </c>
      <c r="C38" s="58">
        <v>-1427.733549</v>
      </c>
      <c r="D38" s="58">
        <v>24060.261106000002</v>
      </c>
      <c r="E38" s="58">
        <v>25487.994654999999</v>
      </c>
      <c r="F38" s="58">
        <v>-2359.5336950000001</v>
      </c>
      <c r="G38" s="58">
        <v>17236.943945999999</v>
      </c>
      <c r="H38" s="58">
        <v>19596.477641000001</v>
      </c>
      <c r="I38" s="58">
        <v>-1967.1971699999999</v>
      </c>
      <c r="J38" s="58">
        <v>13152.600673000001</v>
      </c>
      <c r="K38" s="58">
        <v>15119.797843</v>
      </c>
      <c r="L38" s="58">
        <v>-392.33652549999999</v>
      </c>
      <c r="M38" s="58">
        <v>4084.3432727999998</v>
      </c>
      <c r="N38" s="58">
        <v>4476.6797982999997</v>
      </c>
      <c r="O38" s="58">
        <v>-2964.9696439999998</v>
      </c>
      <c r="P38" s="58">
        <v>2476.1916774000001</v>
      </c>
      <c r="Q38" s="58">
        <v>5441.1613211000004</v>
      </c>
      <c r="R38" s="58">
        <v>3896.7697896999998</v>
      </c>
      <c r="S38" s="58">
        <v>4347.1254823999998</v>
      </c>
      <c r="T38" s="58">
        <v>450.35569268</v>
      </c>
    </row>
    <row r="39" spans="1:20">
      <c r="A39" s="51">
        <v>45294</v>
      </c>
      <c r="B39" s="49" t="s">
        <v>403</v>
      </c>
      <c r="C39" s="58">
        <v>-1649.5970600000001</v>
      </c>
      <c r="D39" s="58">
        <v>24678.991484999999</v>
      </c>
      <c r="E39" s="58">
        <v>26328.588543999998</v>
      </c>
      <c r="F39" s="58">
        <v>-2380.1737760000001</v>
      </c>
      <c r="G39" s="58">
        <v>17826.779172999999</v>
      </c>
      <c r="H39" s="58">
        <v>20206.952948999999</v>
      </c>
      <c r="I39" s="58">
        <v>-2318.0735410000002</v>
      </c>
      <c r="J39" s="58">
        <v>13008.538417</v>
      </c>
      <c r="K39" s="58">
        <v>15326.611959</v>
      </c>
      <c r="L39" s="58">
        <v>-62.100234839999999</v>
      </c>
      <c r="M39" s="58">
        <v>4818.2407556999997</v>
      </c>
      <c r="N39" s="58">
        <v>4880.3409904999999</v>
      </c>
      <c r="O39" s="58">
        <v>-3342.6929150000001</v>
      </c>
      <c r="P39" s="58">
        <v>2365.6555388000002</v>
      </c>
      <c r="Q39" s="58">
        <v>5708.3484539999999</v>
      </c>
      <c r="R39" s="58">
        <v>4073.2696314999998</v>
      </c>
      <c r="S39" s="58">
        <v>4486.5567727999996</v>
      </c>
      <c r="T39" s="58">
        <v>413.28714123999998</v>
      </c>
    </row>
    <row r="40" spans="1:20">
      <c r="A40" s="51">
        <v>45295</v>
      </c>
      <c r="B40" s="49" t="s">
        <v>402</v>
      </c>
      <c r="C40" s="58">
        <v>-2332.7680420000002</v>
      </c>
      <c r="D40" s="58">
        <v>24788.815306</v>
      </c>
      <c r="E40" s="58">
        <v>27121.583347</v>
      </c>
      <c r="F40" s="58">
        <v>-3161.4505079999999</v>
      </c>
      <c r="G40" s="58">
        <v>17952.827461000001</v>
      </c>
      <c r="H40" s="58">
        <v>21114.277968999999</v>
      </c>
      <c r="I40" s="58">
        <v>-2765.2802750000001</v>
      </c>
      <c r="J40" s="58">
        <v>13165.988117999999</v>
      </c>
      <c r="K40" s="58">
        <v>15931.268392</v>
      </c>
      <c r="L40" s="58">
        <v>-396.17023349999999</v>
      </c>
      <c r="M40" s="58">
        <v>4786.8393427000001</v>
      </c>
      <c r="N40" s="58">
        <v>5183.0095762000001</v>
      </c>
      <c r="O40" s="58">
        <v>-3377.3624690000001</v>
      </c>
      <c r="P40" s="58">
        <v>2276.2239184</v>
      </c>
      <c r="Q40" s="58">
        <v>5653.5863869000004</v>
      </c>
      <c r="R40" s="58">
        <v>4206.0449349</v>
      </c>
      <c r="S40" s="58">
        <v>4559.7639267000004</v>
      </c>
      <c r="T40" s="58">
        <v>353.71899180000003</v>
      </c>
    </row>
    <row r="41" spans="1:20">
      <c r="A41" s="51">
        <v>45658</v>
      </c>
      <c r="B41" s="49" t="s">
        <v>405</v>
      </c>
      <c r="C41" s="58">
        <v>-1695.944677</v>
      </c>
      <c r="D41" s="58">
        <v>23634.678212999999</v>
      </c>
      <c r="E41" s="58">
        <v>25330.622889999999</v>
      </c>
      <c r="F41" s="58">
        <v>-2549.3058230000001</v>
      </c>
      <c r="G41" s="58">
        <v>17044.336305000001</v>
      </c>
      <c r="H41" s="58">
        <v>19593.642128</v>
      </c>
      <c r="I41" s="58">
        <v>-3064.9152220000001</v>
      </c>
      <c r="J41" s="58">
        <v>12236.189926999999</v>
      </c>
      <c r="K41" s="58">
        <v>15301.105149000001</v>
      </c>
      <c r="L41" s="58">
        <v>515.60939867000002</v>
      </c>
      <c r="M41" s="58">
        <v>4808.1463783999998</v>
      </c>
      <c r="N41" s="58">
        <v>4292.5369797000003</v>
      </c>
      <c r="O41" s="58">
        <v>-2992.860228</v>
      </c>
      <c r="P41" s="58">
        <v>2388.6843453000001</v>
      </c>
      <c r="Q41" s="58">
        <v>5381.5445732999997</v>
      </c>
      <c r="R41" s="58">
        <v>3846.2213740000002</v>
      </c>
      <c r="S41" s="58">
        <v>4201.6575628000001</v>
      </c>
      <c r="T41" s="58">
        <v>355.43618872000002</v>
      </c>
    </row>
    <row r="42" spans="1:20">
      <c r="A42" s="51">
        <v>45659</v>
      </c>
      <c r="B42" s="49" t="s">
        <v>404</v>
      </c>
      <c r="C42" s="58">
        <v>-2457.546409</v>
      </c>
      <c r="D42" s="58">
        <v>24298.220084</v>
      </c>
      <c r="E42" s="58">
        <v>26755.766492999999</v>
      </c>
      <c r="F42" s="58">
        <v>-3828.2416969999999</v>
      </c>
      <c r="G42" s="58">
        <v>17297.630428</v>
      </c>
      <c r="H42" s="58">
        <v>21125.872125000002</v>
      </c>
      <c r="I42" s="58">
        <v>-3631.821328</v>
      </c>
      <c r="J42" s="58">
        <v>12729.983063</v>
      </c>
      <c r="K42" s="58">
        <v>16361.804391</v>
      </c>
      <c r="L42" s="58">
        <v>-196.4203689</v>
      </c>
      <c r="M42" s="58">
        <v>4567.6473652000004</v>
      </c>
      <c r="N42" s="58">
        <v>4764.0677341000001</v>
      </c>
      <c r="O42" s="58">
        <v>-2780.297329</v>
      </c>
      <c r="P42" s="58">
        <v>2470.1048178999999</v>
      </c>
      <c r="Q42" s="58">
        <v>5250.4021464999996</v>
      </c>
      <c r="R42" s="58">
        <v>4150.9926160000005</v>
      </c>
      <c r="S42" s="58">
        <v>4530.4848374000003</v>
      </c>
      <c r="T42" s="58">
        <v>379.49222143999998</v>
      </c>
    </row>
    <row r="43" spans="1:20">
      <c r="A43" s="51">
        <v>45660</v>
      </c>
      <c r="B43" s="49" t="s">
        <v>403</v>
      </c>
      <c r="C43" s="58">
        <v>-2817.2324600000002</v>
      </c>
      <c r="D43" s="58">
        <v>25781.222181000001</v>
      </c>
      <c r="E43" s="58">
        <v>28598.454641</v>
      </c>
      <c r="F43" s="58">
        <v>-4037.0215899999998</v>
      </c>
      <c r="G43" s="58">
        <v>18643.604415000002</v>
      </c>
      <c r="H43" s="58">
        <v>22680.626004999998</v>
      </c>
      <c r="I43" s="58">
        <v>-4007.6605669999999</v>
      </c>
      <c r="J43" s="58">
        <v>13344.000988</v>
      </c>
      <c r="K43" s="58">
        <v>17351.661554999999</v>
      </c>
      <c r="L43" s="58">
        <v>-29.361022899999998</v>
      </c>
      <c r="M43" s="58">
        <v>5299.6034266999995</v>
      </c>
      <c r="N43" s="58">
        <v>5328.9644496000001</v>
      </c>
      <c r="O43" s="58">
        <v>-2993.1170579999998</v>
      </c>
      <c r="P43" s="58">
        <v>2544.6486054000002</v>
      </c>
      <c r="Q43" s="58">
        <v>5537.7656636000002</v>
      </c>
      <c r="R43" s="58">
        <v>4212.9061881999996</v>
      </c>
      <c r="S43" s="58">
        <v>4592.9691603000001</v>
      </c>
      <c r="T43" s="58">
        <v>380.06297212999999</v>
      </c>
    </row>
    <row r="44" spans="1:20">
      <c r="A44" s="51">
        <v>45661</v>
      </c>
      <c r="B44" s="49" t="s">
        <v>402</v>
      </c>
      <c r="C44" s="58">
        <v>-3912.1702519999999</v>
      </c>
      <c r="D44" s="58">
        <v>25195.648254</v>
      </c>
      <c r="E44" s="58">
        <v>29107.818506</v>
      </c>
      <c r="F44" s="58">
        <v>-4456.9033589999999</v>
      </c>
      <c r="G44" s="58">
        <v>18097.443272</v>
      </c>
      <c r="H44" s="58">
        <v>22554.346631</v>
      </c>
      <c r="I44" s="58">
        <v>-4128.0566980000003</v>
      </c>
      <c r="J44" s="58">
        <v>13186.156370999999</v>
      </c>
      <c r="K44" s="58">
        <v>17314.213069000001</v>
      </c>
      <c r="L44" s="58">
        <v>-328.84666099999998</v>
      </c>
      <c r="M44" s="58">
        <v>4911.2869006999999</v>
      </c>
      <c r="N44" s="58">
        <v>5240.1335617000004</v>
      </c>
      <c r="O44" s="58">
        <v>-3679.6806489999999</v>
      </c>
      <c r="P44" s="58">
        <v>2428.7673816000001</v>
      </c>
      <c r="Q44" s="58">
        <v>6108.4480304999997</v>
      </c>
      <c r="R44" s="58">
        <v>4224.4137560999998</v>
      </c>
      <c r="S44" s="58">
        <v>4669.4376007000001</v>
      </c>
      <c r="T44" s="58">
        <v>445.02384465</v>
      </c>
    </row>
    <row r="50" spans="14:17">
      <c r="N50" s="58">
        <v>-2587.520595</v>
      </c>
      <c r="O50" s="58">
        <v>-1100.5483449999999</v>
      </c>
      <c r="P50" s="58">
        <v>-1867.196958</v>
      </c>
      <c r="Q50" s="58">
        <v>2450.1725879999999</v>
      </c>
    </row>
    <row r="51" spans="14:17">
      <c r="N51" s="58">
        <v>-3548.1394759999998</v>
      </c>
      <c r="O51" s="58">
        <v>-1473.5711200000001</v>
      </c>
      <c r="P51" s="58">
        <v>-1652.067106</v>
      </c>
      <c r="Q51" s="58">
        <v>2626.5442598999998</v>
      </c>
    </row>
    <row r="52" spans="14:17">
      <c r="N52" s="58">
        <v>-3692.5201109999998</v>
      </c>
      <c r="O52" s="58">
        <v>-1566.1433119999999</v>
      </c>
      <c r="P52" s="58">
        <v>-2339.0876250000001</v>
      </c>
      <c r="Q52" s="58">
        <v>2762.9165349999998</v>
      </c>
    </row>
    <row r="53" spans="14:17">
      <c r="N53" s="58">
        <v>-4155.4611080000004</v>
      </c>
      <c r="O53" s="58">
        <v>-1876.7750920000001</v>
      </c>
      <c r="P53" s="58">
        <v>-2864.9071920000001</v>
      </c>
      <c r="Q53" s="58">
        <v>2934.9017116999999</v>
      </c>
    </row>
    <row r="54" spans="14:17">
      <c r="N54" s="58">
        <v>-3733.9745189999999</v>
      </c>
      <c r="O54" s="58">
        <v>-1223.5550430000001</v>
      </c>
      <c r="P54" s="58">
        <v>-3616.8406690000002</v>
      </c>
      <c r="Q54" s="58">
        <v>3176.4941878999998</v>
      </c>
    </row>
    <row r="55" spans="14:17">
      <c r="N55" s="58">
        <v>-1974.6221410000001</v>
      </c>
      <c r="O55" s="58">
        <v>-1071.565873</v>
      </c>
      <c r="P55" s="58">
        <v>-4530.5394310000001</v>
      </c>
      <c r="Q55" s="58">
        <v>2828.6900346000002</v>
      </c>
    </row>
    <row r="56" spans="14:17">
      <c r="N56" s="58">
        <v>-3684.4672150000001</v>
      </c>
      <c r="O56" s="58">
        <v>-731.68314559999999</v>
      </c>
      <c r="P56" s="58">
        <v>-4794.7434119999998</v>
      </c>
      <c r="Q56" s="58">
        <v>3103.6650636999998</v>
      </c>
    </row>
    <row r="57" spans="14:17">
      <c r="N57" s="58">
        <v>-2785.185105</v>
      </c>
      <c r="O57" s="58">
        <v>-888.15881769999999</v>
      </c>
      <c r="P57" s="58">
        <v>-4144.2064620000001</v>
      </c>
      <c r="Q57" s="58">
        <v>3192.6166724999998</v>
      </c>
    </row>
    <row r="58" spans="14:17">
      <c r="N58" s="58">
        <v>-1917.4467360000001</v>
      </c>
      <c r="O58" s="58">
        <v>-259.5230947</v>
      </c>
      <c r="P58" s="58">
        <v>-3727.0918120000001</v>
      </c>
      <c r="Q58" s="58">
        <v>3094.4083856000002</v>
      </c>
    </row>
    <row r="59" spans="14:17">
      <c r="N59" s="58">
        <v>-1699.2559249999999</v>
      </c>
      <c r="O59" s="58">
        <v>-357.3271838</v>
      </c>
      <c r="P59" s="58">
        <v>-3056.0840710000002</v>
      </c>
      <c r="Q59" s="58">
        <v>3029.1708956000002</v>
      </c>
    </row>
    <row r="60" spans="14:17">
      <c r="N60" s="58">
        <v>-1352.9820709999999</v>
      </c>
      <c r="O60" s="58">
        <v>-51.011978579999997</v>
      </c>
      <c r="P60" s="58">
        <v>-3507.7165030000001</v>
      </c>
      <c r="Q60" s="58">
        <v>3364.7879063</v>
      </c>
    </row>
    <row r="61" spans="14:17">
      <c r="N61" s="58">
        <v>-1837.8732230000001</v>
      </c>
      <c r="O61" s="58">
        <v>-327.78344070000003</v>
      </c>
      <c r="P61" s="58">
        <v>-3147.8981239999998</v>
      </c>
      <c r="Q61" s="58">
        <v>3433.6791029999999</v>
      </c>
    </row>
    <row r="62" spans="14:17">
      <c r="N62" s="58">
        <v>-2105.2188679999999</v>
      </c>
      <c r="O62" s="58">
        <v>323.88717442000001</v>
      </c>
      <c r="P62" s="58">
        <v>-3151.9959229999999</v>
      </c>
      <c r="Q62" s="58">
        <v>3331.0706616000002</v>
      </c>
    </row>
    <row r="63" spans="14:17">
      <c r="N63" s="58">
        <v>-1967.1971699999999</v>
      </c>
      <c r="O63" s="58">
        <v>-392.33652549999999</v>
      </c>
      <c r="P63" s="58">
        <v>-2964.9696439999998</v>
      </c>
      <c r="Q63" s="58">
        <v>3896.7697896999998</v>
      </c>
    </row>
    <row r="64" spans="14:17">
      <c r="N64" s="58">
        <v>-2318.0735410000002</v>
      </c>
      <c r="O64" s="58">
        <v>-62.100234839999999</v>
      </c>
      <c r="P64" s="58">
        <v>-3342.6929150000001</v>
      </c>
      <c r="Q64" s="58">
        <v>4073.2696314999998</v>
      </c>
    </row>
    <row r="65" spans="14:17">
      <c r="N65" s="58">
        <v>-2765.2802750000001</v>
      </c>
      <c r="O65" s="58">
        <v>-396.17023349999999</v>
      </c>
      <c r="P65" s="58">
        <v>-3377.3624690000001</v>
      </c>
      <c r="Q65" s="58">
        <v>4206.0449349</v>
      </c>
    </row>
    <row r="66" spans="14:17">
      <c r="N66" s="58">
        <v>-3064.9152220000001</v>
      </c>
      <c r="O66" s="58">
        <v>515.60939867000002</v>
      </c>
      <c r="P66" s="58">
        <v>-2992.860228</v>
      </c>
      <c r="Q66" s="58">
        <v>3846.2213740000002</v>
      </c>
    </row>
    <row r="67" spans="14:17">
      <c r="N67" s="58">
        <v>-3631.821328</v>
      </c>
      <c r="O67" s="58">
        <v>-196.4203689</v>
      </c>
      <c r="P67" s="58">
        <v>-2780.297329</v>
      </c>
      <c r="Q67" s="58">
        <v>4150.9926160000005</v>
      </c>
    </row>
    <row r="68" spans="14:17">
      <c r="N68" s="58">
        <v>-4007.6605669999999</v>
      </c>
      <c r="O68" s="58">
        <v>-29.361022899999998</v>
      </c>
      <c r="P68" s="58">
        <v>-2993.1170579999998</v>
      </c>
      <c r="Q68" s="58">
        <v>4212.9061881999996</v>
      </c>
    </row>
    <row r="69" spans="14:17">
      <c r="N69" s="58">
        <v>-4128.0566980000003</v>
      </c>
      <c r="O69" s="58">
        <v>-328.84666099999998</v>
      </c>
      <c r="P69" s="58">
        <v>-3679.6806489999999</v>
      </c>
      <c r="Q69" s="58">
        <v>4224.4137560999998</v>
      </c>
    </row>
  </sheetData>
  <autoFilter ref="A24:T24" xr:uid="{08D81E9B-2A99-714C-8BDF-FB65C3143AC0}">
    <sortState xmlns:xlrd2="http://schemas.microsoft.com/office/spreadsheetml/2017/richdata2" ref="A25:T44">
      <sortCondition ref="A24:A44"/>
    </sortState>
  </autoFilter>
  <mergeCells count="26">
    <mergeCell ref="V1:Y1"/>
    <mergeCell ref="Z1:AC1"/>
    <mergeCell ref="AD1:AG1"/>
    <mergeCell ref="AH1:AK1"/>
    <mergeCell ref="B1:E1"/>
    <mergeCell ref="F1:I1"/>
    <mergeCell ref="J1:M1"/>
    <mergeCell ref="N1:Q1"/>
    <mergeCell ref="R1:U1"/>
    <mergeCell ref="CD1:CG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H1:CK1"/>
    <mergeCell ref="CL1:CO1"/>
    <mergeCell ref="CP1:CS1"/>
    <mergeCell ref="CT1:CW1"/>
    <mergeCell ref="CX1:DA1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AD3A-254E-294B-A0C9-654AA2A09BEE}">
  <dimension ref="A1:D17"/>
  <sheetViews>
    <sheetView zoomScale="168" workbookViewId="0">
      <selection activeCell="A2" sqref="A2:D17"/>
    </sheetView>
  </sheetViews>
  <sheetFormatPr baseColWidth="10" defaultRowHeight="15"/>
  <cols>
    <col min="1" max="1" width="35.1640625" bestFit="1" customWidth="1"/>
  </cols>
  <sheetData>
    <row r="1" spans="1:4">
      <c r="A1" s="82"/>
      <c r="B1" s="104">
        <v>2024</v>
      </c>
      <c r="C1" s="76">
        <v>2025</v>
      </c>
    </row>
    <row r="2" spans="1:4">
      <c r="A2" s="78" t="s">
        <v>374</v>
      </c>
      <c r="B2" s="83" t="s">
        <v>423</v>
      </c>
      <c r="C2" s="83" t="s">
        <v>424</v>
      </c>
      <c r="D2" s="83" t="s">
        <v>135</v>
      </c>
    </row>
    <row r="3" spans="1:4">
      <c r="A3" s="78" t="s">
        <v>137</v>
      </c>
      <c r="B3" s="20">
        <f>+SUM('Data-cuentafin'!F3:I3)</f>
        <v>-5577.3056210000004</v>
      </c>
      <c r="C3" s="20">
        <f>+SUM('Data-cuentafin'!B3:E3)</f>
        <v>-9047.4186289999998</v>
      </c>
      <c r="D3" s="58">
        <f>+C3-B3</f>
        <v>-3470.1130079999994</v>
      </c>
    </row>
    <row r="4" spans="1:4">
      <c r="A4" s="78" t="s">
        <v>138</v>
      </c>
      <c r="B4" s="20">
        <f>+SUM('Data-cuentafin'!F4:I4)</f>
        <v>-9172.0829709999998</v>
      </c>
      <c r="C4" s="20">
        <f>+SUM('Data-cuentafin'!B4:E4)</f>
        <v>-7309.9462830000002</v>
      </c>
      <c r="D4" s="58">
        <f t="shared" ref="D4:D17" si="0">+C4-B4</f>
        <v>1862.1366879999996</v>
      </c>
    </row>
    <row r="5" spans="1:4">
      <c r="A5" s="78" t="s">
        <v>139</v>
      </c>
      <c r="B5" s="20">
        <f>+SUM('Data-cuentafin'!F5:I5)</f>
        <v>4511.7931841</v>
      </c>
      <c r="C5" s="20">
        <f>+SUM('Data-cuentafin'!B5:E5)</f>
        <v>4159.3773914900003</v>
      </c>
      <c r="D5" s="58">
        <f t="shared" si="0"/>
        <v>-352.4157926099997</v>
      </c>
    </row>
    <row r="6" spans="1:4">
      <c r="A6" s="78" t="s">
        <v>168</v>
      </c>
      <c r="B6" s="20">
        <f>+SUM('Data-cuentafin'!F6:I6)</f>
        <v>13683.8761553</v>
      </c>
      <c r="C6" s="20">
        <f>+SUM('Data-cuentafin'!B6:E6)</f>
        <v>11469.3236738</v>
      </c>
      <c r="D6" s="58">
        <f t="shared" si="0"/>
        <v>-2214.5524815000008</v>
      </c>
    </row>
    <row r="7" spans="1:4">
      <c r="A7" s="78" t="s">
        <v>203</v>
      </c>
      <c r="B7" s="20">
        <f>+SUM('Data-cuentafin'!F7:I7)</f>
        <v>2271.5760181999999</v>
      </c>
      <c r="C7" s="20">
        <f>+SUM('Data-cuentafin'!B7:E7)</f>
        <v>-7480.3699941000004</v>
      </c>
      <c r="D7" s="58">
        <f t="shared" si="0"/>
        <v>-9751.9460123000008</v>
      </c>
    </row>
    <row r="8" spans="1:4">
      <c r="A8" s="78" t="s">
        <v>139</v>
      </c>
      <c r="B8" s="20">
        <f>+SUM('Data-cuentafin'!F8:I8)</f>
        <v>5384.3293405000004</v>
      </c>
      <c r="C8" s="20">
        <f>+SUM('Data-cuentafin'!B8:E8)</f>
        <v>12390.7622582</v>
      </c>
      <c r="D8" s="58">
        <f t="shared" si="0"/>
        <v>7006.4329177</v>
      </c>
    </row>
    <row r="9" spans="1:4">
      <c r="A9" s="78" t="s">
        <v>168</v>
      </c>
      <c r="B9" s="20">
        <f>+SUM('Data-cuentafin'!F9:I9)</f>
        <v>3112.7533219000002</v>
      </c>
      <c r="C9" s="20">
        <f>+SUM('Data-cuentafin'!B9:E9)</f>
        <v>19871.1322516</v>
      </c>
      <c r="D9" s="58">
        <f t="shared" si="0"/>
        <v>16758.3789297</v>
      </c>
    </row>
    <row r="10" spans="1:4">
      <c r="A10" s="78" t="s">
        <v>375</v>
      </c>
      <c r="B10" s="20">
        <f>+SUM('Data-cuentafin'!F10:I10)</f>
        <v>-56.662580086000048</v>
      </c>
      <c r="C10" s="20">
        <f>+SUM('Data-cuentafin'!B10:E10)</f>
        <v>-1707.4320799999998</v>
      </c>
      <c r="D10" s="58">
        <f t="shared" si="0"/>
        <v>-1650.7694999139999</v>
      </c>
    </row>
    <row r="11" spans="1:4">
      <c r="A11" s="78" t="s">
        <v>139</v>
      </c>
      <c r="B11" s="20">
        <f>+SUM('Data-cuentafin'!F11:I11)</f>
        <v>-575.17204990000005</v>
      </c>
      <c r="C11" s="20">
        <f>+SUM('Data-cuentafin'!B11:E11)</f>
        <v>-1707.4320799999998</v>
      </c>
      <c r="D11" s="58">
        <f t="shared" si="0"/>
        <v>-1132.2600300999998</v>
      </c>
    </row>
    <row r="12" spans="1:4">
      <c r="A12" s="78" t="s">
        <v>168</v>
      </c>
      <c r="B12" s="20">
        <f>+SUM('Data-cuentafin'!F12:I12)</f>
        <v>-518.50946986999998</v>
      </c>
      <c r="C12" s="20">
        <f>+SUM('Data-cuentafin'!B12:E12)</f>
        <v>0</v>
      </c>
      <c r="D12" s="58">
        <f t="shared" si="0"/>
        <v>518.50946986999998</v>
      </c>
    </row>
    <row r="13" spans="1:4">
      <c r="A13" s="78" t="s">
        <v>332</v>
      </c>
      <c r="B13" s="20">
        <f>+SUM('Data-cuentafin'!F13:I13)</f>
        <v>-2213.4500542860005</v>
      </c>
      <c r="C13" s="20">
        <f>+SUM('Data-cuentafin'!B13:E13)</f>
        <v>5285.0897326999993</v>
      </c>
      <c r="D13" s="58">
        <f t="shared" si="0"/>
        <v>7498.5397869859999</v>
      </c>
    </row>
    <row r="14" spans="1:4">
      <c r="A14" s="78" t="s">
        <v>139</v>
      </c>
      <c r="B14" s="20">
        <f>+SUM('Data-cuentafin'!F14:I14)</f>
        <v>101.71658118999994</v>
      </c>
      <c r="C14" s="20">
        <f>+SUM('Data-cuentafin'!B14:E14)</f>
        <v>6134.7469786700003</v>
      </c>
      <c r="D14" s="58">
        <f t="shared" si="0"/>
        <v>6033.0303974800008</v>
      </c>
    </row>
    <row r="15" spans="1:4">
      <c r="A15" s="78" t="s">
        <v>168</v>
      </c>
      <c r="B15" s="20">
        <f>+SUM('Data-cuentafin'!F15:I15)</f>
        <v>2315.1666353800001</v>
      </c>
      <c r="C15" s="20">
        <f>+SUM('Data-cuentafin'!B15:E15)</f>
        <v>849.65724552000006</v>
      </c>
      <c r="D15" s="58">
        <f t="shared" si="0"/>
        <v>-1465.5093898600001</v>
      </c>
    </row>
    <row r="16" spans="1:4">
      <c r="A16" s="78" t="s">
        <v>337</v>
      </c>
      <c r="B16" s="20">
        <f>+SUM('Data-cuentafin'!F16:I16)</f>
        <v>3593.3139661800001</v>
      </c>
      <c r="C16" s="20">
        <f>+SUM('Data-cuentafin'!B16:E16)</f>
        <v>2165.23999276</v>
      </c>
      <c r="D16" s="58">
        <f t="shared" si="0"/>
        <v>-1428.0739734200001</v>
      </c>
    </row>
    <row r="17" spans="1:4">
      <c r="A17" s="78" t="s">
        <v>376</v>
      </c>
      <c r="B17" s="20">
        <f>+SUM('Data-cuentafin'!F17:I17)</f>
        <v>1435.04998434</v>
      </c>
      <c r="C17" s="20">
        <f>+SUM('Data-cuentafin'!B17:E17)</f>
        <v>1835.47516765</v>
      </c>
      <c r="D17" s="58">
        <f t="shared" si="0"/>
        <v>400.42518330999997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83A9-C106-2F4F-B7BA-DBF4AD34B2CB}">
  <dimension ref="A1:DA72"/>
  <sheetViews>
    <sheetView zoomScale="131" workbookViewId="0">
      <selection activeCell="C27" sqref="C27:C46"/>
    </sheetView>
  </sheetViews>
  <sheetFormatPr baseColWidth="10" defaultRowHeight="15"/>
  <cols>
    <col min="1" max="1" width="79.83203125" bestFit="1" customWidth="1"/>
    <col min="3" max="3" width="15.1640625" bestFit="1" customWidth="1"/>
    <col min="4" max="4" width="22.83203125" customWidth="1"/>
    <col min="5" max="5" width="28.6640625" bestFit="1" customWidth="1"/>
    <col min="6" max="6" width="20.33203125" bestFit="1" customWidth="1"/>
    <col min="7" max="7" width="21.1640625" bestFit="1" customWidth="1"/>
    <col min="8" max="8" width="28.6640625" bestFit="1" customWidth="1"/>
    <col min="9" max="9" width="20.33203125" bestFit="1" customWidth="1"/>
    <col min="10" max="10" width="64.1640625" bestFit="1" customWidth="1"/>
    <col min="11" max="11" width="32.1640625" bestFit="1" customWidth="1"/>
    <col min="12" max="12" width="23.33203125" bestFit="1" customWidth="1"/>
    <col min="13" max="13" width="18" bestFit="1" customWidth="1"/>
    <col min="14" max="14" width="32.1640625" bestFit="1" customWidth="1"/>
    <col min="16" max="16" width="20.33203125" bestFit="1" customWidth="1"/>
  </cols>
  <sheetData>
    <row r="1" spans="1:105">
      <c r="A1" s="49" t="s">
        <v>130</v>
      </c>
      <c r="B1" s="156">
        <v>45658</v>
      </c>
      <c r="C1" s="156"/>
      <c r="D1" s="156"/>
      <c r="E1" s="156"/>
      <c r="F1" s="156">
        <v>45292</v>
      </c>
      <c r="G1" s="156"/>
      <c r="H1" s="156"/>
      <c r="I1" s="156"/>
      <c r="J1" s="156">
        <v>44927</v>
      </c>
      <c r="K1" s="156"/>
      <c r="L1" s="156"/>
      <c r="M1" s="156"/>
      <c r="N1" s="156">
        <v>44562</v>
      </c>
      <c r="O1" s="156"/>
      <c r="P1" s="156"/>
      <c r="Q1" s="156"/>
      <c r="R1" s="156">
        <v>44197</v>
      </c>
      <c r="S1" s="156"/>
      <c r="T1" s="156"/>
      <c r="U1" s="156"/>
      <c r="V1" s="156">
        <v>43831</v>
      </c>
      <c r="W1" s="156"/>
      <c r="X1" s="156"/>
      <c r="Y1" s="156"/>
      <c r="Z1" s="156">
        <v>43466</v>
      </c>
      <c r="AA1" s="156"/>
      <c r="AB1" s="156"/>
      <c r="AC1" s="156"/>
      <c r="AD1" s="156">
        <v>43101</v>
      </c>
      <c r="AE1" s="156"/>
      <c r="AF1" s="156"/>
      <c r="AG1" s="156"/>
      <c r="AH1" s="156">
        <v>42736</v>
      </c>
      <c r="AI1" s="156"/>
      <c r="AJ1" s="156"/>
      <c r="AK1" s="156"/>
      <c r="AL1" s="156">
        <v>42370</v>
      </c>
      <c r="AM1" s="156"/>
      <c r="AN1" s="156"/>
      <c r="AO1" s="156"/>
      <c r="AP1" s="156">
        <v>42005</v>
      </c>
      <c r="AQ1" s="156"/>
      <c r="AR1" s="156"/>
      <c r="AS1" s="156"/>
      <c r="AT1" s="156">
        <v>41640</v>
      </c>
      <c r="AU1" s="156"/>
      <c r="AV1" s="156"/>
      <c r="AW1" s="156"/>
      <c r="AX1" s="156">
        <v>41275</v>
      </c>
      <c r="AY1" s="156"/>
      <c r="AZ1" s="156"/>
      <c r="BA1" s="156"/>
      <c r="BB1" s="156">
        <v>40909</v>
      </c>
      <c r="BC1" s="156"/>
      <c r="BD1" s="156"/>
      <c r="BE1" s="156"/>
      <c r="BF1" s="156">
        <v>40544</v>
      </c>
      <c r="BG1" s="156"/>
      <c r="BH1" s="156"/>
      <c r="BI1" s="156"/>
      <c r="BJ1" s="156">
        <v>40179</v>
      </c>
      <c r="BK1" s="156"/>
      <c r="BL1" s="156"/>
      <c r="BM1" s="156"/>
      <c r="BN1" s="156">
        <v>39814</v>
      </c>
      <c r="BO1" s="156"/>
      <c r="BP1" s="156"/>
      <c r="BQ1" s="156"/>
      <c r="BR1" s="156">
        <v>39448</v>
      </c>
      <c r="BS1" s="156"/>
      <c r="BT1" s="156"/>
      <c r="BU1" s="156"/>
      <c r="BV1" s="156">
        <v>39083</v>
      </c>
      <c r="BW1" s="156"/>
      <c r="BX1" s="156"/>
      <c r="BY1" s="156"/>
      <c r="BZ1" s="156">
        <v>38718</v>
      </c>
      <c r="CA1" s="156"/>
      <c r="CB1" s="156"/>
      <c r="CC1" s="156"/>
      <c r="CD1" s="156">
        <v>38353</v>
      </c>
      <c r="CE1" s="156"/>
      <c r="CF1" s="156"/>
      <c r="CG1" s="156"/>
      <c r="CH1" s="156">
        <v>37987</v>
      </c>
      <c r="CI1" s="156"/>
      <c r="CJ1" s="156"/>
      <c r="CK1" s="156"/>
      <c r="CL1" s="156">
        <v>37622</v>
      </c>
      <c r="CM1" s="156"/>
      <c r="CN1" s="156"/>
      <c r="CO1" s="156"/>
      <c r="CP1" s="156">
        <v>37257</v>
      </c>
      <c r="CQ1" s="156"/>
      <c r="CR1" s="156"/>
      <c r="CS1" s="156"/>
      <c r="CT1" s="156">
        <v>36892</v>
      </c>
      <c r="CU1" s="156"/>
      <c r="CV1" s="156"/>
      <c r="CW1" s="156"/>
      <c r="CX1" s="156">
        <v>36526</v>
      </c>
      <c r="CY1" s="156"/>
      <c r="CZ1" s="156"/>
      <c r="DA1" s="156"/>
    </row>
    <row r="2" spans="1:105">
      <c r="A2" s="55" t="s">
        <v>132</v>
      </c>
      <c r="B2" s="49" t="s">
        <v>405</v>
      </c>
      <c r="C2" s="49" t="s">
        <v>404</v>
      </c>
      <c r="D2" s="49" t="s">
        <v>403</v>
      </c>
      <c r="E2" s="49" t="s">
        <v>402</v>
      </c>
      <c r="F2" s="49" t="s">
        <v>405</v>
      </c>
      <c r="G2" s="49" t="s">
        <v>404</v>
      </c>
      <c r="H2" s="49" t="s">
        <v>403</v>
      </c>
      <c r="I2" s="49" t="s">
        <v>402</v>
      </c>
      <c r="J2" s="49" t="s">
        <v>405</v>
      </c>
      <c r="K2" s="49" t="s">
        <v>404</v>
      </c>
      <c r="L2" s="49" t="s">
        <v>403</v>
      </c>
      <c r="M2" s="49" t="s">
        <v>402</v>
      </c>
      <c r="N2" s="49" t="s">
        <v>405</v>
      </c>
      <c r="O2" s="49" t="s">
        <v>404</v>
      </c>
      <c r="P2" s="49" t="s">
        <v>403</v>
      </c>
      <c r="Q2" s="49" t="s">
        <v>402</v>
      </c>
      <c r="R2" s="49" t="s">
        <v>405</v>
      </c>
      <c r="S2" s="49" t="s">
        <v>404</v>
      </c>
      <c r="T2" s="49" t="s">
        <v>403</v>
      </c>
      <c r="U2" s="49" t="s">
        <v>402</v>
      </c>
      <c r="V2" s="49" t="s">
        <v>405</v>
      </c>
      <c r="W2" s="49" t="s">
        <v>404</v>
      </c>
      <c r="X2" s="49" t="s">
        <v>403</v>
      </c>
      <c r="Y2" s="49" t="s">
        <v>402</v>
      </c>
      <c r="Z2" s="49" t="s">
        <v>405</v>
      </c>
      <c r="AA2" s="49" t="s">
        <v>404</v>
      </c>
      <c r="AB2" s="49" t="s">
        <v>403</v>
      </c>
      <c r="AC2" s="49" t="s">
        <v>402</v>
      </c>
      <c r="AD2" s="49" t="s">
        <v>405</v>
      </c>
      <c r="AE2" s="49" t="s">
        <v>404</v>
      </c>
      <c r="AF2" s="49" t="s">
        <v>403</v>
      </c>
      <c r="AG2" s="49" t="s">
        <v>402</v>
      </c>
      <c r="AH2" s="49" t="s">
        <v>405</v>
      </c>
      <c r="AI2" s="49" t="s">
        <v>404</v>
      </c>
      <c r="AJ2" s="49" t="s">
        <v>403</v>
      </c>
      <c r="AK2" s="49" t="s">
        <v>402</v>
      </c>
      <c r="AL2" s="49" t="s">
        <v>405</v>
      </c>
      <c r="AM2" s="49" t="s">
        <v>404</v>
      </c>
      <c r="AN2" s="49" t="s">
        <v>403</v>
      </c>
      <c r="AO2" s="49" t="s">
        <v>402</v>
      </c>
      <c r="AP2" s="49" t="s">
        <v>405</v>
      </c>
      <c r="AQ2" s="49" t="s">
        <v>404</v>
      </c>
      <c r="AR2" s="49" t="s">
        <v>403</v>
      </c>
      <c r="AS2" s="49" t="s">
        <v>402</v>
      </c>
      <c r="AT2" s="49" t="s">
        <v>405</v>
      </c>
      <c r="AU2" s="49" t="s">
        <v>404</v>
      </c>
      <c r="AV2" s="49" t="s">
        <v>403</v>
      </c>
      <c r="AW2" s="49" t="s">
        <v>402</v>
      </c>
      <c r="AX2" s="49" t="s">
        <v>405</v>
      </c>
      <c r="AY2" s="49" t="s">
        <v>404</v>
      </c>
      <c r="AZ2" s="49" t="s">
        <v>403</v>
      </c>
      <c r="BA2" s="49" t="s">
        <v>402</v>
      </c>
      <c r="BB2" s="49" t="s">
        <v>405</v>
      </c>
      <c r="BC2" s="49" t="s">
        <v>404</v>
      </c>
      <c r="BD2" s="49" t="s">
        <v>403</v>
      </c>
      <c r="BE2" s="49" t="s">
        <v>402</v>
      </c>
      <c r="BF2" s="49" t="s">
        <v>405</v>
      </c>
      <c r="BG2" s="49" t="s">
        <v>404</v>
      </c>
      <c r="BH2" s="49" t="s">
        <v>403</v>
      </c>
      <c r="BI2" s="49" t="s">
        <v>402</v>
      </c>
      <c r="BJ2" s="49" t="s">
        <v>405</v>
      </c>
      <c r="BK2" s="49" t="s">
        <v>404</v>
      </c>
      <c r="BL2" s="49" t="s">
        <v>403</v>
      </c>
      <c r="BM2" s="49" t="s">
        <v>402</v>
      </c>
      <c r="BN2" s="49" t="s">
        <v>405</v>
      </c>
      <c r="BO2" s="49" t="s">
        <v>404</v>
      </c>
      <c r="BP2" s="49" t="s">
        <v>403</v>
      </c>
      <c r="BQ2" s="49" t="s">
        <v>402</v>
      </c>
      <c r="BR2" s="49" t="s">
        <v>405</v>
      </c>
      <c r="BS2" s="49" t="s">
        <v>404</v>
      </c>
      <c r="BT2" s="49" t="s">
        <v>403</v>
      </c>
      <c r="BU2" s="49" t="s">
        <v>402</v>
      </c>
      <c r="BV2" s="49" t="s">
        <v>405</v>
      </c>
      <c r="BW2" s="49" t="s">
        <v>404</v>
      </c>
      <c r="BX2" s="49" t="s">
        <v>403</v>
      </c>
      <c r="BY2" s="49" t="s">
        <v>402</v>
      </c>
      <c r="BZ2" s="49" t="s">
        <v>405</v>
      </c>
      <c r="CA2" s="49" t="s">
        <v>404</v>
      </c>
      <c r="CB2" s="49" t="s">
        <v>403</v>
      </c>
      <c r="CC2" s="49" t="s">
        <v>402</v>
      </c>
      <c r="CD2" s="49" t="s">
        <v>405</v>
      </c>
      <c r="CE2" s="49" t="s">
        <v>404</v>
      </c>
      <c r="CF2" s="49" t="s">
        <v>403</v>
      </c>
      <c r="CG2" s="49" t="s">
        <v>402</v>
      </c>
      <c r="CH2" s="49" t="s">
        <v>405</v>
      </c>
      <c r="CI2" s="49" t="s">
        <v>404</v>
      </c>
      <c r="CJ2" s="49" t="s">
        <v>403</v>
      </c>
      <c r="CK2" s="49" t="s">
        <v>402</v>
      </c>
      <c r="CL2" s="49" t="s">
        <v>405</v>
      </c>
      <c r="CM2" s="49" t="s">
        <v>404</v>
      </c>
      <c r="CN2" s="49" t="s">
        <v>403</v>
      </c>
      <c r="CO2" s="49" t="s">
        <v>402</v>
      </c>
      <c r="CP2" s="49" t="s">
        <v>405</v>
      </c>
      <c r="CQ2" s="49" t="s">
        <v>404</v>
      </c>
      <c r="CR2" s="49" t="s">
        <v>403</v>
      </c>
      <c r="CS2" s="49" t="s">
        <v>402</v>
      </c>
      <c r="CT2" s="49" t="s">
        <v>405</v>
      </c>
      <c r="CU2" s="49" t="s">
        <v>404</v>
      </c>
      <c r="CV2" s="49" t="s">
        <v>403</v>
      </c>
      <c r="CW2" s="49" t="s">
        <v>402</v>
      </c>
      <c r="CX2" s="49" t="s">
        <v>405</v>
      </c>
      <c r="CY2" s="49" t="s">
        <v>404</v>
      </c>
      <c r="CZ2" s="49" t="s">
        <v>403</v>
      </c>
      <c r="DA2" s="49" t="s">
        <v>402</v>
      </c>
    </row>
    <row r="3" spans="1:105">
      <c r="A3" s="57" t="s">
        <v>440</v>
      </c>
      <c r="B3" s="58">
        <v>-1474.8760589999999</v>
      </c>
      <c r="C3" s="58">
        <v>-1850.448926</v>
      </c>
      <c r="D3" s="58">
        <v>-2251.1671299999998</v>
      </c>
      <c r="E3" s="58">
        <v>-3470.9265140000002</v>
      </c>
      <c r="F3" s="58">
        <v>-1485.6599590000001</v>
      </c>
      <c r="G3" s="58">
        <v>-1079.5542399999999</v>
      </c>
      <c r="H3" s="58">
        <v>-1024.3852039999999</v>
      </c>
      <c r="I3" s="58">
        <v>-1987.706218</v>
      </c>
      <c r="J3" s="58">
        <v>-2590.7079920000001</v>
      </c>
      <c r="K3" s="58">
        <v>-2699.1471969999998</v>
      </c>
      <c r="L3" s="58">
        <v>-1376.2322280000001</v>
      </c>
      <c r="M3" s="58">
        <v>-1182.4189260000001</v>
      </c>
      <c r="N3" s="58">
        <v>-5036.7238520000001</v>
      </c>
      <c r="O3" s="58">
        <v>-4951.7704540000004</v>
      </c>
      <c r="P3" s="58">
        <v>-5735.7590399999999</v>
      </c>
      <c r="Q3" s="58">
        <v>-4741.4090820000001</v>
      </c>
      <c r="R3" s="58">
        <v>-2789.0141640000002</v>
      </c>
      <c r="S3" s="58">
        <v>-3760.5681380000001</v>
      </c>
      <c r="T3" s="58">
        <v>-4503.8031899999996</v>
      </c>
      <c r="U3" s="58">
        <v>-5639.7417480000004</v>
      </c>
      <c r="V3" s="58">
        <v>-1735.2640699999999</v>
      </c>
      <c r="W3" s="58">
        <v>-1937.5092629999999</v>
      </c>
      <c r="X3" s="58">
        <v>-1857.0479560000001</v>
      </c>
      <c r="Y3" s="58">
        <v>-2583.6427530000001</v>
      </c>
      <c r="Z3" s="58">
        <v>-3519.7456699999998</v>
      </c>
      <c r="AA3" s="58">
        <v>-3333.1027300000001</v>
      </c>
      <c r="AB3" s="58">
        <v>-3739.6584189999999</v>
      </c>
      <c r="AC3" s="58">
        <v>-2705.8199399999999</v>
      </c>
      <c r="AD3" s="58">
        <v>-2876.3381100000001</v>
      </c>
      <c r="AE3" s="58">
        <v>-2718.502622</v>
      </c>
      <c r="AF3" s="58">
        <v>-3487.1221909999999</v>
      </c>
      <c r="AG3" s="58">
        <v>-3871.8907359999998</v>
      </c>
      <c r="AH3" s="58">
        <v>-2986.4244680000002</v>
      </c>
      <c r="AI3" s="58">
        <v>-2624.6045130000002</v>
      </c>
      <c r="AJ3" s="58">
        <v>-2379.3791799999999</v>
      </c>
      <c r="AK3" s="58">
        <v>-1634.507877</v>
      </c>
      <c r="AL3" s="58">
        <v>-3619.8962710000001</v>
      </c>
      <c r="AM3" s="58">
        <v>-3243.641239</v>
      </c>
      <c r="AN3" s="58">
        <v>-3525.417927</v>
      </c>
      <c r="AO3" s="58">
        <v>-1950.418281</v>
      </c>
      <c r="AP3" s="58">
        <v>-5131.9297130000004</v>
      </c>
      <c r="AQ3" s="58">
        <v>-4339.8940990000001</v>
      </c>
      <c r="AR3" s="58">
        <v>-4880.4191579999997</v>
      </c>
      <c r="AS3" s="58">
        <v>-3707.4853309999999</v>
      </c>
      <c r="AT3" s="58">
        <v>-4158.1504610000002</v>
      </c>
      <c r="AU3" s="58">
        <v>-3944.2027950000002</v>
      </c>
      <c r="AV3" s="58">
        <v>-4996.0649000000003</v>
      </c>
      <c r="AW3" s="58">
        <v>-6193.6376639999999</v>
      </c>
      <c r="AX3" s="58">
        <v>-3094.6466369999998</v>
      </c>
      <c r="AY3" s="58">
        <v>-1892.883104</v>
      </c>
      <c r="AZ3" s="58">
        <v>-3429.5932600000001</v>
      </c>
      <c r="BA3" s="58">
        <v>-3322.4903020000002</v>
      </c>
      <c r="BB3" s="58">
        <v>-1549.3214330000001</v>
      </c>
      <c r="BC3" s="58">
        <v>-3193.2441829999998</v>
      </c>
      <c r="BD3" s="58">
        <v>-3520.573269</v>
      </c>
      <c r="BE3" s="58">
        <v>-3289.7459009999998</v>
      </c>
      <c r="BF3" s="58">
        <v>-1411.140725</v>
      </c>
      <c r="BG3" s="58">
        <v>-1575.6301940000001</v>
      </c>
      <c r="BH3" s="58">
        <v>-2552.026304</v>
      </c>
      <c r="BI3" s="58">
        <v>-3168.5214420000002</v>
      </c>
      <c r="BJ3" s="58">
        <v>-1019.317558</v>
      </c>
      <c r="BK3" s="58">
        <v>-1425.6804549999999</v>
      </c>
      <c r="BL3" s="58">
        <v>-3587.7469700000001</v>
      </c>
      <c r="BM3" s="58">
        <v>-3299.0620669999998</v>
      </c>
      <c r="BN3" s="58">
        <v>-750.2903718</v>
      </c>
      <c r="BO3" s="58">
        <v>-1176.9698430000001</v>
      </c>
      <c r="BP3" s="58">
        <v>-1545.3805749999999</v>
      </c>
      <c r="BQ3" s="58">
        <v>-1505.3685720000001</v>
      </c>
      <c r="BR3" s="58">
        <v>-1555.953186</v>
      </c>
      <c r="BS3" s="58">
        <v>-1269.520438</v>
      </c>
      <c r="BT3" s="58">
        <v>-1525.7101319999999</v>
      </c>
      <c r="BU3" s="58">
        <v>-2570.5729259999998</v>
      </c>
      <c r="BV3" s="58">
        <v>-1819.0607419999999</v>
      </c>
      <c r="BW3" s="58">
        <v>-1310.698018</v>
      </c>
      <c r="BX3" s="58">
        <v>-1555.2691709999999</v>
      </c>
      <c r="BY3" s="58">
        <v>-969.55242480000004</v>
      </c>
      <c r="BZ3" s="58">
        <v>-643.76895850000005</v>
      </c>
      <c r="CA3" s="58">
        <v>-614.64016489999995</v>
      </c>
      <c r="CB3" s="58">
        <v>-528.7800585</v>
      </c>
      <c r="CC3" s="58">
        <v>-1076.425534</v>
      </c>
      <c r="CD3" s="58">
        <v>-335.13318889999999</v>
      </c>
      <c r="CE3" s="58">
        <v>-198.9210143</v>
      </c>
      <c r="CF3" s="58">
        <v>-693.96631779999996</v>
      </c>
      <c r="CG3" s="58">
        <v>-279.23500589999998</v>
      </c>
      <c r="CH3" s="58">
        <v>-445.5753899</v>
      </c>
      <c r="CI3" s="58">
        <v>-1.6737101489999999</v>
      </c>
      <c r="CJ3" s="58">
        <v>77.508488271999994</v>
      </c>
      <c r="CK3" s="58">
        <v>-345.39003200000002</v>
      </c>
      <c r="CL3" s="58">
        <v>-690.04103569999995</v>
      </c>
      <c r="CM3" s="58">
        <v>-81.484577160000001</v>
      </c>
      <c r="CN3" s="58">
        <v>40.426879847000002</v>
      </c>
      <c r="CO3" s="58">
        <v>-109.47532990000001</v>
      </c>
      <c r="CP3" s="58">
        <v>-92.865756480000002</v>
      </c>
      <c r="CQ3" s="58">
        <v>-261.28246330000002</v>
      </c>
      <c r="CR3" s="58">
        <v>-386.41549930000002</v>
      </c>
      <c r="CS3" s="58">
        <v>-425.1172598</v>
      </c>
      <c r="CT3" s="58">
        <v>-430.22417890000003</v>
      </c>
      <c r="CU3" s="58">
        <v>-409.25874069999998</v>
      </c>
      <c r="CV3" s="58">
        <v>-197.82398430000001</v>
      </c>
      <c r="CW3" s="58">
        <v>-191.4072137</v>
      </c>
      <c r="CX3" s="58">
        <v>304.80917367000001</v>
      </c>
      <c r="CY3" s="58">
        <v>173.67306515000001</v>
      </c>
      <c r="CZ3" s="58">
        <v>359.82835907999998</v>
      </c>
      <c r="DA3" s="58">
        <v>11.346234988999999</v>
      </c>
    </row>
    <row r="4" spans="1:105">
      <c r="A4" s="57" t="s">
        <v>441</v>
      </c>
      <c r="B4" s="58">
        <v>-2127.9737500000001</v>
      </c>
      <c r="C4" s="58">
        <v>-1561.2484030000001</v>
      </c>
      <c r="D4" s="58">
        <v>-1858.9645599999999</v>
      </c>
      <c r="E4" s="58">
        <v>-1761.7595699999999</v>
      </c>
      <c r="F4" s="58">
        <v>-2407.8678650000002</v>
      </c>
      <c r="G4" s="58">
        <v>-1646.3809650000001</v>
      </c>
      <c r="H4" s="58">
        <v>-2455.6266839999998</v>
      </c>
      <c r="I4" s="58">
        <v>-2662.207457</v>
      </c>
      <c r="J4" s="58">
        <v>-3600.4136250000001</v>
      </c>
      <c r="K4" s="58">
        <v>-5441.7419250000003</v>
      </c>
      <c r="L4" s="58">
        <v>-3334.7105759999999</v>
      </c>
      <c r="M4" s="58">
        <v>-3148.039894</v>
      </c>
      <c r="N4" s="58">
        <v>-3650.5735209999998</v>
      </c>
      <c r="O4" s="58">
        <v>-3660.5871059999999</v>
      </c>
      <c r="P4" s="58">
        <v>-2958.9113550000002</v>
      </c>
      <c r="Q4" s="58">
        <v>-3528.6486420000001</v>
      </c>
      <c r="R4" s="58">
        <v>-1438.1447740000001</v>
      </c>
      <c r="S4" s="58">
        <v>-1012.617587</v>
      </c>
      <c r="T4" s="58">
        <v>-2527.8875939999998</v>
      </c>
      <c r="U4" s="58">
        <v>-1401.8715480000001</v>
      </c>
      <c r="V4" s="58">
        <v>-1924.096372</v>
      </c>
      <c r="W4" s="58">
        <v>-1724.834214</v>
      </c>
      <c r="X4" s="58">
        <v>-258.41570339999998</v>
      </c>
      <c r="Y4" s="58">
        <v>-1817.830072</v>
      </c>
      <c r="Z4" s="58">
        <v>-2652.3073880000002</v>
      </c>
      <c r="AA4" s="58">
        <v>-3625.5956500000002</v>
      </c>
      <c r="AB4" s="58">
        <v>-1677.694992</v>
      </c>
      <c r="AC4" s="58">
        <v>-2880.05951</v>
      </c>
      <c r="AD4" s="58">
        <v>-910.34793549999995</v>
      </c>
      <c r="AE4" s="58">
        <v>-2272.589015</v>
      </c>
      <c r="AF4" s="58">
        <v>-2374.7055869999999</v>
      </c>
      <c r="AG4" s="58">
        <v>-614.73251600000003</v>
      </c>
      <c r="AH4" s="58">
        <v>-1742.660161</v>
      </c>
      <c r="AI4" s="58">
        <v>-1217.402157</v>
      </c>
      <c r="AJ4" s="58">
        <v>-4112.1273030000002</v>
      </c>
      <c r="AK4" s="58">
        <v>-2939.1267499999999</v>
      </c>
      <c r="AL4" s="58">
        <v>-3669.5162650000002</v>
      </c>
      <c r="AM4" s="58">
        <v>-2744.282882</v>
      </c>
      <c r="AN4" s="58">
        <v>-1567.020741</v>
      </c>
      <c r="AO4" s="58">
        <v>-1359.7659120000001</v>
      </c>
      <c r="AP4" s="58">
        <v>-3013.5084550000001</v>
      </c>
      <c r="AQ4" s="58">
        <v>-2922.3472750000001</v>
      </c>
      <c r="AR4" s="58">
        <v>-200.1022614</v>
      </c>
      <c r="AS4" s="58">
        <v>-1266.8382180000001</v>
      </c>
      <c r="AT4" s="58">
        <v>-2895.0308369999998</v>
      </c>
      <c r="AU4" s="58">
        <v>-3469.5277380000002</v>
      </c>
      <c r="AV4" s="58">
        <v>-3675.0693299999998</v>
      </c>
      <c r="AW4" s="58">
        <v>-2230.1322749999999</v>
      </c>
      <c r="AX4" s="58">
        <v>-3281.6817390000001</v>
      </c>
      <c r="AY4" s="58">
        <v>-2962.5358670000001</v>
      </c>
      <c r="AZ4" s="58">
        <v>-2758.660433</v>
      </c>
      <c r="BA4" s="58">
        <v>444.53962594000001</v>
      </c>
      <c r="BB4" s="58">
        <v>-3574.2979690000002</v>
      </c>
      <c r="BC4" s="58">
        <v>-3815.8945549999999</v>
      </c>
      <c r="BD4" s="58">
        <v>-3142.6258819999998</v>
      </c>
      <c r="BE4" s="58">
        <v>-5113.3628250000002</v>
      </c>
      <c r="BF4" s="58">
        <v>-1600.939441</v>
      </c>
      <c r="BG4" s="58">
        <v>-2691.585345</v>
      </c>
      <c r="BH4" s="58">
        <v>-1091.635792</v>
      </c>
      <c r="BI4" s="58">
        <v>-843.06259550000004</v>
      </c>
      <c r="BJ4" s="58">
        <v>-859.13477829999999</v>
      </c>
      <c r="BK4" s="58">
        <v>-1277.192219</v>
      </c>
      <c r="BL4" s="58">
        <v>2320.5365986000002</v>
      </c>
      <c r="BM4" s="58">
        <v>-1131.5404329999999</v>
      </c>
      <c r="BN4" s="58">
        <v>-827.96790350000003</v>
      </c>
      <c r="BO4" s="58">
        <v>-1914.181317</v>
      </c>
      <c r="BP4" s="58">
        <v>-1988.1584989999999</v>
      </c>
      <c r="BQ4" s="58">
        <v>200.21944511999999</v>
      </c>
      <c r="BR4" s="58">
        <v>-2122.3781760000002</v>
      </c>
      <c r="BS4" s="58">
        <v>-1571.3376000000001</v>
      </c>
      <c r="BT4" s="58">
        <v>-1564.920691</v>
      </c>
      <c r="BU4" s="58">
        <v>-2220.3949600000001</v>
      </c>
      <c r="BV4" s="58">
        <v>-2323.0439150000002</v>
      </c>
      <c r="BW4" s="58">
        <v>-2061.2979350000001</v>
      </c>
      <c r="BX4" s="58">
        <v>-1977.255731</v>
      </c>
      <c r="BY4" s="58">
        <v>-1245.3704250000001</v>
      </c>
      <c r="BZ4" s="58">
        <v>-952.07040859999995</v>
      </c>
      <c r="CA4" s="58">
        <v>-1509.283486</v>
      </c>
      <c r="CB4" s="58">
        <v>-963.62907840000003</v>
      </c>
      <c r="CC4" s="58">
        <v>-2057.885636</v>
      </c>
      <c r="CD4" s="58">
        <v>-853.97224600000004</v>
      </c>
      <c r="CE4" s="58">
        <v>-1593.042385</v>
      </c>
      <c r="CF4" s="58">
        <v>-911.59057789999997</v>
      </c>
      <c r="CG4" s="58">
        <v>-2081.3006620000001</v>
      </c>
      <c r="CH4" s="58">
        <v>-632.97567370000002</v>
      </c>
      <c r="CI4" s="58">
        <v>-725.42935069999999</v>
      </c>
      <c r="CJ4" s="58">
        <v>-858.22215530000005</v>
      </c>
      <c r="CK4" s="58">
        <v>-706.55960689999995</v>
      </c>
      <c r="CL4" s="58">
        <v>-270.1233082</v>
      </c>
      <c r="CM4" s="58">
        <v>-484.95946629999997</v>
      </c>
      <c r="CN4" s="58">
        <v>-532.11059499999999</v>
      </c>
      <c r="CO4" s="58">
        <v>504.38706432999999</v>
      </c>
      <c r="CP4" s="58">
        <v>-839.1219092</v>
      </c>
      <c r="CQ4" s="58">
        <v>-559.63532110000006</v>
      </c>
      <c r="CR4" s="58">
        <v>414.32861095999999</v>
      </c>
      <c r="CS4" s="58">
        <v>-292.44376670000003</v>
      </c>
      <c r="CT4" s="58">
        <v>-517.91769509999995</v>
      </c>
      <c r="CU4" s="58">
        <v>-978.79277520000005</v>
      </c>
      <c r="CV4" s="58">
        <v>-461.421314</v>
      </c>
      <c r="CW4" s="58">
        <v>-567.69137699999999</v>
      </c>
      <c r="CX4" s="58">
        <v>-339.94791199999997</v>
      </c>
      <c r="CY4" s="58">
        <v>-455.42207930000001</v>
      </c>
      <c r="CZ4" s="58">
        <v>-766.80517480000003</v>
      </c>
      <c r="DA4" s="58">
        <v>-548.93822939999995</v>
      </c>
    </row>
    <row r="5" spans="1:105">
      <c r="A5" s="57" t="s">
        <v>442</v>
      </c>
      <c r="B5" s="58">
        <v>638.27243872999998</v>
      </c>
      <c r="C5" s="58">
        <v>1736.8969411</v>
      </c>
      <c r="D5" s="58">
        <v>1024.1860988999999</v>
      </c>
      <c r="E5" s="58">
        <v>760.02191275999996</v>
      </c>
      <c r="F5" s="58">
        <v>1139.6195069</v>
      </c>
      <c r="G5" s="58">
        <v>1119.5248022000001</v>
      </c>
      <c r="H5" s="58">
        <v>848.92260409999994</v>
      </c>
      <c r="I5" s="58">
        <v>1403.7262708999999</v>
      </c>
      <c r="J5" s="58">
        <v>563.48995252999998</v>
      </c>
      <c r="K5" s="58">
        <v>-106.9773016</v>
      </c>
      <c r="L5" s="58">
        <v>503.26247907999999</v>
      </c>
      <c r="M5" s="58">
        <v>309.02157828999998</v>
      </c>
      <c r="N5" s="58">
        <v>1283.9154618</v>
      </c>
      <c r="O5" s="58">
        <v>1382.0135775000001</v>
      </c>
      <c r="P5" s="58">
        <v>154.30704786999999</v>
      </c>
      <c r="Q5" s="58">
        <v>563.26878603</v>
      </c>
      <c r="R5" s="58">
        <v>868.70867410000005</v>
      </c>
      <c r="S5" s="58">
        <v>984.40661153999997</v>
      </c>
      <c r="T5" s="58">
        <v>179.10135572999999</v>
      </c>
      <c r="U5" s="58">
        <v>1148.5971323000001</v>
      </c>
      <c r="V5" s="58">
        <v>1250.5033673</v>
      </c>
      <c r="W5" s="58">
        <v>-353.45318370000001</v>
      </c>
      <c r="X5" s="58">
        <v>585.57290953999996</v>
      </c>
      <c r="Y5" s="58">
        <v>250.82552978000001</v>
      </c>
      <c r="Z5" s="58">
        <v>741.39450437000005</v>
      </c>
      <c r="AA5" s="58">
        <v>464.56004087000002</v>
      </c>
      <c r="AB5" s="58">
        <v>1485.3981549</v>
      </c>
      <c r="AC5" s="58">
        <v>462.14378856000002</v>
      </c>
      <c r="AD5" s="58">
        <v>1071.9762853</v>
      </c>
      <c r="AE5" s="58">
        <v>1500.3551914</v>
      </c>
      <c r="AF5" s="58">
        <v>329.69723800999998</v>
      </c>
      <c r="AG5" s="58">
        <v>2224.2890062000001</v>
      </c>
      <c r="AH5" s="58">
        <v>716.45076865999999</v>
      </c>
      <c r="AI5" s="58">
        <v>1274.7645861000001</v>
      </c>
      <c r="AJ5" s="58">
        <v>844.57620448</v>
      </c>
      <c r="AK5" s="58">
        <v>853.77251535000005</v>
      </c>
      <c r="AL5" s="58">
        <v>1011.8442567</v>
      </c>
      <c r="AM5" s="58">
        <v>912.70175081000002</v>
      </c>
      <c r="AN5" s="58">
        <v>676.85327761999997</v>
      </c>
      <c r="AO5" s="58">
        <v>1915.9526347999999</v>
      </c>
      <c r="AP5" s="58">
        <v>235.03489364000001</v>
      </c>
      <c r="AQ5" s="58">
        <v>1145.8079680999999</v>
      </c>
      <c r="AR5" s="58">
        <v>1997.0561580999999</v>
      </c>
      <c r="AS5" s="58">
        <v>839.83741615999998</v>
      </c>
      <c r="AT5" s="58">
        <v>894.89606649999996</v>
      </c>
      <c r="AU5" s="58">
        <v>1475.8810484999999</v>
      </c>
      <c r="AV5" s="58">
        <v>-1.8889446299999999</v>
      </c>
      <c r="AW5" s="58">
        <v>1530.0533637000001</v>
      </c>
      <c r="AX5" s="58">
        <v>388.60974326000002</v>
      </c>
      <c r="AY5" s="58">
        <v>1052.5250579999999</v>
      </c>
      <c r="AZ5" s="58">
        <v>1954.3140251</v>
      </c>
      <c r="BA5" s="58">
        <v>4256.6317767999999</v>
      </c>
      <c r="BB5" s="58">
        <v>-40.964598539999997</v>
      </c>
      <c r="BC5" s="58">
        <v>417.26445940999997</v>
      </c>
      <c r="BD5" s="58">
        <v>185.13302655999999</v>
      </c>
      <c r="BE5" s="58">
        <v>-1167.63498</v>
      </c>
      <c r="BF5" s="58">
        <v>1512.3815147</v>
      </c>
      <c r="BG5" s="58">
        <v>412.10985897</v>
      </c>
      <c r="BH5" s="58">
        <v>2684.7301111000002</v>
      </c>
      <c r="BI5" s="58">
        <v>3810.6039799</v>
      </c>
      <c r="BJ5" s="58">
        <v>346.41553061000002</v>
      </c>
      <c r="BK5" s="58">
        <v>667.70439711999995</v>
      </c>
      <c r="BL5" s="58">
        <v>4669.1462819999997</v>
      </c>
      <c r="BM5" s="58">
        <v>-200.607428</v>
      </c>
      <c r="BN5" s="58">
        <v>1461.9320094</v>
      </c>
      <c r="BO5" s="58">
        <v>875.50711630000001</v>
      </c>
      <c r="BP5" s="58">
        <v>-29.068470990000002</v>
      </c>
      <c r="BQ5" s="58">
        <v>1196.2872483000001</v>
      </c>
      <c r="BR5" s="58">
        <v>595.15954311999997</v>
      </c>
      <c r="BS5" s="58">
        <v>775.02831462999995</v>
      </c>
      <c r="BT5" s="58">
        <v>1033.049049</v>
      </c>
      <c r="BU5" s="58">
        <v>681.88746136999998</v>
      </c>
      <c r="BV5" s="58">
        <v>-296.7622101</v>
      </c>
      <c r="BW5" s="58">
        <v>167.43841653999999</v>
      </c>
      <c r="BX5" s="58">
        <v>348.47290788999999</v>
      </c>
      <c r="BY5" s="58">
        <v>1059.6472765000001</v>
      </c>
      <c r="BZ5" s="58">
        <v>250.60524563000001</v>
      </c>
      <c r="CA5" s="58">
        <v>300.41861108000001</v>
      </c>
      <c r="CB5" s="58">
        <v>763.55554480000001</v>
      </c>
      <c r="CC5" s="58">
        <v>-46.822698860000003</v>
      </c>
      <c r="CD5" s="58">
        <v>26.246760685000002</v>
      </c>
      <c r="CE5" s="58">
        <v>7.1346637849999999</v>
      </c>
      <c r="CF5" s="58">
        <v>67.207353894999997</v>
      </c>
      <c r="CG5" s="58">
        <v>4694.9226656999999</v>
      </c>
      <c r="CH5" s="58">
        <v>48.656310390000002</v>
      </c>
      <c r="CI5" s="58">
        <v>22.08587387</v>
      </c>
      <c r="CJ5" s="58">
        <v>27.283066999999999</v>
      </c>
      <c r="CK5" s="58">
        <v>94.423835670000003</v>
      </c>
      <c r="CL5" s="58">
        <v>49.060548500000003</v>
      </c>
      <c r="CM5" s="58">
        <v>34.986235739999998</v>
      </c>
      <c r="CN5" s="58">
        <v>8.8701228000000008</v>
      </c>
      <c r="CO5" s="58">
        <v>844.77024327000004</v>
      </c>
      <c r="CP5" s="58">
        <v>69.8926807</v>
      </c>
      <c r="CQ5" s="58">
        <v>42.030211199999997</v>
      </c>
      <c r="CR5" s="58">
        <v>611.49573190000001</v>
      </c>
      <c r="CS5" s="58">
        <v>133.40711429999999</v>
      </c>
      <c r="CT5" s="58">
        <v>36.497669000000002</v>
      </c>
      <c r="CU5" s="58">
        <v>62.944689799999999</v>
      </c>
      <c r="CV5" s="58">
        <v>-227.40978390000001</v>
      </c>
      <c r="CW5" s="58">
        <v>144.08687599999999</v>
      </c>
      <c r="CX5" s="58">
        <v>47.841982999999999</v>
      </c>
      <c r="CY5" s="58">
        <v>145.93469494999999</v>
      </c>
      <c r="CZ5" s="58">
        <v>6.2737639999999999</v>
      </c>
      <c r="DA5" s="58">
        <v>125.296086</v>
      </c>
    </row>
    <row r="6" spans="1:105">
      <c r="A6" s="57" t="s">
        <v>443</v>
      </c>
      <c r="B6" s="58">
        <v>2766.2461883999999</v>
      </c>
      <c r="C6" s="58">
        <v>3298.1453437</v>
      </c>
      <c r="D6" s="58">
        <v>2883.1506591000002</v>
      </c>
      <c r="E6" s="58">
        <v>2521.7814825999999</v>
      </c>
      <c r="F6" s="58">
        <v>3547.4873717</v>
      </c>
      <c r="G6" s="58">
        <v>2765.9057671999999</v>
      </c>
      <c r="H6" s="58">
        <v>3304.5492883000002</v>
      </c>
      <c r="I6" s="58">
        <v>4065.9337280999998</v>
      </c>
      <c r="J6" s="58">
        <v>4163.9035777999998</v>
      </c>
      <c r="K6" s="58">
        <v>5334.7646230999999</v>
      </c>
      <c r="L6" s="58">
        <v>3837.9730555000001</v>
      </c>
      <c r="M6" s="58">
        <v>3457.0614721000002</v>
      </c>
      <c r="N6" s="58">
        <v>4934.4889829000003</v>
      </c>
      <c r="O6" s="58">
        <v>5042.6006838000003</v>
      </c>
      <c r="P6" s="58">
        <v>3113.2184031000002</v>
      </c>
      <c r="Q6" s="58">
        <v>4091.9174281000001</v>
      </c>
      <c r="R6" s="58">
        <v>2306.8534476999998</v>
      </c>
      <c r="S6" s="58">
        <v>1997.0241986000001</v>
      </c>
      <c r="T6" s="58">
        <v>2706.9889496000001</v>
      </c>
      <c r="U6" s="58">
        <v>2550.4686808000001</v>
      </c>
      <c r="V6" s="58">
        <v>3174.5997395999998</v>
      </c>
      <c r="W6" s="58">
        <v>1371.38103</v>
      </c>
      <c r="X6" s="58">
        <v>843.98861293000004</v>
      </c>
      <c r="Y6" s="58">
        <v>2068.6556016999998</v>
      </c>
      <c r="Z6" s="58">
        <v>3393.7018922000002</v>
      </c>
      <c r="AA6" s="58">
        <v>4090.1556907999998</v>
      </c>
      <c r="AB6" s="58">
        <v>3163.0931467999999</v>
      </c>
      <c r="AC6" s="58">
        <v>3342.2032985999999</v>
      </c>
      <c r="AD6" s="58">
        <v>1982.3242207999999</v>
      </c>
      <c r="AE6" s="58">
        <v>3772.9442061999998</v>
      </c>
      <c r="AF6" s="58">
        <v>2704.4028245999998</v>
      </c>
      <c r="AG6" s="58">
        <v>2839.0215223</v>
      </c>
      <c r="AH6" s="58">
        <v>2459.1109298000001</v>
      </c>
      <c r="AI6" s="58">
        <v>2492.1667431000001</v>
      </c>
      <c r="AJ6" s="58">
        <v>4956.7035073999996</v>
      </c>
      <c r="AK6" s="58">
        <v>3792.8992649000002</v>
      </c>
      <c r="AL6" s="58">
        <v>4681.3605221999997</v>
      </c>
      <c r="AM6" s="58">
        <v>3656.9846330999999</v>
      </c>
      <c r="AN6" s="58">
        <v>2243.8740185000001</v>
      </c>
      <c r="AO6" s="58">
        <v>3275.7185469000001</v>
      </c>
      <c r="AP6" s="58">
        <v>3248.543349</v>
      </c>
      <c r="AQ6" s="58">
        <v>4068.1552428</v>
      </c>
      <c r="AR6" s="58">
        <v>2197.1584195</v>
      </c>
      <c r="AS6" s="58">
        <v>2106.6756344999999</v>
      </c>
      <c r="AT6" s="58">
        <v>3789.9269033999999</v>
      </c>
      <c r="AU6" s="58">
        <v>4945.4087863000004</v>
      </c>
      <c r="AV6" s="58">
        <v>3673.1803859000001</v>
      </c>
      <c r="AW6" s="58">
        <v>3760.1856392</v>
      </c>
      <c r="AX6" s="58">
        <v>3670.2914820000001</v>
      </c>
      <c r="AY6" s="58">
        <v>4015.0609250000002</v>
      </c>
      <c r="AZ6" s="58">
        <v>4712.9744581000004</v>
      </c>
      <c r="BA6" s="58">
        <v>3812.0921509</v>
      </c>
      <c r="BB6" s="58">
        <v>3533.3333708</v>
      </c>
      <c r="BC6" s="58">
        <v>4233.1590149000003</v>
      </c>
      <c r="BD6" s="58">
        <v>3327.7589085999998</v>
      </c>
      <c r="BE6" s="58">
        <v>3945.7278446</v>
      </c>
      <c r="BF6" s="58">
        <v>3113.3209557999999</v>
      </c>
      <c r="BG6" s="58">
        <v>3103.6952037999999</v>
      </c>
      <c r="BH6" s="58">
        <v>3776.3659034000002</v>
      </c>
      <c r="BI6" s="58">
        <v>4653.6665753999996</v>
      </c>
      <c r="BJ6" s="58">
        <v>1205.5503088999999</v>
      </c>
      <c r="BK6" s="58">
        <v>1944.8966158000001</v>
      </c>
      <c r="BL6" s="58">
        <v>2348.6096834</v>
      </c>
      <c r="BM6" s="58">
        <v>930.93300481999995</v>
      </c>
      <c r="BN6" s="58">
        <v>2289.8999128999999</v>
      </c>
      <c r="BO6" s="58">
        <v>2789.6884332</v>
      </c>
      <c r="BP6" s="58">
        <v>1959.0900279</v>
      </c>
      <c r="BQ6" s="58">
        <v>996.06780314000002</v>
      </c>
      <c r="BR6" s="58">
        <v>2717.5377195000001</v>
      </c>
      <c r="BS6" s="58">
        <v>2346.3659148000002</v>
      </c>
      <c r="BT6" s="58">
        <v>2597.9697399000001</v>
      </c>
      <c r="BU6" s="58">
        <v>2902.2824218000001</v>
      </c>
      <c r="BV6" s="58">
        <v>2026.2817052</v>
      </c>
      <c r="BW6" s="58">
        <v>2228.7363519999999</v>
      </c>
      <c r="BX6" s="58">
        <v>2325.7286388000002</v>
      </c>
      <c r="BY6" s="58">
        <v>2305.0177014999999</v>
      </c>
      <c r="BZ6" s="58">
        <v>1202.6756542000001</v>
      </c>
      <c r="CA6" s="58">
        <v>1809.7020969</v>
      </c>
      <c r="CB6" s="58">
        <v>1727.1846232</v>
      </c>
      <c r="CC6" s="58">
        <v>2011.0629368</v>
      </c>
      <c r="CD6" s="58">
        <v>880.21900672000004</v>
      </c>
      <c r="CE6" s="58">
        <v>1600.1770486</v>
      </c>
      <c r="CF6" s="58">
        <v>978.79793178</v>
      </c>
      <c r="CG6" s="58">
        <v>6776.223328</v>
      </c>
      <c r="CH6" s="58">
        <v>681.63198413999999</v>
      </c>
      <c r="CI6" s="58">
        <v>747.51522454999997</v>
      </c>
      <c r="CJ6" s="58">
        <v>885.50522230000001</v>
      </c>
      <c r="CK6" s="58">
        <v>800.98344253000005</v>
      </c>
      <c r="CL6" s="58">
        <v>319.18385675000002</v>
      </c>
      <c r="CM6" s="58">
        <v>519.94570199999998</v>
      </c>
      <c r="CN6" s="58">
        <v>540.98071780999999</v>
      </c>
      <c r="CO6" s="58">
        <v>340.38317893999999</v>
      </c>
      <c r="CP6" s="58">
        <v>909.01458989000002</v>
      </c>
      <c r="CQ6" s="58">
        <v>601.66553231</v>
      </c>
      <c r="CR6" s="58">
        <v>197.16712093999999</v>
      </c>
      <c r="CS6" s="58">
        <v>425.85088101999997</v>
      </c>
      <c r="CT6" s="58">
        <v>554.41536412000005</v>
      </c>
      <c r="CU6" s="58">
        <v>1041.7374649999999</v>
      </c>
      <c r="CV6" s="58">
        <v>234.01153012</v>
      </c>
      <c r="CW6" s="58">
        <v>711.77825296000003</v>
      </c>
      <c r="CX6" s="58">
        <v>387.789895</v>
      </c>
      <c r="CY6" s="58">
        <v>601.35677422000003</v>
      </c>
      <c r="CZ6" s="58">
        <v>773.07893879000005</v>
      </c>
      <c r="DA6" s="58">
        <v>674.23431542000003</v>
      </c>
    </row>
    <row r="7" spans="1:105">
      <c r="A7" s="57" t="s">
        <v>444</v>
      </c>
      <c r="B7" s="58">
        <v>2941.0469398999999</v>
      </c>
      <c r="C7" s="58">
        <v>-3760.1064540000002</v>
      </c>
      <c r="D7" s="58">
        <v>-4963.3955640000004</v>
      </c>
      <c r="E7" s="58">
        <v>-1697.9149159999999</v>
      </c>
      <c r="F7" s="58">
        <v>1415.8371325000001</v>
      </c>
      <c r="G7" s="58">
        <v>-451.2502465</v>
      </c>
      <c r="H7" s="58">
        <v>3489.4302171999998</v>
      </c>
      <c r="I7" s="58">
        <v>-2182.4410849999999</v>
      </c>
      <c r="J7" s="58">
        <v>1111.2809603000001</v>
      </c>
      <c r="K7" s="58">
        <v>1519.8078743000001</v>
      </c>
      <c r="L7" s="58">
        <v>4527.3294861000004</v>
      </c>
      <c r="M7" s="58">
        <v>1504.3073412000001</v>
      </c>
      <c r="N7" s="58">
        <v>1865.9167996000001</v>
      </c>
      <c r="O7" s="58">
        <v>-759.03031510000005</v>
      </c>
      <c r="P7" s="58">
        <v>-233.03538560000001</v>
      </c>
      <c r="Q7" s="58">
        <v>-446.84972670000002</v>
      </c>
      <c r="R7" s="58">
        <v>1318.8280556</v>
      </c>
      <c r="S7" s="58">
        <v>-6089.3846750000002</v>
      </c>
      <c r="T7" s="58">
        <v>850.56586331999995</v>
      </c>
      <c r="U7" s="58">
        <v>-675.38217320000001</v>
      </c>
      <c r="V7" s="58">
        <v>-167.5652642</v>
      </c>
      <c r="W7" s="58">
        <v>-3429.2090950000002</v>
      </c>
      <c r="X7" s="58">
        <v>322.73472513000002</v>
      </c>
      <c r="Y7" s="58">
        <v>1505.9343418999999</v>
      </c>
      <c r="Z7" s="58">
        <v>-1381.969814</v>
      </c>
      <c r="AA7" s="58">
        <v>-282.21007179999998</v>
      </c>
      <c r="AB7" s="58">
        <v>137.16906595</v>
      </c>
      <c r="AC7" s="58">
        <v>1551.0805783999999</v>
      </c>
      <c r="AD7" s="58">
        <v>1714.6031926999999</v>
      </c>
      <c r="AE7" s="58">
        <v>349.95587760000001</v>
      </c>
      <c r="AF7" s="58">
        <v>482.02914982999999</v>
      </c>
      <c r="AG7" s="58">
        <v>-1684.262921</v>
      </c>
      <c r="AH7" s="58">
        <v>181.83985182999999</v>
      </c>
      <c r="AI7" s="58">
        <v>-2178.4286240000001</v>
      </c>
      <c r="AJ7" s="58">
        <v>-423.8269209</v>
      </c>
      <c r="AK7" s="58">
        <v>620.49381697000001</v>
      </c>
      <c r="AL7" s="58">
        <v>-894.96318080000003</v>
      </c>
      <c r="AM7" s="58">
        <v>-1685.0859390000001</v>
      </c>
      <c r="AN7" s="58">
        <v>-1092.6191289999999</v>
      </c>
      <c r="AO7" s="58">
        <v>-1272.5789850000001</v>
      </c>
      <c r="AP7" s="58">
        <v>-2439.6581449999999</v>
      </c>
      <c r="AQ7" s="58">
        <v>-1433.933728</v>
      </c>
      <c r="AR7" s="58">
        <v>-5077.3300579999996</v>
      </c>
      <c r="AS7" s="58">
        <v>-139.9689343</v>
      </c>
      <c r="AT7" s="58">
        <v>-2872.585024</v>
      </c>
      <c r="AU7" s="58">
        <v>-2054.8012279999998</v>
      </c>
      <c r="AV7" s="58">
        <v>-4760.0466919999999</v>
      </c>
      <c r="AW7" s="58">
        <v>-1877.38814</v>
      </c>
      <c r="AX7" s="58">
        <v>-2271.403448</v>
      </c>
      <c r="AY7" s="58">
        <v>-1099.741446</v>
      </c>
      <c r="AZ7" s="58">
        <v>-2172.4056049999999</v>
      </c>
      <c r="BA7" s="58">
        <v>-1894.4477509999999</v>
      </c>
      <c r="BB7" s="58">
        <v>1884.5413177999999</v>
      </c>
      <c r="BC7" s="58">
        <v>-2663.1037769999998</v>
      </c>
      <c r="BD7" s="58">
        <v>-3301.3951280000001</v>
      </c>
      <c r="BE7" s="58">
        <v>-689.39490809999995</v>
      </c>
      <c r="BF7" s="58">
        <v>332.89718615999999</v>
      </c>
      <c r="BG7" s="58">
        <v>-456.73956279999999</v>
      </c>
      <c r="BH7" s="58">
        <v>-2571.1716750000001</v>
      </c>
      <c r="BI7" s="58">
        <v>-3475.764361</v>
      </c>
      <c r="BJ7" s="58">
        <v>2160.0824413999999</v>
      </c>
      <c r="BK7" s="58">
        <v>-741.63370080000004</v>
      </c>
      <c r="BL7" s="58">
        <v>-789.41050170000005</v>
      </c>
      <c r="BM7" s="58">
        <v>-541.06888919999994</v>
      </c>
      <c r="BN7" s="58">
        <v>-2041.8096660000001</v>
      </c>
      <c r="BO7" s="58">
        <v>-1045.727873</v>
      </c>
      <c r="BP7" s="58">
        <v>1415.3837612</v>
      </c>
      <c r="BQ7" s="58">
        <v>-1924.2728959999999</v>
      </c>
      <c r="BR7" s="58">
        <v>661.15123700000004</v>
      </c>
      <c r="BS7" s="58">
        <v>79.266378394</v>
      </c>
      <c r="BT7" s="58">
        <v>-90.735571129999997</v>
      </c>
      <c r="BU7" s="58">
        <v>361.87759409</v>
      </c>
      <c r="BV7" s="58">
        <v>-131.480445</v>
      </c>
      <c r="BW7" s="58">
        <v>-382.30527430000001</v>
      </c>
      <c r="BX7" s="58">
        <v>26.007039296999999</v>
      </c>
      <c r="BY7" s="58">
        <v>673.29383960999996</v>
      </c>
      <c r="BZ7" s="58">
        <v>685.96690378000005</v>
      </c>
      <c r="CA7" s="58">
        <v>2167.6797231</v>
      </c>
      <c r="CB7" s="58">
        <v>-864.22963649999997</v>
      </c>
      <c r="CC7" s="58">
        <v>172.04747637</v>
      </c>
      <c r="CD7" s="58">
        <v>-143.5173997</v>
      </c>
      <c r="CE7" s="58">
        <v>817.23830916999998</v>
      </c>
      <c r="CF7" s="58">
        <v>-159.13579669999999</v>
      </c>
      <c r="CG7" s="58">
        <v>969.06190300000003</v>
      </c>
      <c r="CH7" s="58">
        <v>165.99409589000001</v>
      </c>
      <c r="CI7" s="58">
        <v>631.73056541000005</v>
      </c>
      <c r="CJ7" s="58">
        <v>129.73713627999999</v>
      </c>
      <c r="CK7" s="58">
        <v>-1157.0035359999999</v>
      </c>
      <c r="CL7" s="58">
        <v>120.98109891</v>
      </c>
      <c r="CM7" s="58">
        <v>925.65559034</v>
      </c>
      <c r="CN7" s="58">
        <v>447.90210381000003</v>
      </c>
      <c r="CO7" s="58">
        <v>-139.33845439999999</v>
      </c>
      <c r="CP7" s="58">
        <v>1255.0023862</v>
      </c>
      <c r="CQ7" s="58">
        <v>487.70921628000002</v>
      </c>
      <c r="CR7" s="58">
        <v>-648.47755340000003</v>
      </c>
      <c r="CS7" s="58">
        <v>-768.40464729999997</v>
      </c>
      <c r="CT7" s="58">
        <v>-204.52152229999999</v>
      </c>
      <c r="CU7" s="58">
        <v>-1058.7273250000001</v>
      </c>
      <c r="CV7" s="58">
        <v>275.08189571999998</v>
      </c>
      <c r="CW7" s="58">
        <v>-139.2001362</v>
      </c>
      <c r="CX7" s="58">
        <v>-361.80447220000002</v>
      </c>
      <c r="CY7" s="58">
        <v>351.07499216000002</v>
      </c>
      <c r="CZ7" s="58">
        <v>390.23646387999997</v>
      </c>
      <c r="DA7" s="58">
        <v>-554.19768669999996</v>
      </c>
    </row>
    <row r="8" spans="1:105">
      <c r="A8" s="57" t="s">
        <v>442</v>
      </c>
      <c r="B8" s="58">
        <v>4147.8933854999996</v>
      </c>
      <c r="C8" s="58">
        <v>2510.7488843000001</v>
      </c>
      <c r="D8" s="58">
        <v>1393.4634738</v>
      </c>
      <c r="E8" s="58">
        <v>4338.6565146000003</v>
      </c>
      <c r="F8" s="58">
        <v>1999.1305913000001</v>
      </c>
      <c r="G8" s="58">
        <v>1225.4572926000001</v>
      </c>
      <c r="H8" s="58">
        <v>2417.0796022999998</v>
      </c>
      <c r="I8" s="58">
        <v>-257.33814569999998</v>
      </c>
      <c r="J8" s="58">
        <v>2101.3245086000002</v>
      </c>
      <c r="K8" s="58">
        <v>1100.3013599000001</v>
      </c>
      <c r="L8" s="58">
        <v>2975.5265393</v>
      </c>
      <c r="M8" s="58">
        <v>3602.4234931000001</v>
      </c>
      <c r="N8" s="58">
        <v>2666.3395875000001</v>
      </c>
      <c r="O8" s="58">
        <v>662.57911091999995</v>
      </c>
      <c r="P8" s="58">
        <v>410.76047270999999</v>
      </c>
      <c r="Q8" s="58">
        <v>-432.85185589999998</v>
      </c>
      <c r="R8" s="58">
        <v>422.03813277</v>
      </c>
      <c r="S8" s="58">
        <v>-159.10247749999999</v>
      </c>
      <c r="T8" s="58">
        <v>1693.4784302</v>
      </c>
      <c r="U8" s="58">
        <v>1794.7911994999999</v>
      </c>
      <c r="V8" s="58">
        <v>-870.09335160000001</v>
      </c>
      <c r="W8" s="58">
        <v>1252.4186738000001</v>
      </c>
      <c r="X8" s="58">
        <v>2281.8829814999999</v>
      </c>
      <c r="Y8" s="58">
        <v>3082.7380683000001</v>
      </c>
      <c r="Z8" s="58">
        <v>-715.11662539999998</v>
      </c>
      <c r="AA8" s="58">
        <v>637.10267432000001</v>
      </c>
      <c r="AB8" s="58">
        <v>408.09622736</v>
      </c>
      <c r="AC8" s="58">
        <v>-14.73270232</v>
      </c>
      <c r="AD8" s="58">
        <v>1867.6810513999999</v>
      </c>
      <c r="AE8" s="58">
        <v>90.808538773999999</v>
      </c>
      <c r="AF8" s="58">
        <v>1063.5028224</v>
      </c>
      <c r="AG8" s="58">
        <v>-1810.7951909999999</v>
      </c>
      <c r="AH8" s="58">
        <v>1985.6794609999999</v>
      </c>
      <c r="AI8" s="58">
        <v>-744.14010370000005</v>
      </c>
      <c r="AJ8" s="58">
        <v>2377.6522540000001</v>
      </c>
      <c r="AK8" s="58">
        <v>2393.165927</v>
      </c>
      <c r="AL8" s="58">
        <v>1314.1877879000001</v>
      </c>
      <c r="AM8" s="58">
        <v>1229.1086235</v>
      </c>
      <c r="AN8" s="58">
        <v>1513.8407930999999</v>
      </c>
      <c r="AO8" s="58">
        <v>1026.8603808</v>
      </c>
      <c r="AP8" s="58">
        <v>1590.2182504</v>
      </c>
      <c r="AQ8" s="58">
        <v>874.77950598999996</v>
      </c>
      <c r="AR8" s="58">
        <v>-2286.6893129999999</v>
      </c>
      <c r="AS8" s="58">
        <v>-578.47071919999996</v>
      </c>
      <c r="AT8" s="58">
        <v>1358.7374053999999</v>
      </c>
      <c r="AU8" s="58">
        <v>3947.3153256999999</v>
      </c>
      <c r="AV8" s="58">
        <v>1662.8910808999999</v>
      </c>
      <c r="AW8" s="58">
        <v>127.26372103</v>
      </c>
      <c r="AX8" s="58">
        <v>772.46092867000004</v>
      </c>
      <c r="AY8" s="58">
        <v>763.60097381000003</v>
      </c>
      <c r="AZ8" s="58">
        <v>3298.4041689999999</v>
      </c>
      <c r="BA8" s="58">
        <v>-1199.3675029999999</v>
      </c>
      <c r="BB8" s="58">
        <v>3163.7173118999999</v>
      </c>
      <c r="BC8" s="58">
        <v>-1295.4275540000001</v>
      </c>
      <c r="BD8" s="58">
        <v>486.60173227000001</v>
      </c>
      <c r="BE8" s="58">
        <v>231.45984414</v>
      </c>
      <c r="BF8" s="58">
        <v>2204.1531169</v>
      </c>
      <c r="BG8" s="58">
        <v>543.39152949000004</v>
      </c>
      <c r="BH8" s="58">
        <v>-266.03533809999999</v>
      </c>
      <c r="BI8" s="58">
        <v>-1120.186557</v>
      </c>
      <c r="BJ8" s="58">
        <v>1588.0992784</v>
      </c>
      <c r="BK8" s="58">
        <v>313.10843025999998</v>
      </c>
      <c r="BL8" s="58">
        <v>723.94380379999996</v>
      </c>
      <c r="BM8" s="58">
        <v>725.36809550999999</v>
      </c>
      <c r="BN8" s="58">
        <v>-1067.8109649999999</v>
      </c>
      <c r="BO8" s="58">
        <v>-610.55980729999999</v>
      </c>
      <c r="BP8" s="58">
        <v>3241.7345992999999</v>
      </c>
      <c r="BQ8" s="58">
        <v>-491.63509060000001</v>
      </c>
      <c r="BR8" s="58">
        <v>475.6789584</v>
      </c>
      <c r="BS8" s="58">
        <v>-428.80895420000002</v>
      </c>
      <c r="BT8" s="58">
        <v>-199.99994670000001</v>
      </c>
      <c r="BU8" s="58">
        <v>-30.522592509999999</v>
      </c>
      <c r="BV8" s="58">
        <v>-53.417512309999999</v>
      </c>
      <c r="BW8" s="58">
        <v>499.17593611000001</v>
      </c>
      <c r="BX8" s="58">
        <v>899.7766537</v>
      </c>
      <c r="BY8" s="58">
        <v>723.83299034000004</v>
      </c>
      <c r="BZ8" s="58">
        <v>312.72239962999998</v>
      </c>
      <c r="CA8" s="58">
        <v>1160.2850942</v>
      </c>
      <c r="CB8" s="58">
        <v>835.01357007000001</v>
      </c>
      <c r="CC8" s="58">
        <v>755.42946753000001</v>
      </c>
      <c r="CD8" s="58">
        <v>283.05036656999999</v>
      </c>
      <c r="CE8" s="58">
        <v>116.68568018000001</v>
      </c>
      <c r="CF8" s="58">
        <v>-210.95974670000001</v>
      </c>
      <c r="CG8" s="58">
        <v>1242.3482339</v>
      </c>
      <c r="CH8" s="58">
        <v>337.17747543000002</v>
      </c>
      <c r="CI8" s="58">
        <v>568.75998059999995</v>
      </c>
      <c r="CJ8" s="58">
        <v>717.43797042999995</v>
      </c>
      <c r="CK8" s="58">
        <v>-547.21427189999997</v>
      </c>
      <c r="CL8" s="58">
        <v>146.05209411000001</v>
      </c>
      <c r="CM8" s="58">
        <v>566.31890074</v>
      </c>
      <c r="CN8" s="58">
        <v>542.66526331</v>
      </c>
      <c r="CO8" s="58">
        <v>229.72096239999999</v>
      </c>
      <c r="CP8" s="58">
        <v>609.35210015999996</v>
      </c>
      <c r="CQ8" s="58">
        <v>-168.52514429999999</v>
      </c>
      <c r="CR8" s="58">
        <v>-610.02593330000002</v>
      </c>
      <c r="CS8" s="58">
        <v>-437.49273069999998</v>
      </c>
      <c r="CT8" s="58">
        <v>534.07405709</v>
      </c>
      <c r="CU8" s="58">
        <v>748.90497033999998</v>
      </c>
      <c r="CV8" s="58">
        <v>418.73247065999999</v>
      </c>
      <c r="CW8" s="58">
        <v>620.16404197999998</v>
      </c>
      <c r="CX8" s="58">
        <v>409.84496736</v>
      </c>
      <c r="CY8" s="58">
        <v>525.79504817999998</v>
      </c>
      <c r="CZ8" s="58">
        <v>501.94062208000003</v>
      </c>
      <c r="DA8" s="58">
        <v>-158.8960582</v>
      </c>
    </row>
    <row r="9" spans="1:105">
      <c r="A9" s="57" t="s">
        <v>443</v>
      </c>
      <c r="B9" s="58">
        <v>1206.8464455999999</v>
      </c>
      <c r="C9" s="58">
        <v>6270.8553379000004</v>
      </c>
      <c r="D9" s="58">
        <v>6356.8590373999996</v>
      </c>
      <c r="E9" s="58">
        <v>6036.5714306999998</v>
      </c>
      <c r="F9" s="58">
        <v>583.29345880000005</v>
      </c>
      <c r="G9" s="58">
        <v>1676.7075391000001</v>
      </c>
      <c r="H9" s="58">
        <v>-1072.3506150000001</v>
      </c>
      <c r="I9" s="58">
        <v>1925.1029390000001</v>
      </c>
      <c r="J9" s="58">
        <v>990.04354826999997</v>
      </c>
      <c r="K9" s="58">
        <v>-419.50651440000001</v>
      </c>
      <c r="L9" s="58">
        <v>-1551.8029469999999</v>
      </c>
      <c r="M9" s="58">
        <v>2098.1161519000002</v>
      </c>
      <c r="N9" s="58">
        <v>800.42278791000001</v>
      </c>
      <c r="O9" s="58">
        <v>1421.609426</v>
      </c>
      <c r="P9" s="58">
        <v>643.79585835</v>
      </c>
      <c r="Q9" s="58">
        <v>13.997870797999999</v>
      </c>
      <c r="R9" s="58">
        <v>-896.78992289999997</v>
      </c>
      <c r="S9" s="58">
        <v>5930.2821977000003</v>
      </c>
      <c r="T9" s="58">
        <v>842.91256683999995</v>
      </c>
      <c r="U9" s="58">
        <v>2470.1733727000001</v>
      </c>
      <c r="V9" s="58">
        <v>-702.5280874</v>
      </c>
      <c r="W9" s="58">
        <v>4681.6277687000002</v>
      </c>
      <c r="X9" s="58">
        <v>1959.1482563</v>
      </c>
      <c r="Y9" s="58">
        <v>1576.8037263000001</v>
      </c>
      <c r="Z9" s="58">
        <v>666.85318903999996</v>
      </c>
      <c r="AA9" s="58">
        <v>919.31274612000004</v>
      </c>
      <c r="AB9" s="58">
        <v>270.92716142</v>
      </c>
      <c r="AC9" s="58">
        <v>-1565.813281</v>
      </c>
      <c r="AD9" s="58">
        <v>153.07785867999999</v>
      </c>
      <c r="AE9" s="58">
        <v>-259.1473388</v>
      </c>
      <c r="AF9" s="58">
        <v>581.47367255999995</v>
      </c>
      <c r="AG9" s="58">
        <v>-126.5322695</v>
      </c>
      <c r="AH9" s="58">
        <v>1803.8396091</v>
      </c>
      <c r="AI9" s="58">
        <v>1434.2885203999999</v>
      </c>
      <c r="AJ9" s="58">
        <v>2801.4791749000001</v>
      </c>
      <c r="AK9" s="58">
        <v>1772.67211</v>
      </c>
      <c r="AL9" s="58">
        <v>2209.1509686999998</v>
      </c>
      <c r="AM9" s="58">
        <v>2914.1945627</v>
      </c>
      <c r="AN9" s="58">
        <v>2606.4599222000002</v>
      </c>
      <c r="AO9" s="58">
        <v>2299.4393653000002</v>
      </c>
      <c r="AP9" s="58">
        <v>4029.8763958999998</v>
      </c>
      <c r="AQ9" s="58">
        <v>2308.7132338000001</v>
      </c>
      <c r="AR9" s="58">
        <v>2790.6407451</v>
      </c>
      <c r="AS9" s="58">
        <v>-438.50178490000002</v>
      </c>
      <c r="AT9" s="58">
        <v>4231.3224292000004</v>
      </c>
      <c r="AU9" s="58">
        <v>6002.1165533000003</v>
      </c>
      <c r="AV9" s="58">
        <v>6422.9377727000001</v>
      </c>
      <c r="AW9" s="58">
        <v>2004.6518610000001</v>
      </c>
      <c r="AX9" s="58">
        <v>3043.8643763</v>
      </c>
      <c r="AY9" s="58">
        <v>1863.3424195</v>
      </c>
      <c r="AZ9" s="58">
        <v>5470.8097740000003</v>
      </c>
      <c r="BA9" s="58">
        <v>695.08024751999994</v>
      </c>
      <c r="BB9" s="58">
        <v>1279.1759941</v>
      </c>
      <c r="BC9" s="58">
        <v>1367.6762228</v>
      </c>
      <c r="BD9" s="58">
        <v>3787.9968604000001</v>
      </c>
      <c r="BE9" s="58">
        <v>920.85475226999995</v>
      </c>
      <c r="BF9" s="58">
        <v>1871.2559306999999</v>
      </c>
      <c r="BG9" s="58">
        <v>1000.1310923</v>
      </c>
      <c r="BH9" s="58">
        <v>2305.1363365000002</v>
      </c>
      <c r="BI9" s="58">
        <v>2355.5778040999999</v>
      </c>
      <c r="BJ9" s="58">
        <v>-571.98316299999999</v>
      </c>
      <c r="BK9" s="58">
        <v>1054.742131</v>
      </c>
      <c r="BL9" s="58">
        <v>1513.3543053999999</v>
      </c>
      <c r="BM9" s="58">
        <v>1266.4369847</v>
      </c>
      <c r="BN9" s="58">
        <v>973.99870014999999</v>
      </c>
      <c r="BO9" s="58">
        <v>435.16806607000001</v>
      </c>
      <c r="BP9" s="58">
        <v>1826.3508380000001</v>
      </c>
      <c r="BQ9" s="58">
        <v>1432.6378052</v>
      </c>
      <c r="BR9" s="58">
        <v>-185.47227860000001</v>
      </c>
      <c r="BS9" s="58">
        <v>-508.07533260000002</v>
      </c>
      <c r="BT9" s="58">
        <v>-109.26437559999999</v>
      </c>
      <c r="BU9" s="58">
        <v>-392.40018659999998</v>
      </c>
      <c r="BV9" s="58">
        <v>78.062932700000005</v>
      </c>
      <c r="BW9" s="58">
        <v>881.48121040000001</v>
      </c>
      <c r="BX9" s="58">
        <v>873.76961440000002</v>
      </c>
      <c r="BY9" s="58">
        <v>50.539150730000003</v>
      </c>
      <c r="BZ9" s="58">
        <v>-373.24450409999997</v>
      </c>
      <c r="CA9" s="58">
        <v>-1007.394629</v>
      </c>
      <c r="CB9" s="58">
        <v>1699.2432065999999</v>
      </c>
      <c r="CC9" s="58">
        <v>583.38199115999998</v>
      </c>
      <c r="CD9" s="58">
        <v>426.56776626999999</v>
      </c>
      <c r="CE9" s="58">
        <v>-700.55262900000002</v>
      </c>
      <c r="CF9" s="58">
        <v>-51.823949980000002</v>
      </c>
      <c r="CG9" s="58">
        <v>273.28633088999999</v>
      </c>
      <c r="CH9" s="58">
        <v>171.18337954</v>
      </c>
      <c r="CI9" s="58">
        <v>-62.970584809999998</v>
      </c>
      <c r="CJ9" s="58">
        <v>587.70083414999999</v>
      </c>
      <c r="CK9" s="58">
        <v>609.78926367999998</v>
      </c>
      <c r="CL9" s="58">
        <v>25.070995199999999</v>
      </c>
      <c r="CM9" s="58">
        <v>-359.3366896</v>
      </c>
      <c r="CN9" s="58">
        <v>94.7631595</v>
      </c>
      <c r="CO9" s="58">
        <v>369.05941681000002</v>
      </c>
      <c r="CP9" s="58">
        <v>-645.65028600000005</v>
      </c>
      <c r="CQ9" s="58">
        <v>-656.23436059999995</v>
      </c>
      <c r="CR9" s="58">
        <v>38.451620149999997</v>
      </c>
      <c r="CS9" s="58">
        <v>330.91191660999999</v>
      </c>
      <c r="CT9" s="58">
        <v>738.59557943000004</v>
      </c>
      <c r="CU9" s="58">
        <v>1807.6322950000001</v>
      </c>
      <c r="CV9" s="58">
        <v>143.65057494000001</v>
      </c>
      <c r="CW9" s="58">
        <v>759.36417816000005</v>
      </c>
      <c r="CX9" s="58">
        <v>771.64943959000004</v>
      </c>
      <c r="CY9" s="58">
        <v>174.72005601999999</v>
      </c>
      <c r="CZ9" s="58">
        <v>111.70415821</v>
      </c>
      <c r="DA9" s="58">
        <v>395.30162855999998</v>
      </c>
    </row>
    <row r="10" spans="1:105">
      <c r="A10" s="57" t="s">
        <v>445</v>
      </c>
      <c r="B10" s="58">
        <v>-422.282895</v>
      </c>
      <c r="C10" s="58">
        <v>-448.318195</v>
      </c>
      <c r="D10" s="58">
        <v>-398.30489499999999</v>
      </c>
      <c r="E10" s="58">
        <v>-438.526095</v>
      </c>
      <c r="F10" s="58">
        <v>-575.17204990000005</v>
      </c>
      <c r="G10" s="58">
        <v>80.169823273999995</v>
      </c>
      <c r="H10" s="58">
        <v>281.66982326999999</v>
      </c>
      <c r="I10" s="58">
        <v>156.66982326999999</v>
      </c>
      <c r="J10" s="58">
        <v>-248.37005310000001</v>
      </c>
      <c r="K10" s="58">
        <v>-756.28899639999997</v>
      </c>
      <c r="L10" s="58">
        <v>-690.52362960000005</v>
      </c>
      <c r="M10" s="58">
        <v>-879.40544580000005</v>
      </c>
      <c r="N10" s="58">
        <v>-377.13607869999998</v>
      </c>
      <c r="O10" s="58">
        <v>36.169823274000002</v>
      </c>
      <c r="P10" s="58">
        <v>487.33717306</v>
      </c>
      <c r="Q10" s="58">
        <v>676.96965304000003</v>
      </c>
      <c r="R10" s="58">
        <v>-320.86280019999998</v>
      </c>
      <c r="S10" s="58">
        <v>181.65367391999999</v>
      </c>
      <c r="T10" s="58">
        <v>356.06058618999998</v>
      </c>
      <c r="U10" s="58">
        <v>148.30763382000001</v>
      </c>
      <c r="V10" s="58">
        <v>148.99982664999999</v>
      </c>
      <c r="W10" s="58">
        <v>-130.02681419999999</v>
      </c>
      <c r="X10" s="58">
        <v>28.736269082</v>
      </c>
      <c r="Y10" s="58">
        <v>-560.92558229999997</v>
      </c>
      <c r="Z10" s="58">
        <v>-91.35012949</v>
      </c>
      <c r="AA10" s="58">
        <v>201.98403825</v>
      </c>
      <c r="AB10" s="58">
        <v>189.57196482000001</v>
      </c>
      <c r="AC10" s="58">
        <v>-216.2061162</v>
      </c>
      <c r="AD10" s="58">
        <v>-370.83123230000001</v>
      </c>
      <c r="AE10" s="58">
        <v>140.9923067</v>
      </c>
      <c r="AF10" s="58">
        <v>151.75350073000001</v>
      </c>
      <c r="AG10" s="58">
        <v>99.349116456999994</v>
      </c>
      <c r="AH10" s="58">
        <v>114.46075318</v>
      </c>
      <c r="AI10" s="58">
        <v>238.45341184</v>
      </c>
      <c r="AJ10" s="58">
        <v>-29.480413370000001</v>
      </c>
      <c r="AK10" s="58">
        <v>41.898261038000001</v>
      </c>
      <c r="AL10" s="58">
        <v>-28.08567343</v>
      </c>
      <c r="AM10" s="58">
        <v>-169.29466199999999</v>
      </c>
      <c r="AN10" s="58">
        <v>-97.39575121</v>
      </c>
      <c r="AO10" s="58">
        <v>-326.55011710000002</v>
      </c>
      <c r="AP10" s="58">
        <v>601.20460462000005</v>
      </c>
      <c r="AQ10" s="58">
        <v>31.384444618</v>
      </c>
      <c r="AR10" s="58">
        <v>1238.0332034999999</v>
      </c>
      <c r="AS10" s="58">
        <v>85.137640551999993</v>
      </c>
      <c r="AT10" s="58">
        <v>196.06427343999999</v>
      </c>
      <c r="AU10" s="58">
        <v>-249.94928999999999</v>
      </c>
      <c r="AV10" s="58">
        <v>25.659229452999998</v>
      </c>
      <c r="AW10" s="58">
        <v>636.39265437999995</v>
      </c>
      <c r="AX10" s="58">
        <v>-21.71680503</v>
      </c>
      <c r="AY10" s="58">
        <v>140.02824192</v>
      </c>
      <c r="AZ10" s="58">
        <v>-18.796394750000001</v>
      </c>
      <c r="BA10" s="58">
        <v>18.475669961000001</v>
      </c>
      <c r="BB10" s="58">
        <v>-273.78667350000001</v>
      </c>
      <c r="BC10" s="58">
        <v>-125.3600295</v>
      </c>
      <c r="BD10" s="58">
        <v>-56.269088910000001</v>
      </c>
      <c r="BE10" s="58">
        <v>-58.411658690000003</v>
      </c>
      <c r="BF10" s="58">
        <v>-52.49210566</v>
      </c>
      <c r="BG10" s="58">
        <v>-57.793565530000002</v>
      </c>
      <c r="BH10" s="58">
        <v>8.7256270886999996</v>
      </c>
      <c r="BI10" s="58">
        <v>137.59216115000001</v>
      </c>
      <c r="BJ10" s="58">
        <v>-156.3285262</v>
      </c>
      <c r="BK10" s="58">
        <v>-22.78377145</v>
      </c>
      <c r="BL10" s="58">
        <v>-122.1611066</v>
      </c>
      <c r="BM10" s="58">
        <v>24.691335637000002</v>
      </c>
      <c r="BN10" s="58">
        <v>183.16054761999999</v>
      </c>
      <c r="BO10" s="58">
        <v>-261.83883600000001</v>
      </c>
      <c r="BP10" s="58">
        <v>-269.3042471</v>
      </c>
      <c r="BQ10" s="58">
        <v>-121.5751855</v>
      </c>
      <c r="BR10" s="58">
        <v>-315.07441510000001</v>
      </c>
      <c r="BS10" s="58">
        <v>-307.3688593</v>
      </c>
      <c r="BT10" s="58">
        <v>362.03754961999999</v>
      </c>
      <c r="BU10" s="58">
        <v>217.40085635</v>
      </c>
      <c r="BV10" s="58">
        <v>0</v>
      </c>
      <c r="BW10" s="58">
        <v>0</v>
      </c>
      <c r="BX10" s="58">
        <v>0</v>
      </c>
      <c r="BY10" s="58">
        <v>0</v>
      </c>
      <c r="BZ10" s="58">
        <v>0.81</v>
      </c>
      <c r="CA10" s="58">
        <v>0.78500000000000003</v>
      </c>
      <c r="CB10" s="58">
        <v>3</v>
      </c>
      <c r="CC10" s="58">
        <v>4</v>
      </c>
      <c r="CD10" s="58">
        <v>23.118369448999999</v>
      </c>
      <c r="CE10" s="58">
        <v>28.803114664999999</v>
      </c>
      <c r="CF10" s="58">
        <v>5.8494451944000003</v>
      </c>
      <c r="CG10" s="58">
        <v>3.6949999999999998</v>
      </c>
      <c r="CH10" s="58">
        <v>30.583163561999999</v>
      </c>
      <c r="CI10" s="58">
        <v>15.850705917999999</v>
      </c>
      <c r="CJ10" s="58">
        <v>46.941726092000003</v>
      </c>
      <c r="CK10" s="58">
        <v>95.662030449</v>
      </c>
      <c r="CL10" s="58">
        <v>30.479989539000002</v>
      </c>
      <c r="CM10" s="58">
        <v>18.466413427999999</v>
      </c>
      <c r="CN10" s="58">
        <v>22.514988163999998</v>
      </c>
      <c r="CO10" s="58">
        <v>29.497154721000001</v>
      </c>
      <c r="CP10" s="58">
        <v>37.326149506</v>
      </c>
      <c r="CQ10" s="58">
        <v>35.251842836000002</v>
      </c>
      <c r="CR10" s="58">
        <v>21.655873261</v>
      </c>
      <c r="CS10" s="58">
        <v>16.907073236999999</v>
      </c>
      <c r="CT10" s="58">
        <v>32.334289452999997</v>
      </c>
      <c r="CU10" s="58">
        <v>33.443069031</v>
      </c>
      <c r="CV10" s="58">
        <v>32.926565625999999</v>
      </c>
      <c r="CW10" s="58">
        <v>33.879230563999997</v>
      </c>
      <c r="CX10" s="58">
        <v>24.923932000000001</v>
      </c>
      <c r="CY10" s="58">
        <v>31.378123984999998</v>
      </c>
      <c r="CZ10" s="58">
        <v>32.670875168999999</v>
      </c>
      <c r="DA10" s="58">
        <v>32.985394843999998</v>
      </c>
    </row>
    <row r="11" spans="1:105">
      <c r="A11" s="57" t="s">
        <v>442</v>
      </c>
      <c r="B11" s="58">
        <v>-422.282895</v>
      </c>
      <c r="C11" s="58">
        <v>-448.318195</v>
      </c>
      <c r="D11" s="58">
        <v>-398.30489499999999</v>
      </c>
      <c r="E11" s="58">
        <v>-438.526095</v>
      </c>
      <c r="F11" s="58">
        <v>-575.17204990000005</v>
      </c>
      <c r="G11" s="58">
        <v>0</v>
      </c>
      <c r="H11" s="58">
        <v>0</v>
      </c>
      <c r="I11" s="58">
        <v>0</v>
      </c>
      <c r="J11" s="58">
        <v>-248.37005310000001</v>
      </c>
      <c r="K11" s="58">
        <v>-756.28899639999997</v>
      </c>
      <c r="L11" s="58">
        <v>-690.52362960000005</v>
      </c>
      <c r="M11" s="58">
        <v>-879.40544580000005</v>
      </c>
      <c r="N11" s="58">
        <v>-377.13607869999998</v>
      </c>
      <c r="O11" s="58">
        <v>-104.0308539</v>
      </c>
      <c r="P11" s="58">
        <v>0</v>
      </c>
      <c r="Q11" s="58">
        <v>0</v>
      </c>
      <c r="R11" s="58">
        <v>-331.63655999999997</v>
      </c>
      <c r="S11" s="58">
        <v>0</v>
      </c>
      <c r="T11" s="58">
        <v>0</v>
      </c>
      <c r="U11" s="58">
        <v>-87.155201579999996</v>
      </c>
      <c r="V11" s="58">
        <v>-41.54565341</v>
      </c>
      <c r="W11" s="58">
        <v>-436.41672340000002</v>
      </c>
      <c r="X11" s="58">
        <v>-41.199593380000003</v>
      </c>
      <c r="Y11" s="58">
        <v>-561.72482609999997</v>
      </c>
      <c r="Z11" s="58">
        <v>-140.88672879999999</v>
      </c>
      <c r="AA11" s="58">
        <v>-8.2744291039999993</v>
      </c>
      <c r="AB11" s="58">
        <v>-37.218885700000001</v>
      </c>
      <c r="AC11" s="58">
        <v>-218.83997389999999</v>
      </c>
      <c r="AD11" s="58">
        <v>-408.00682499999999</v>
      </c>
      <c r="AE11" s="58">
        <v>-2.1689353219999998</v>
      </c>
      <c r="AF11" s="58">
        <v>-4.6150489090000004</v>
      </c>
      <c r="AG11" s="58">
        <v>-58.419700929999998</v>
      </c>
      <c r="AH11" s="58">
        <v>-5.3119009129999997</v>
      </c>
      <c r="AI11" s="58">
        <v>-6.4872667650000002</v>
      </c>
      <c r="AJ11" s="58">
        <v>-142.01671440000001</v>
      </c>
      <c r="AK11" s="58">
        <v>-14.953037520000001</v>
      </c>
      <c r="AL11" s="58">
        <v>-91.690309099999993</v>
      </c>
      <c r="AM11" s="58">
        <v>-185.52221320000001</v>
      </c>
      <c r="AN11" s="58">
        <v>-163.8698488</v>
      </c>
      <c r="AO11" s="58">
        <v>-353.09055669999998</v>
      </c>
      <c r="AP11" s="58">
        <v>-63.683351399999999</v>
      </c>
      <c r="AQ11" s="58">
        <v>-0.49261081200000001</v>
      </c>
      <c r="AR11" s="58">
        <v>-10.03897574</v>
      </c>
      <c r="AS11" s="58">
        <v>-148.97436210000001</v>
      </c>
      <c r="AT11" s="58">
        <v>-7.372603035</v>
      </c>
      <c r="AU11" s="58">
        <v>-257.9222547</v>
      </c>
      <c r="AV11" s="58">
        <v>-41.030712880000003</v>
      </c>
      <c r="AW11" s="58">
        <v>-17.156014389999999</v>
      </c>
      <c r="AX11" s="58">
        <v>-37.241635330000001</v>
      </c>
      <c r="AY11" s="58">
        <v>-8.8377300259999991</v>
      </c>
      <c r="AZ11" s="58">
        <v>-28.365846999999999</v>
      </c>
      <c r="BA11" s="58">
        <v>0</v>
      </c>
      <c r="BB11" s="58">
        <v>-288.0329079</v>
      </c>
      <c r="BC11" s="58">
        <v>-126.3940096</v>
      </c>
      <c r="BD11" s="58">
        <v>-81.450296010000002</v>
      </c>
      <c r="BE11" s="58">
        <v>-85.069040630000003</v>
      </c>
      <c r="BF11" s="58">
        <v>-52.49210566</v>
      </c>
      <c r="BG11" s="58">
        <v>-57.793565530000002</v>
      </c>
      <c r="BH11" s="58">
        <v>-7.1640551129999999</v>
      </c>
      <c r="BI11" s="58">
        <v>-12.58903832</v>
      </c>
      <c r="BJ11" s="58">
        <v>-156.3285262</v>
      </c>
      <c r="BK11" s="58">
        <v>-22.78377145</v>
      </c>
      <c r="BL11" s="58">
        <v>-122.1611066</v>
      </c>
      <c r="BM11" s="58">
        <v>0</v>
      </c>
      <c r="BN11" s="58">
        <v>0</v>
      </c>
      <c r="BO11" s="58">
        <v>-261.83883600000001</v>
      </c>
      <c r="BP11" s="58">
        <v>-269.3042471</v>
      </c>
      <c r="BQ11" s="58">
        <v>-121.5751855</v>
      </c>
      <c r="BR11" s="58">
        <v>-315.07441510000001</v>
      </c>
      <c r="BS11" s="58">
        <v>-307.3688593</v>
      </c>
      <c r="BT11" s="58">
        <v>0</v>
      </c>
      <c r="BU11" s="58">
        <v>0</v>
      </c>
      <c r="BV11" s="58">
        <v>0</v>
      </c>
      <c r="BW11" s="58">
        <v>0</v>
      </c>
      <c r="BX11" s="58">
        <v>0</v>
      </c>
      <c r="BY11" s="58">
        <v>0</v>
      </c>
      <c r="BZ11" s="58">
        <v>0</v>
      </c>
      <c r="CA11" s="58">
        <v>0</v>
      </c>
      <c r="CB11" s="58">
        <v>0</v>
      </c>
      <c r="CC11" s="58">
        <v>0</v>
      </c>
      <c r="CD11" s="58">
        <v>0</v>
      </c>
      <c r="CE11" s="58">
        <v>0</v>
      </c>
      <c r="CF11" s="58">
        <v>0</v>
      </c>
      <c r="CG11" s="58">
        <v>0</v>
      </c>
      <c r="CH11" s="58">
        <v>0</v>
      </c>
      <c r="CI11" s="58">
        <v>0</v>
      </c>
      <c r="CJ11" s="58">
        <v>0</v>
      </c>
      <c r="CK11" s="58">
        <v>0</v>
      </c>
      <c r="CL11" s="58">
        <v>0</v>
      </c>
      <c r="CM11" s="58">
        <v>0</v>
      </c>
      <c r="CN11" s="58">
        <v>0</v>
      </c>
      <c r="CO11" s="58">
        <v>0</v>
      </c>
      <c r="CP11" s="58">
        <v>0</v>
      </c>
      <c r="CQ11" s="58">
        <v>0</v>
      </c>
      <c r="CR11" s="58">
        <v>0</v>
      </c>
      <c r="CS11" s="58">
        <v>0</v>
      </c>
      <c r="CT11" s="58">
        <v>0</v>
      </c>
      <c r="CU11" s="58">
        <v>0</v>
      </c>
      <c r="CV11" s="58">
        <v>0</v>
      </c>
      <c r="CW11" s="58">
        <v>0</v>
      </c>
      <c r="CX11" s="58">
        <v>0</v>
      </c>
      <c r="CY11" s="58">
        <v>0</v>
      </c>
      <c r="CZ11" s="58">
        <v>0</v>
      </c>
      <c r="DA11" s="58">
        <v>0</v>
      </c>
    </row>
    <row r="12" spans="1:105">
      <c r="A12" s="57" t="s">
        <v>443</v>
      </c>
      <c r="B12" s="58">
        <v>0</v>
      </c>
      <c r="C12" s="58">
        <v>0</v>
      </c>
      <c r="D12" s="58">
        <v>0</v>
      </c>
      <c r="E12" s="58">
        <v>0</v>
      </c>
      <c r="F12" s="58">
        <v>0</v>
      </c>
      <c r="G12" s="58">
        <v>-80.169823269999995</v>
      </c>
      <c r="H12" s="58">
        <v>-281.66982330000002</v>
      </c>
      <c r="I12" s="58">
        <v>-156.66982329999999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-140.2006772</v>
      </c>
      <c r="P12" s="58">
        <v>-487.33717309999997</v>
      </c>
      <c r="Q12" s="58">
        <v>-676.96965299999999</v>
      </c>
      <c r="R12" s="58">
        <v>-10.773759800000001</v>
      </c>
      <c r="S12" s="58">
        <v>-181.6536739</v>
      </c>
      <c r="T12" s="58">
        <v>-356.06058619999999</v>
      </c>
      <c r="U12" s="58">
        <v>-235.46283539999999</v>
      </c>
      <c r="V12" s="58">
        <v>-190.54548009999999</v>
      </c>
      <c r="W12" s="58">
        <v>-306.38990919999998</v>
      </c>
      <c r="X12" s="58">
        <v>-69.935862459999996</v>
      </c>
      <c r="Y12" s="58">
        <v>-0.799243759</v>
      </c>
      <c r="Z12" s="58">
        <v>-49.536599289999998</v>
      </c>
      <c r="AA12" s="58">
        <v>-210.2584674</v>
      </c>
      <c r="AB12" s="58">
        <v>-226.7908505</v>
      </c>
      <c r="AC12" s="58">
        <v>-2.6338576709999999</v>
      </c>
      <c r="AD12" s="58">
        <v>-37.175592729999998</v>
      </c>
      <c r="AE12" s="58">
        <v>-143.16124199999999</v>
      </c>
      <c r="AF12" s="58">
        <v>-156.36854959999999</v>
      </c>
      <c r="AG12" s="58">
        <v>-157.76881739999999</v>
      </c>
      <c r="AH12" s="58">
        <v>-119.7726541</v>
      </c>
      <c r="AI12" s="58">
        <v>-244.94067860000001</v>
      </c>
      <c r="AJ12" s="58">
        <v>-112.53630099999999</v>
      </c>
      <c r="AK12" s="58">
        <v>-56.851298559999996</v>
      </c>
      <c r="AL12" s="58">
        <v>-63.60463567</v>
      </c>
      <c r="AM12" s="58">
        <v>-16.227551250000001</v>
      </c>
      <c r="AN12" s="58">
        <v>-66.474097549999996</v>
      </c>
      <c r="AO12" s="58">
        <v>-26.540439589999998</v>
      </c>
      <c r="AP12" s="58">
        <v>-664.88795600000003</v>
      </c>
      <c r="AQ12" s="58">
        <v>-31.877055429999999</v>
      </c>
      <c r="AR12" s="58">
        <v>-1248.072179</v>
      </c>
      <c r="AS12" s="58">
        <v>-234.11200270000001</v>
      </c>
      <c r="AT12" s="58">
        <v>-203.43687650000001</v>
      </c>
      <c r="AU12" s="58">
        <v>-7.9729646179999998</v>
      </c>
      <c r="AV12" s="58">
        <v>-66.689942329999994</v>
      </c>
      <c r="AW12" s="58">
        <v>-653.54866879999997</v>
      </c>
      <c r="AX12" s="58">
        <v>-15.5248303</v>
      </c>
      <c r="AY12" s="58">
        <v>-148.86597190000001</v>
      </c>
      <c r="AZ12" s="58">
        <v>-9.5694522489999994</v>
      </c>
      <c r="BA12" s="58">
        <v>-18.475669960000001</v>
      </c>
      <c r="BB12" s="58">
        <v>-14.246234449999999</v>
      </c>
      <c r="BC12" s="58">
        <v>-1.033980015</v>
      </c>
      <c r="BD12" s="58">
        <v>-25.181207100000002</v>
      </c>
      <c r="BE12" s="58">
        <v>-26.65738194</v>
      </c>
      <c r="BF12" s="58">
        <v>0</v>
      </c>
      <c r="BG12" s="58">
        <v>0</v>
      </c>
      <c r="BH12" s="58">
        <v>-15.889682199999999</v>
      </c>
      <c r="BI12" s="58">
        <v>-150.18119949999999</v>
      </c>
      <c r="BJ12" s="58">
        <v>0</v>
      </c>
      <c r="BK12" s="58">
        <v>0</v>
      </c>
      <c r="BL12" s="58">
        <v>0</v>
      </c>
      <c r="BM12" s="58">
        <v>-24.691335639999998</v>
      </c>
      <c r="BN12" s="58">
        <v>-183.1605476</v>
      </c>
      <c r="BO12" s="58">
        <v>0</v>
      </c>
      <c r="BP12" s="58">
        <v>0</v>
      </c>
      <c r="BQ12" s="58">
        <v>0</v>
      </c>
      <c r="BR12" s="58">
        <v>0</v>
      </c>
      <c r="BS12" s="58">
        <v>0</v>
      </c>
      <c r="BT12" s="58">
        <v>-362.03754959999998</v>
      </c>
      <c r="BU12" s="58">
        <v>-217.40085629999999</v>
      </c>
      <c r="BV12" s="58">
        <v>0</v>
      </c>
      <c r="BW12" s="58">
        <v>0</v>
      </c>
      <c r="BX12" s="58">
        <v>0</v>
      </c>
      <c r="BY12" s="58">
        <v>0</v>
      </c>
      <c r="BZ12" s="58">
        <v>-0.81</v>
      </c>
      <c r="CA12" s="58">
        <v>-0.78500000000000003</v>
      </c>
      <c r="CB12" s="58">
        <v>-3</v>
      </c>
      <c r="CC12" s="58">
        <v>-4</v>
      </c>
      <c r="CD12" s="58">
        <v>-23.118369449999999</v>
      </c>
      <c r="CE12" s="58">
        <v>-28.803114659999999</v>
      </c>
      <c r="CF12" s="58">
        <v>-5.8494451940000003</v>
      </c>
      <c r="CG12" s="58">
        <v>-3.6949999999999998</v>
      </c>
      <c r="CH12" s="58">
        <v>-30.583163559999999</v>
      </c>
      <c r="CI12" s="58">
        <v>-15.850705919999999</v>
      </c>
      <c r="CJ12" s="58">
        <v>-46.941726090000003</v>
      </c>
      <c r="CK12" s="58">
        <v>-95.662030450000003</v>
      </c>
      <c r="CL12" s="58">
        <v>-30.479989539999998</v>
      </c>
      <c r="CM12" s="58">
        <v>-18.466413429999999</v>
      </c>
      <c r="CN12" s="58">
        <v>-22.514988160000001</v>
      </c>
      <c r="CO12" s="58">
        <v>-29.497154720000001</v>
      </c>
      <c r="CP12" s="58">
        <v>-37.32614951</v>
      </c>
      <c r="CQ12" s="58">
        <v>-35.251842840000002</v>
      </c>
      <c r="CR12" s="58">
        <v>-21.65587326</v>
      </c>
      <c r="CS12" s="58">
        <v>-16.907073239999999</v>
      </c>
      <c r="CT12" s="58">
        <v>-32.33428945</v>
      </c>
      <c r="CU12" s="58">
        <v>-33.443069029999997</v>
      </c>
      <c r="CV12" s="58">
        <v>-32.926565629999999</v>
      </c>
      <c r="CW12" s="58">
        <v>-33.879230560000003</v>
      </c>
      <c r="CX12" s="58">
        <v>-24.923932000000001</v>
      </c>
      <c r="CY12" s="58">
        <v>-31.378123989999999</v>
      </c>
      <c r="CZ12" s="58">
        <v>-32.670875170000002</v>
      </c>
      <c r="DA12" s="58">
        <v>-32.985394839999998</v>
      </c>
    </row>
    <row r="13" spans="1:105">
      <c r="A13" s="57" t="s">
        <v>446</v>
      </c>
      <c r="B13" s="58">
        <v>-2429.2437020000002</v>
      </c>
      <c r="C13" s="58">
        <v>3394.6394282000001</v>
      </c>
      <c r="D13" s="58">
        <v>4435.3333892000001</v>
      </c>
      <c r="E13" s="58">
        <v>-115.6393827</v>
      </c>
      <c r="F13" s="58">
        <v>-869.83180259999995</v>
      </c>
      <c r="G13" s="58">
        <v>23.453202714</v>
      </c>
      <c r="H13" s="58">
        <v>-3385.3810990000002</v>
      </c>
      <c r="I13" s="58">
        <v>2018.3096446</v>
      </c>
      <c r="J13" s="58">
        <v>-218.92539249999999</v>
      </c>
      <c r="K13" s="58">
        <v>1579.9864915999999</v>
      </c>
      <c r="L13" s="58">
        <v>-2335.7994560000002</v>
      </c>
      <c r="M13" s="58">
        <v>844.61254584000005</v>
      </c>
      <c r="N13" s="58">
        <v>-3001.8772269999999</v>
      </c>
      <c r="O13" s="58">
        <v>-642.40141700000004</v>
      </c>
      <c r="P13" s="58">
        <v>-3190.5331310000001</v>
      </c>
      <c r="Q13" s="58">
        <v>-1653.3628659999999</v>
      </c>
      <c r="R13" s="58">
        <v>-2538.9623329999999</v>
      </c>
      <c r="S13" s="58">
        <v>2985.7916681000002</v>
      </c>
      <c r="T13" s="58">
        <v>-3336.998298</v>
      </c>
      <c r="U13" s="58">
        <v>-3845.76811</v>
      </c>
      <c r="V13" s="58">
        <v>378.57590508999999</v>
      </c>
      <c r="W13" s="58">
        <v>756.75748728999997</v>
      </c>
      <c r="X13" s="58">
        <v>-2155.2412330000002</v>
      </c>
      <c r="Y13" s="58">
        <v>-3415.5540500000002</v>
      </c>
      <c r="Z13" s="58">
        <v>-1745.0338320000001</v>
      </c>
      <c r="AA13" s="58">
        <v>-153.74506270000001</v>
      </c>
      <c r="AB13" s="58">
        <v>-2642.344302</v>
      </c>
      <c r="AC13" s="58">
        <v>-1362.7797880000001</v>
      </c>
      <c r="AD13" s="58">
        <v>-3446.5759539999999</v>
      </c>
      <c r="AE13" s="58">
        <v>-1086.445682</v>
      </c>
      <c r="AF13" s="58">
        <v>-1915.036192</v>
      </c>
      <c r="AG13" s="58">
        <v>-2403.8623160000002</v>
      </c>
      <c r="AH13" s="58">
        <v>-1632.883701</v>
      </c>
      <c r="AI13" s="58">
        <v>378.53029623999998</v>
      </c>
      <c r="AJ13" s="58">
        <v>2060.5086012000002</v>
      </c>
      <c r="AK13" s="58">
        <v>469.72186641000002</v>
      </c>
      <c r="AL13" s="58">
        <v>874.43478016999995</v>
      </c>
      <c r="AM13" s="58">
        <v>1509.9643318000001</v>
      </c>
      <c r="AN13" s="58">
        <v>-853.86873960000003</v>
      </c>
      <c r="AO13" s="58">
        <v>872.13446591000002</v>
      </c>
      <c r="AP13" s="58">
        <v>-348.68229009999999</v>
      </c>
      <c r="AQ13" s="58">
        <v>-110.9359615</v>
      </c>
      <c r="AR13" s="58">
        <v>-965.0009963</v>
      </c>
      <c r="AS13" s="58">
        <v>-2512.5336499999999</v>
      </c>
      <c r="AT13" s="58">
        <v>736.49426015999995</v>
      </c>
      <c r="AU13" s="58">
        <v>715.63820699999997</v>
      </c>
      <c r="AV13" s="58">
        <v>1313.6732107</v>
      </c>
      <c r="AW13" s="58">
        <v>-3268.0249410000001</v>
      </c>
      <c r="AX13" s="58">
        <v>410.65094011000002</v>
      </c>
      <c r="AY13" s="58">
        <v>-20.340127710000001</v>
      </c>
      <c r="AZ13" s="58">
        <v>-517.22172320000004</v>
      </c>
      <c r="BA13" s="58">
        <v>-2680.591383</v>
      </c>
      <c r="BB13" s="58">
        <v>-416.73329080000002</v>
      </c>
      <c r="BC13" s="58">
        <v>2041.3812439000001</v>
      </c>
      <c r="BD13" s="58">
        <v>1541.8145288999999</v>
      </c>
      <c r="BE13" s="58">
        <v>804.36151351000001</v>
      </c>
      <c r="BF13" s="58">
        <v>-1296.707195</v>
      </c>
      <c r="BG13" s="58">
        <v>400.85768531000002</v>
      </c>
      <c r="BH13" s="58">
        <v>-220.529642</v>
      </c>
      <c r="BI13" s="58">
        <v>1028.8762411</v>
      </c>
      <c r="BJ13" s="58">
        <v>-2531.5735439999999</v>
      </c>
      <c r="BK13" s="58">
        <v>-525.26774350000005</v>
      </c>
      <c r="BL13" s="58">
        <v>-5436.9497659999997</v>
      </c>
      <c r="BM13" s="58">
        <v>-2844.5458020000001</v>
      </c>
      <c r="BN13" s="58">
        <v>1852.2168059000001</v>
      </c>
      <c r="BO13" s="58">
        <v>2250.3918831999999</v>
      </c>
      <c r="BP13" s="58">
        <v>-1958.5516090000001</v>
      </c>
      <c r="BQ13" s="58">
        <v>22.894912429000001</v>
      </c>
      <c r="BR13" s="58">
        <v>-451.10616390000001</v>
      </c>
      <c r="BS13" s="58">
        <v>-419.22659709999999</v>
      </c>
      <c r="BT13" s="58">
        <v>-1673.702301</v>
      </c>
      <c r="BU13" s="58">
        <v>-442.8047899</v>
      </c>
      <c r="BV13" s="58">
        <v>-2793.5317140000002</v>
      </c>
      <c r="BW13" s="58">
        <v>107.72681878</v>
      </c>
      <c r="BX13" s="58">
        <v>298.93844227</v>
      </c>
      <c r="BY13" s="58">
        <v>-534.90305639999997</v>
      </c>
      <c r="BZ13" s="58">
        <v>-594.15755230000002</v>
      </c>
      <c r="CA13" s="58">
        <v>-404.2246409</v>
      </c>
      <c r="CB13" s="58">
        <v>868.66946684000004</v>
      </c>
      <c r="CC13" s="58">
        <v>546.20145288000003</v>
      </c>
      <c r="CD13" s="58">
        <v>1168.2236952999999</v>
      </c>
      <c r="CE13" s="58">
        <v>-443.51044880000001</v>
      </c>
      <c r="CF13" s="58">
        <v>-888.67529869999998</v>
      </c>
      <c r="CG13" s="58">
        <v>825.35239301000001</v>
      </c>
      <c r="CH13" s="58">
        <v>-426.22385639999999</v>
      </c>
      <c r="CI13" s="58">
        <v>-310.35278210000001</v>
      </c>
      <c r="CJ13" s="58">
        <v>275.99607722000002</v>
      </c>
      <c r="CK13" s="58">
        <v>239.05527505000001</v>
      </c>
      <c r="CL13" s="58">
        <v>-301.21158650000001</v>
      </c>
      <c r="CM13" s="58">
        <v>-342.63331779999999</v>
      </c>
      <c r="CN13" s="58">
        <v>-227.19637499999999</v>
      </c>
      <c r="CO13" s="58">
        <v>-454.71350790000002</v>
      </c>
      <c r="CP13" s="58">
        <v>-648.803809</v>
      </c>
      <c r="CQ13" s="58">
        <v>-486.8628693</v>
      </c>
      <c r="CR13" s="58">
        <v>70.726661554000003</v>
      </c>
      <c r="CS13" s="58">
        <v>600.42886922000002</v>
      </c>
      <c r="CT13" s="58">
        <v>-63.096703990000002</v>
      </c>
      <c r="CU13" s="58">
        <v>1527.584122</v>
      </c>
      <c r="CV13" s="58">
        <v>-243.41666699999999</v>
      </c>
      <c r="CW13" s="58">
        <v>-155.0660661</v>
      </c>
      <c r="CX13" s="58">
        <v>769.19098988999997</v>
      </c>
      <c r="CY13" s="58">
        <v>145.46228811</v>
      </c>
      <c r="CZ13" s="58">
        <v>386.66177474</v>
      </c>
      <c r="DA13" s="58">
        <v>850.16363013</v>
      </c>
    </row>
    <row r="14" spans="1:105">
      <c r="A14" s="57" t="s">
        <v>442</v>
      </c>
      <c r="B14" s="58">
        <v>-1958.58107</v>
      </c>
      <c r="C14" s="58">
        <v>559.87601246999998</v>
      </c>
      <c r="D14" s="58">
        <v>5458.4723763000002</v>
      </c>
      <c r="E14" s="58">
        <v>2074.9796599000001</v>
      </c>
      <c r="F14" s="58">
        <v>-1334.665244</v>
      </c>
      <c r="G14" s="58">
        <v>204.98322458999999</v>
      </c>
      <c r="H14" s="58">
        <v>-1847.314185</v>
      </c>
      <c r="I14" s="58">
        <v>3078.7127856000002</v>
      </c>
      <c r="J14" s="58">
        <v>268.93083824000001</v>
      </c>
      <c r="K14" s="58">
        <v>1031.5428102000001</v>
      </c>
      <c r="L14" s="58">
        <v>65.301002830000002</v>
      </c>
      <c r="M14" s="58">
        <v>2700.7368336999998</v>
      </c>
      <c r="N14" s="58">
        <v>-612.02535660000001</v>
      </c>
      <c r="O14" s="58">
        <v>1799.0040097999999</v>
      </c>
      <c r="P14" s="58">
        <v>-73.718827090000005</v>
      </c>
      <c r="Q14" s="58">
        <v>2971.1472689000002</v>
      </c>
      <c r="R14" s="58">
        <v>-3634.383327</v>
      </c>
      <c r="S14" s="58">
        <v>3466.0220562999998</v>
      </c>
      <c r="T14" s="58">
        <v>4445.1501859999998</v>
      </c>
      <c r="U14" s="58">
        <v>-1505.5998099999999</v>
      </c>
      <c r="V14" s="58">
        <v>1700.4956927000001</v>
      </c>
      <c r="W14" s="58">
        <v>1443.8015971</v>
      </c>
      <c r="X14" s="58">
        <v>-1346.5886829999999</v>
      </c>
      <c r="Y14" s="58">
        <v>1687.6083716999999</v>
      </c>
      <c r="Z14" s="58">
        <v>-1653.368633</v>
      </c>
      <c r="AA14" s="58">
        <v>424.99487689</v>
      </c>
      <c r="AB14" s="58">
        <v>-2635.3259880000001</v>
      </c>
      <c r="AC14" s="58">
        <v>387.65523079000002</v>
      </c>
      <c r="AD14" s="58">
        <v>-538.1744923</v>
      </c>
      <c r="AE14" s="58">
        <v>-1330.162167</v>
      </c>
      <c r="AF14" s="58">
        <v>-949.94285000000002</v>
      </c>
      <c r="AG14" s="58">
        <v>3028.8278808999999</v>
      </c>
      <c r="AH14" s="58">
        <v>-1417.550931</v>
      </c>
      <c r="AI14" s="58">
        <v>-730.79998639999997</v>
      </c>
      <c r="AJ14" s="58">
        <v>2120.4402752000001</v>
      </c>
      <c r="AK14" s="58">
        <v>-236.34946260000001</v>
      </c>
      <c r="AL14" s="58">
        <v>1597.2735342000001</v>
      </c>
      <c r="AM14" s="58">
        <v>1054.9465178</v>
      </c>
      <c r="AN14" s="58">
        <v>-1356.1031210000001</v>
      </c>
      <c r="AO14" s="58">
        <v>1632.8963721</v>
      </c>
      <c r="AP14" s="58">
        <v>1700.6820187000001</v>
      </c>
      <c r="AQ14" s="58">
        <v>-903.78586819999998</v>
      </c>
      <c r="AR14" s="58">
        <v>716.08010078999996</v>
      </c>
      <c r="AS14" s="58">
        <v>-966.79369180000003</v>
      </c>
      <c r="AT14" s="58">
        <v>1166.5275457</v>
      </c>
      <c r="AU14" s="58">
        <v>-354.8529441</v>
      </c>
      <c r="AV14" s="58">
        <v>1233.9703912</v>
      </c>
      <c r="AW14" s="58">
        <v>-274.83727090000002</v>
      </c>
      <c r="AX14" s="58">
        <v>1252.7247711</v>
      </c>
      <c r="AY14" s="58">
        <v>1772.608506</v>
      </c>
      <c r="AZ14" s="58">
        <v>888.36064009999996</v>
      </c>
      <c r="BA14" s="58">
        <v>-1627.491043</v>
      </c>
      <c r="BB14" s="58">
        <v>88.885389524999994</v>
      </c>
      <c r="BC14" s="58">
        <v>534.09768317999999</v>
      </c>
      <c r="BD14" s="58">
        <v>1560.4429693</v>
      </c>
      <c r="BE14" s="58">
        <v>-447.24619990000002</v>
      </c>
      <c r="BF14" s="58">
        <v>134.95034336000001</v>
      </c>
      <c r="BG14" s="58">
        <v>349.65820643000001</v>
      </c>
      <c r="BH14" s="58">
        <v>1253.3654002000001</v>
      </c>
      <c r="BI14" s="58">
        <v>1859.4326679000001</v>
      </c>
      <c r="BJ14" s="58">
        <v>-1708.660682</v>
      </c>
      <c r="BK14" s="58">
        <v>630.51683344000003</v>
      </c>
      <c r="BL14" s="58">
        <v>-607.95084310000004</v>
      </c>
      <c r="BM14" s="58">
        <v>835.64843830999996</v>
      </c>
      <c r="BN14" s="58">
        <v>1707.7924820000001</v>
      </c>
      <c r="BO14" s="58">
        <v>932.98370101</v>
      </c>
      <c r="BP14" s="58">
        <v>-376.20510289999999</v>
      </c>
      <c r="BQ14" s="58">
        <v>1261.3523170999999</v>
      </c>
      <c r="BR14" s="58">
        <v>-210.63835900000001</v>
      </c>
      <c r="BS14" s="58">
        <v>105.55740195</v>
      </c>
      <c r="BT14" s="58">
        <v>-1040.074368</v>
      </c>
      <c r="BU14" s="58">
        <v>463.41821440000001</v>
      </c>
      <c r="BV14" s="58">
        <v>-470.52818639999998</v>
      </c>
      <c r="BW14" s="58">
        <v>298.29136789</v>
      </c>
      <c r="BX14" s="58">
        <v>272.54091152000001</v>
      </c>
      <c r="BY14" s="58">
        <v>672.43055715000003</v>
      </c>
      <c r="BZ14" s="58">
        <v>-1166.9720709999999</v>
      </c>
      <c r="CA14" s="58">
        <v>106.56150916</v>
      </c>
      <c r="CB14" s="58">
        <v>1019.1577916</v>
      </c>
      <c r="CC14" s="58">
        <v>868.70721794999997</v>
      </c>
      <c r="CD14" s="58">
        <v>563.38503967999998</v>
      </c>
      <c r="CE14" s="58">
        <v>-1512.289835</v>
      </c>
      <c r="CF14" s="58">
        <v>-441.93160840000002</v>
      </c>
      <c r="CG14" s="58">
        <v>1697.3158664</v>
      </c>
      <c r="CH14" s="58">
        <v>-759.50967639999999</v>
      </c>
      <c r="CI14" s="58">
        <v>-247.6147124</v>
      </c>
      <c r="CJ14" s="58">
        <v>434.16287431000001</v>
      </c>
      <c r="CK14" s="58">
        <v>629.47679253000001</v>
      </c>
      <c r="CL14" s="58">
        <v>151.82638886999999</v>
      </c>
      <c r="CM14" s="58">
        <v>-33.758511230000003</v>
      </c>
      <c r="CN14" s="58">
        <v>-579.9505484</v>
      </c>
      <c r="CO14" s="58">
        <v>-911.80252229999996</v>
      </c>
      <c r="CP14" s="58">
        <v>-812.18735470000001</v>
      </c>
      <c r="CQ14" s="58">
        <v>-867.73277210000003</v>
      </c>
      <c r="CR14" s="58">
        <v>398.77178608000003</v>
      </c>
      <c r="CS14" s="58">
        <v>-423.47581330000003</v>
      </c>
      <c r="CT14" s="58">
        <v>-281.51364269999999</v>
      </c>
      <c r="CU14" s="58">
        <v>946.11752890000002</v>
      </c>
      <c r="CV14" s="58">
        <v>-4.0917247940000001</v>
      </c>
      <c r="CW14" s="58">
        <v>244.96022762000001</v>
      </c>
      <c r="CX14" s="58">
        <v>-285.68149449999999</v>
      </c>
      <c r="CY14" s="58">
        <v>-446.14150110000003</v>
      </c>
      <c r="CZ14" s="58">
        <v>202.10764361</v>
      </c>
      <c r="DA14" s="58">
        <v>974.35550324999997</v>
      </c>
    </row>
    <row r="15" spans="1:105">
      <c r="A15" s="57" t="s">
        <v>443</v>
      </c>
      <c r="B15" s="58">
        <v>470.66263192000002</v>
      </c>
      <c r="C15" s="58">
        <v>-2834.7634159999998</v>
      </c>
      <c r="D15" s="58">
        <v>1023.138987</v>
      </c>
      <c r="E15" s="58">
        <v>2190.6190425999998</v>
      </c>
      <c r="F15" s="58">
        <v>-464.8334418</v>
      </c>
      <c r="G15" s="58">
        <v>181.53002187999999</v>
      </c>
      <c r="H15" s="58">
        <v>1538.0669141999999</v>
      </c>
      <c r="I15" s="58">
        <v>1060.4031411000001</v>
      </c>
      <c r="J15" s="58">
        <v>487.85623077000002</v>
      </c>
      <c r="K15" s="58">
        <v>-548.44368139999995</v>
      </c>
      <c r="L15" s="58">
        <v>2401.1004588999999</v>
      </c>
      <c r="M15" s="58">
        <v>1856.1242878</v>
      </c>
      <c r="N15" s="58">
        <v>2389.8518703</v>
      </c>
      <c r="O15" s="58">
        <v>2441.4054268</v>
      </c>
      <c r="P15" s="58">
        <v>3116.8143042000002</v>
      </c>
      <c r="Q15" s="58">
        <v>4624.5101347</v>
      </c>
      <c r="R15" s="58">
        <v>-1095.4209940000001</v>
      </c>
      <c r="S15" s="58">
        <v>480.23038822000001</v>
      </c>
      <c r="T15" s="58">
        <v>7782.1484836999998</v>
      </c>
      <c r="U15" s="58">
        <v>2340.1682996999998</v>
      </c>
      <c r="V15" s="58">
        <v>1321.9197876000001</v>
      </c>
      <c r="W15" s="58">
        <v>687.04410977999999</v>
      </c>
      <c r="X15" s="58">
        <v>808.65255002000004</v>
      </c>
      <c r="Y15" s="58">
        <v>5103.1624220000003</v>
      </c>
      <c r="Z15" s="58">
        <v>91.665199145000003</v>
      </c>
      <c r="AA15" s="58">
        <v>578.73993960999996</v>
      </c>
      <c r="AB15" s="58">
        <v>7.0183139926999996</v>
      </c>
      <c r="AC15" s="58">
        <v>1750.4350182999999</v>
      </c>
      <c r="AD15" s="58">
        <v>2908.4014618000001</v>
      </c>
      <c r="AE15" s="58">
        <v>-243.71648450000001</v>
      </c>
      <c r="AF15" s="58">
        <v>965.09334194999997</v>
      </c>
      <c r="AG15" s="58">
        <v>5432.6901974000002</v>
      </c>
      <c r="AH15" s="58">
        <v>215.33277004000001</v>
      </c>
      <c r="AI15" s="58">
        <v>-1109.330283</v>
      </c>
      <c r="AJ15" s="58">
        <v>59.931673949999997</v>
      </c>
      <c r="AK15" s="58">
        <v>-706.07132899999999</v>
      </c>
      <c r="AL15" s="58">
        <v>722.83875397999998</v>
      </c>
      <c r="AM15" s="58">
        <v>-455.01781399999999</v>
      </c>
      <c r="AN15" s="58">
        <v>-502.23438160000001</v>
      </c>
      <c r="AO15" s="58">
        <v>760.76190614999996</v>
      </c>
      <c r="AP15" s="58">
        <v>2049.3643089000002</v>
      </c>
      <c r="AQ15" s="58">
        <v>-792.84990670000002</v>
      </c>
      <c r="AR15" s="58">
        <v>1681.0810971000001</v>
      </c>
      <c r="AS15" s="58">
        <v>1545.7399582999999</v>
      </c>
      <c r="AT15" s="58">
        <v>430.03328549999998</v>
      </c>
      <c r="AU15" s="58">
        <v>-1070.4911509999999</v>
      </c>
      <c r="AV15" s="58">
        <v>-79.702819550000001</v>
      </c>
      <c r="AW15" s="58">
        <v>2993.1876705</v>
      </c>
      <c r="AX15" s="58">
        <v>842.07383095</v>
      </c>
      <c r="AY15" s="58">
        <v>1792.9486337000001</v>
      </c>
      <c r="AZ15" s="58">
        <v>1405.5823633</v>
      </c>
      <c r="BA15" s="58">
        <v>1053.1003399000001</v>
      </c>
      <c r="BB15" s="58">
        <v>505.61868029999999</v>
      </c>
      <c r="BC15" s="58">
        <v>-1507.283561</v>
      </c>
      <c r="BD15" s="58">
        <v>18.628440436999998</v>
      </c>
      <c r="BE15" s="58">
        <v>-1251.6077130000001</v>
      </c>
      <c r="BF15" s="58">
        <v>1431.6575382999999</v>
      </c>
      <c r="BG15" s="58">
        <v>-51.19947887</v>
      </c>
      <c r="BH15" s="58">
        <v>1473.8950422</v>
      </c>
      <c r="BI15" s="58">
        <v>830.55642679000005</v>
      </c>
      <c r="BJ15" s="58">
        <v>822.91286216000003</v>
      </c>
      <c r="BK15" s="58">
        <v>1155.7845769999999</v>
      </c>
      <c r="BL15" s="58">
        <v>4828.9989230000001</v>
      </c>
      <c r="BM15" s="58">
        <v>3680.1942399999998</v>
      </c>
      <c r="BN15" s="58">
        <v>-144.42432389999999</v>
      </c>
      <c r="BO15" s="58">
        <v>-1317.4081819999999</v>
      </c>
      <c r="BP15" s="58">
        <v>1582.3465064</v>
      </c>
      <c r="BQ15" s="58">
        <v>1238.4574047000001</v>
      </c>
      <c r="BR15" s="58">
        <v>240.46780491000001</v>
      </c>
      <c r="BS15" s="58">
        <v>524.78399903000002</v>
      </c>
      <c r="BT15" s="58">
        <v>633.62793352000006</v>
      </c>
      <c r="BU15" s="58">
        <v>906.22300430999996</v>
      </c>
      <c r="BV15" s="58">
        <v>2323.0035274000002</v>
      </c>
      <c r="BW15" s="58">
        <v>190.56454911</v>
      </c>
      <c r="BX15" s="58">
        <v>-26.397530750000001</v>
      </c>
      <c r="BY15" s="58">
        <v>1207.3336136</v>
      </c>
      <c r="BZ15" s="58">
        <v>-572.81451870000001</v>
      </c>
      <c r="CA15" s="58">
        <v>510.78615001999998</v>
      </c>
      <c r="CB15" s="58">
        <v>150.48832471</v>
      </c>
      <c r="CC15" s="58">
        <v>322.50576507</v>
      </c>
      <c r="CD15" s="58">
        <v>-604.83865560000004</v>
      </c>
      <c r="CE15" s="58">
        <v>-1068.7793859999999</v>
      </c>
      <c r="CF15" s="58">
        <v>446.74369023000003</v>
      </c>
      <c r="CG15" s="58">
        <v>871.96347344000003</v>
      </c>
      <c r="CH15" s="58">
        <v>-333.28582</v>
      </c>
      <c r="CI15" s="58">
        <v>62.738069676000002</v>
      </c>
      <c r="CJ15" s="58">
        <v>158.16679708999999</v>
      </c>
      <c r="CK15" s="58">
        <v>390.42151747999998</v>
      </c>
      <c r="CL15" s="58">
        <v>453.03797537000003</v>
      </c>
      <c r="CM15" s="58">
        <v>308.87480656999998</v>
      </c>
      <c r="CN15" s="58">
        <v>-352.75417349999998</v>
      </c>
      <c r="CO15" s="58">
        <v>-457.0890144</v>
      </c>
      <c r="CP15" s="58">
        <v>-163.38354559999999</v>
      </c>
      <c r="CQ15" s="58">
        <v>-380.86990279999998</v>
      </c>
      <c r="CR15" s="58">
        <v>328.04512453000001</v>
      </c>
      <c r="CS15" s="58">
        <v>-1023.904683</v>
      </c>
      <c r="CT15" s="58">
        <v>-218.4169387</v>
      </c>
      <c r="CU15" s="58">
        <v>-581.46659309999995</v>
      </c>
      <c r="CV15" s="58">
        <v>239.32494219</v>
      </c>
      <c r="CW15" s="58">
        <v>400.02629373000002</v>
      </c>
      <c r="CX15" s="58">
        <v>-1054.872484</v>
      </c>
      <c r="CY15" s="58">
        <v>-591.60378920000005</v>
      </c>
      <c r="CZ15" s="58">
        <v>-184.55413110000001</v>
      </c>
      <c r="DA15" s="58">
        <v>124.19187312</v>
      </c>
    </row>
    <row r="16" spans="1:105">
      <c r="A16" s="57" t="s">
        <v>447</v>
      </c>
      <c r="B16" s="58">
        <v>563.57734721999998</v>
      </c>
      <c r="C16" s="58">
        <v>524.58469700000001</v>
      </c>
      <c r="D16" s="58">
        <v>534.16449928999998</v>
      </c>
      <c r="E16" s="58">
        <v>542.91344924999999</v>
      </c>
      <c r="F16" s="58">
        <v>951.37462548999997</v>
      </c>
      <c r="G16" s="58">
        <v>914.45394584999997</v>
      </c>
      <c r="H16" s="58">
        <v>1045.5225390000001</v>
      </c>
      <c r="I16" s="58">
        <v>681.96285583999997</v>
      </c>
      <c r="J16" s="58">
        <v>365.72011872000002</v>
      </c>
      <c r="K16" s="58">
        <v>399.08935855999999</v>
      </c>
      <c r="L16" s="58">
        <v>457.47194811000003</v>
      </c>
      <c r="M16" s="58">
        <v>496.10652671999998</v>
      </c>
      <c r="N16" s="58">
        <v>126.94617491</v>
      </c>
      <c r="O16" s="58">
        <v>74.07856108</v>
      </c>
      <c r="P16" s="58">
        <v>159.38365880999999</v>
      </c>
      <c r="Q16" s="58">
        <v>210.48249969</v>
      </c>
      <c r="R16" s="58">
        <v>190.12768700000001</v>
      </c>
      <c r="S16" s="58">
        <v>173.98878264999999</v>
      </c>
      <c r="T16" s="58">
        <v>154.45625244999999</v>
      </c>
      <c r="U16" s="58">
        <v>134.97245000000001</v>
      </c>
      <c r="V16" s="58">
        <v>-171.17816479999999</v>
      </c>
      <c r="W16" s="58">
        <v>2589.8033724000002</v>
      </c>
      <c r="X16" s="58">
        <v>205.13798645</v>
      </c>
      <c r="Y16" s="58">
        <v>1704.7326101000001</v>
      </c>
      <c r="Z16" s="58">
        <v>2350.9154936</v>
      </c>
      <c r="AA16" s="58">
        <v>526.46401599000001</v>
      </c>
      <c r="AB16" s="58">
        <v>253.63984414999999</v>
      </c>
      <c r="AC16" s="58">
        <v>202.14489506000001</v>
      </c>
      <c r="AD16" s="58">
        <v>136.81381923999999</v>
      </c>
      <c r="AE16" s="58">
        <v>149.58389066000001</v>
      </c>
      <c r="AF16" s="58">
        <v>168.83693704999999</v>
      </c>
      <c r="AG16" s="58">
        <v>731.61790155000006</v>
      </c>
      <c r="AH16" s="58">
        <v>92.818789379999998</v>
      </c>
      <c r="AI16" s="58">
        <v>154.24255987999999</v>
      </c>
      <c r="AJ16" s="58">
        <v>125.54685624</v>
      </c>
      <c r="AK16" s="58">
        <v>172.50492790999999</v>
      </c>
      <c r="AL16" s="58">
        <v>98.234068379999997</v>
      </c>
      <c r="AM16" s="58">
        <v>-154.94208750000001</v>
      </c>
      <c r="AN16" s="58">
        <v>85.486434200000005</v>
      </c>
      <c r="AO16" s="58">
        <v>136.34226659000001</v>
      </c>
      <c r="AP16" s="58">
        <v>68.714573470000005</v>
      </c>
      <c r="AQ16" s="58">
        <v>95.938420579999999</v>
      </c>
      <c r="AR16" s="58">
        <v>123.98095428000001</v>
      </c>
      <c r="AS16" s="58">
        <v>126.71783128</v>
      </c>
      <c r="AT16" s="58">
        <v>676.90686616000005</v>
      </c>
      <c r="AU16" s="58">
        <v>1114.4372536000001</v>
      </c>
      <c r="AV16" s="58">
        <v>2099.7186821</v>
      </c>
      <c r="AW16" s="58">
        <v>545.51503845000002</v>
      </c>
      <c r="AX16" s="58">
        <v>2069.5044145000002</v>
      </c>
      <c r="AY16" s="58">
        <v>2049.7060949000002</v>
      </c>
      <c r="AZ16" s="58">
        <v>2037.4908958999999</v>
      </c>
      <c r="BA16" s="58">
        <v>789.53353556000002</v>
      </c>
      <c r="BB16" s="58">
        <v>830.95518300000003</v>
      </c>
      <c r="BC16" s="58">
        <v>1369.7329345999999</v>
      </c>
      <c r="BD16" s="58">
        <v>1437.9023013999999</v>
      </c>
      <c r="BE16" s="58">
        <v>1767.0619770000001</v>
      </c>
      <c r="BF16" s="58">
        <v>1206.1008303000001</v>
      </c>
      <c r="BG16" s="58">
        <v>1229.6305938</v>
      </c>
      <c r="BH16" s="58">
        <v>1322.5851774</v>
      </c>
      <c r="BI16" s="58">
        <v>-16.162887130000001</v>
      </c>
      <c r="BJ16" s="58">
        <v>367.63684909</v>
      </c>
      <c r="BK16" s="58">
        <v>1141.1969793000001</v>
      </c>
      <c r="BL16" s="58">
        <v>440.23780569000002</v>
      </c>
      <c r="BM16" s="58">
        <v>1193.401721</v>
      </c>
      <c r="BN16" s="58">
        <v>84.109843850000004</v>
      </c>
      <c r="BO16" s="58">
        <v>-205.6136994</v>
      </c>
      <c r="BP16" s="58">
        <v>1255.2500193000001</v>
      </c>
      <c r="BQ16" s="58">
        <v>317.36515166999999</v>
      </c>
      <c r="BR16" s="58">
        <v>671.45433223999999</v>
      </c>
      <c r="BS16" s="58">
        <v>949.14624003999995</v>
      </c>
      <c r="BT16" s="58">
        <v>1441.6108810999999</v>
      </c>
      <c r="BU16" s="58">
        <v>-486.65162620000001</v>
      </c>
      <c r="BV16" s="58">
        <v>3428.9953323</v>
      </c>
      <c r="BW16" s="58">
        <v>1025.1783728</v>
      </c>
      <c r="BX16" s="58">
        <v>97.041078010000007</v>
      </c>
      <c r="BY16" s="58">
        <v>137.42721703000001</v>
      </c>
      <c r="BZ16" s="58">
        <v>215.68209866000001</v>
      </c>
      <c r="CA16" s="58">
        <v>-869.59676130000003</v>
      </c>
      <c r="CB16" s="58">
        <v>427.40918956000002</v>
      </c>
      <c r="CC16" s="58">
        <v>259.21117279999999</v>
      </c>
      <c r="CD16" s="58">
        <v>-528.98560789999999</v>
      </c>
      <c r="CE16" s="58">
        <v>991.59039554000003</v>
      </c>
      <c r="CF16" s="58">
        <v>1259.5859103</v>
      </c>
      <c r="CG16" s="58">
        <v>3.9563604300000002</v>
      </c>
      <c r="CH16" s="58">
        <v>417.04688085999999</v>
      </c>
      <c r="CI16" s="58">
        <v>386.52715132999998</v>
      </c>
      <c r="CJ16" s="58">
        <v>483.05570397999998</v>
      </c>
      <c r="CK16" s="58">
        <v>1183.4558050000001</v>
      </c>
      <c r="CL16" s="58">
        <v>-270.1672294</v>
      </c>
      <c r="CM16" s="58">
        <v>-198.01379689999999</v>
      </c>
      <c r="CN16" s="58">
        <v>329.31675787</v>
      </c>
      <c r="CO16" s="58">
        <v>-49.307586710000002</v>
      </c>
      <c r="CP16" s="58">
        <v>102.73142608000001</v>
      </c>
      <c r="CQ16" s="58">
        <v>262.25466795</v>
      </c>
      <c r="CR16" s="58">
        <v>-244.64909159999999</v>
      </c>
      <c r="CS16" s="58">
        <v>18.395211740000001</v>
      </c>
      <c r="CT16" s="58">
        <v>322.97745308999998</v>
      </c>
      <c r="CU16" s="58">
        <v>67.234168179999998</v>
      </c>
      <c r="CV16" s="58">
        <v>199.00553535</v>
      </c>
      <c r="CW16" s="58">
        <v>636.67113497000003</v>
      </c>
      <c r="CX16" s="58">
        <v>212.44663600999999</v>
      </c>
      <c r="CY16" s="58">
        <v>101.17974015999999</v>
      </c>
      <c r="CZ16" s="58">
        <v>317.06442007999999</v>
      </c>
      <c r="DA16" s="58">
        <v>231.33312616000001</v>
      </c>
    </row>
    <row r="17" spans="1:105">
      <c r="A17" s="57" t="s">
        <v>448</v>
      </c>
      <c r="B17" s="58">
        <v>221.06861771000001</v>
      </c>
      <c r="C17" s="58">
        <v>607.09748311999999</v>
      </c>
      <c r="D17" s="58">
        <v>566.06532962000006</v>
      </c>
      <c r="E17" s="58">
        <v>441.2437372</v>
      </c>
      <c r="F17" s="58">
        <v>116.59699534000001</v>
      </c>
      <c r="G17" s="58">
        <v>348.17930938000001</v>
      </c>
      <c r="H17" s="58">
        <v>625.21185617000003</v>
      </c>
      <c r="I17" s="58">
        <v>345.06182345000002</v>
      </c>
      <c r="J17" s="58">
        <v>218.94526576000001</v>
      </c>
      <c r="K17" s="58">
        <v>-615.65091180000002</v>
      </c>
      <c r="L17" s="58">
        <v>170.69041867000001</v>
      </c>
      <c r="M17" s="58">
        <v>697.45675787000005</v>
      </c>
      <c r="N17" s="58">
        <v>361.15219102999998</v>
      </c>
      <c r="O17" s="58">
        <v>-203.73304469999999</v>
      </c>
      <c r="P17" s="58">
        <v>371.46966849</v>
      </c>
      <c r="Q17" s="58">
        <v>-116.475369</v>
      </c>
      <c r="R17" s="58">
        <v>316.07914606000003</v>
      </c>
      <c r="S17" s="58">
        <v>286.66530455999998</v>
      </c>
      <c r="T17" s="58">
        <v>331.03132462999997</v>
      </c>
      <c r="U17" s="58">
        <v>322.49993233999999</v>
      </c>
      <c r="V17" s="58">
        <v>559.93567083999994</v>
      </c>
      <c r="W17" s="58">
        <v>24.562002767999999</v>
      </c>
      <c r="X17" s="58">
        <v>155.49739511000001</v>
      </c>
      <c r="Y17" s="58">
        <v>413.35437719999999</v>
      </c>
      <c r="Z17" s="58">
        <v>300.60947270999998</v>
      </c>
      <c r="AA17" s="58">
        <v>-114.17942960000001</v>
      </c>
      <c r="AB17" s="58">
        <v>562.98696476999999</v>
      </c>
      <c r="AC17" s="58">
        <v>760.92419623000001</v>
      </c>
      <c r="AD17" s="58">
        <v>146.2139239</v>
      </c>
      <c r="AE17" s="58">
        <v>752.42744559000005</v>
      </c>
      <c r="AF17" s="58">
        <v>-81.103643070000004</v>
      </c>
      <c r="AG17" s="58">
        <v>269.56937590000001</v>
      </c>
      <c r="AH17" s="58">
        <v>503.09730966000001</v>
      </c>
      <c r="AI17" s="58">
        <v>-199.04806500000001</v>
      </c>
      <c r="AJ17" s="58">
        <v>181.26910092</v>
      </c>
      <c r="AK17" s="58">
        <v>-185.86886730000001</v>
      </c>
      <c r="AL17" s="58">
        <v>-95.105912279999998</v>
      </c>
      <c r="AM17" s="58">
        <v>-449.22444760000002</v>
      </c>
      <c r="AN17" s="58">
        <v>75.724221722999999</v>
      </c>
      <c r="AO17" s="58">
        <v>715.79399549000004</v>
      </c>
      <c r="AP17" s="58">
        <v>159.99930208000001</v>
      </c>
      <c r="AQ17" s="58">
        <v>86.480079617000001</v>
      </c>
      <c r="AR17" s="58">
        <v>175.35412423</v>
      </c>
      <c r="AS17" s="58">
        <v>220.66785290000001</v>
      </c>
      <c r="AT17" s="58">
        <v>-33.438934750000001</v>
      </c>
      <c r="AU17" s="58">
        <v>245.08172076</v>
      </c>
      <c r="AV17" s="58">
        <v>37.340991758999998</v>
      </c>
      <c r="AW17" s="58">
        <v>277.50603470999999</v>
      </c>
      <c r="AX17" s="58">
        <v>344.51159323000002</v>
      </c>
      <c r="AY17" s="58">
        <v>313.06124111999998</v>
      </c>
      <c r="AZ17" s="58">
        <v>166.62619402999999</v>
      </c>
      <c r="BA17" s="58">
        <v>-198.6825814</v>
      </c>
      <c r="BB17" s="58">
        <v>288.94022586</v>
      </c>
      <c r="BC17" s="58">
        <v>42.214801899000001</v>
      </c>
      <c r="BD17" s="58">
        <v>75.669270573999995</v>
      </c>
      <c r="BE17" s="58">
        <v>-319.71003359999997</v>
      </c>
      <c r="BF17" s="58">
        <v>591.82505816000003</v>
      </c>
      <c r="BG17" s="58">
        <v>150.48086398999999</v>
      </c>
      <c r="BH17" s="58">
        <v>478.82078558000001</v>
      </c>
      <c r="BI17" s="58">
        <v>-193.943579</v>
      </c>
      <c r="BJ17" s="58">
        <v>241.50320239000001</v>
      </c>
      <c r="BK17" s="58">
        <v>-19.924881370000001</v>
      </c>
      <c r="BL17" s="58">
        <v>-377.39732789999999</v>
      </c>
      <c r="BM17" s="58">
        <v>-592.97384550000004</v>
      </c>
      <c r="BN17" s="58">
        <v>181.88866249</v>
      </c>
      <c r="BO17" s="58">
        <v>-416.04910469999999</v>
      </c>
      <c r="BP17" s="58">
        <v>-249.11081089999999</v>
      </c>
      <c r="BQ17" s="58">
        <v>-61.727182300000003</v>
      </c>
      <c r="BR17" s="58">
        <v>-243.65980250000001</v>
      </c>
      <c r="BS17" s="58">
        <v>-112.16967320000001</v>
      </c>
      <c r="BT17" s="58">
        <v>135.36952485</v>
      </c>
      <c r="BU17" s="58">
        <v>-204.0109899</v>
      </c>
      <c r="BV17" s="58">
        <v>272.27430919</v>
      </c>
      <c r="BW17" s="58">
        <v>142.94483194</v>
      </c>
      <c r="BX17" s="58">
        <v>-92.409008299999996</v>
      </c>
      <c r="BY17" s="58">
        <v>172.24849922000001</v>
      </c>
      <c r="BZ17" s="58">
        <v>25.577402428999999</v>
      </c>
      <c r="CA17" s="58">
        <v>92.746677773000002</v>
      </c>
      <c r="CB17" s="58">
        <v>246.24319417000001</v>
      </c>
      <c r="CC17" s="58">
        <v>-237.14546630000001</v>
      </c>
      <c r="CD17" s="58">
        <v>216.37895911999999</v>
      </c>
      <c r="CE17" s="58">
        <v>86.347474097000003</v>
      </c>
      <c r="CF17" s="58">
        <v>183.37633589999999</v>
      </c>
      <c r="CG17" s="58">
        <v>-45.59552781</v>
      </c>
      <c r="CH17" s="58">
        <v>145.56968863</v>
      </c>
      <c r="CI17" s="58">
        <v>208.55074357000001</v>
      </c>
      <c r="CJ17" s="58">
        <v>-41.78530765</v>
      </c>
      <c r="CK17" s="58">
        <v>-252.90981740000001</v>
      </c>
      <c r="CL17" s="58">
        <v>-84.619250359999995</v>
      </c>
      <c r="CM17" s="58">
        <v>-11.226583209999999</v>
      </c>
      <c r="CN17" s="58">
        <v>-18.93236843</v>
      </c>
      <c r="CO17" s="58">
        <v>186.20852343000001</v>
      </c>
      <c r="CP17" s="58">
        <v>142.73214651000001</v>
      </c>
      <c r="CQ17" s="58">
        <v>87.535156716000003</v>
      </c>
      <c r="CR17" s="58">
        <v>-81.063428579999993</v>
      </c>
      <c r="CS17" s="58">
        <v>-25.682183729999998</v>
      </c>
      <c r="CT17" s="58">
        <v>47.314685007000001</v>
      </c>
      <c r="CU17" s="58">
        <v>-118.33854340000001</v>
      </c>
      <c r="CV17" s="58">
        <v>-175.0410961</v>
      </c>
      <c r="CW17" s="58">
        <v>57.67875763</v>
      </c>
      <c r="CX17" s="58">
        <v>213.65057648000001</v>
      </c>
      <c r="CY17" s="58">
        <v>96.178937673999997</v>
      </c>
      <c r="CZ17" s="58">
        <v>-3.5657889300000001</v>
      </c>
      <c r="DA17" s="58">
        <v>-302.01097540000001</v>
      </c>
    </row>
    <row r="18" spans="1:105">
      <c r="A18" s="57" t="s">
        <v>355</v>
      </c>
      <c r="B18" s="58">
        <v>-2038.45340622</v>
      </c>
      <c r="C18" s="58">
        <v>-2375.0336229999998</v>
      </c>
      <c r="D18" s="58">
        <v>-2785.3316292899999</v>
      </c>
      <c r="E18" s="58">
        <v>-4013.83996325</v>
      </c>
      <c r="F18" s="58">
        <v>-2437.0345844899998</v>
      </c>
      <c r="G18" s="58">
        <v>-1994.00818585</v>
      </c>
      <c r="H18" s="58">
        <v>-2069.9077430000002</v>
      </c>
      <c r="I18" s="58">
        <v>-2669.6690738399998</v>
      </c>
      <c r="J18" s="58">
        <v>-2956.4281107199999</v>
      </c>
      <c r="K18" s="58">
        <v>-3098.2365555599999</v>
      </c>
      <c r="L18" s="58">
        <v>-1833.7041761099999</v>
      </c>
      <c r="M18" s="58">
        <v>-1678.52545272</v>
      </c>
      <c r="N18" s="58">
        <v>-5163.6700269100002</v>
      </c>
      <c r="O18" s="58">
        <v>-5025.8490150799998</v>
      </c>
      <c r="P18" s="58">
        <v>-5895.1426988100002</v>
      </c>
      <c r="Q18" s="58">
        <v>-4951.8915816899998</v>
      </c>
      <c r="R18" s="58">
        <v>-2979.1418509999999</v>
      </c>
      <c r="S18" s="58">
        <v>-3934.5569206499999</v>
      </c>
      <c r="T18" s="58">
        <v>-4658.2594424500003</v>
      </c>
      <c r="U18" s="58">
        <v>-5774.7141979999997</v>
      </c>
      <c r="V18" s="58">
        <v>-1564.0859052000001</v>
      </c>
      <c r="W18" s="58">
        <v>-4527.3126353999996</v>
      </c>
      <c r="X18" s="58">
        <v>-2062.1859424499999</v>
      </c>
      <c r="Y18" s="58">
        <v>-4288.3753631</v>
      </c>
      <c r="Z18" s="58">
        <v>-5870.6611635999998</v>
      </c>
      <c r="AA18" s="58">
        <v>-3859.5667459900001</v>
      </c>
      <c r="AB18" s="58">
        <v>-3993.2982631499999</v>
      </c>
      <c r="AC18" s="58">
        <v>-2907.96483506</v>
      </c>
      <c r="AD18" s="58">
        <v>-3013.1519292399998</v>
      </c>
      <c r="AE18" s="58">
        <v>-2868.0865126600002</v>
      </c>
      <c r="AF18" s="58">
        <v>-3655.9591280499999</v>
      </c>
      <c r="AG18" s="58">
        <v>-4603.5086375499995</v>
      </c>
      <c r="AH18" s="58">
        <v>-3079.2432573800002</v>
      </c>
      <c r="AI18" s="58">
        <v>-2778.8470728799998</v>
      </c>
      <c r="AJ18" s="58">
        <v>-2504.92603624</v>
      </c>
      <c r="AK18" s="58">
        <v>-1807.0128049100001</v>
      </c>
      <c r="AL18" s="58">
        <v>-3718.1303393799999</v>
      </c>
      <c r="AM18" s="58">
        <v>-3088.6991515</v>
      </c>
      <c r="AN18" s="58">
        <v>-3610.9043612</v>
      </c>
      <c r="AO18" s="58">
        <v>-2086.76054759</v>
      </c>
      <c r="AP18" s="58">
        <v>-5200.6442864700002</v>
      </c>
      <c r="AQ18" s="58">
        <v>-4435.8325195799998</v>
      </c>
      <c r="AR18" s="58">
        <v>-5004.40011228</v>
      </c>
      <c r="AS18" s="58">
        <v>-3834.20316228</v>
      </c>
      <c r="AT18" s="58">
        <v>-4835.0573271599997</v>
      </c>
      <c r="AU18" s="58">
        <v>-5058.6400486000002</v>
      </c>
      <c r="AV18" s="58">
        <v>-7095.7835820999999</v>
      </c>
      <c r="AW18" s="58">
        <v>-6739.1527024500001</v>
      </c>
      <c r="AX18" s="58">
        <v>-5164.1510515</v>
      </c>
      <c r="AY18" s="58">
        <v>-3942.5891989000002</v>
      </c>
      <c r="AZ18" s="58">
        <v>-5467.0841559</v>
      </c>
      <c r="BA18" s="58">
        <v>-4112.0238375600002</v>
      </c>
      <c r="BB18" s="58">
        <v>-2380.2766160000001</v>
      </c>
      <c r="BC18" s="58">
        <v>-4562.9771176000004</v>
      </c>
      <c r="BD18" s="58">
        <v>-4958.4755703999999</v>
      </c>
      <c r="BE18" s="58">
        <v>-5056.8078779999996</v>
      </c>
      <c r="BF18" s="58">
        <v>-2617.2415553000001</v>
      </c>
      <c r="BG18" s="58">
        <v>-2805.2607877999999</v>
      </c>
      <c r="BH18" s="58">
        <v>-3874.6114813999998</v>
      </c>
      <c r="BI18" s="58">
        <v>-3152.3585548699998</v>
      </c>
      <c r="BJ18" s="58">
        <v>-1386.9544070899999</v>
      </c>
      <c r="BK18" s="58">
        <v>-2566.8774343</v>
      </c>
      <c r="BL18" s="58">
        <v>-4027.9847756899999</v>
      </c>
      <c r="BM18" s="58">
        <v>-4492.463788</v>
      </c>
      <c r="BN18" s="58">
        <v>-834.40021564999995</v>
      </c>
      <c r="BO18" s="58">
        <v>-971.3561436</v>
      </c>
      <c r="BP18" s="58">
        <v>-2800.6305943000002</v>
      </c>
      <c r="BQ18" s="58">
        <v>-1822.73372367</v>
      </c>
      <c r="BR18" s="58">
        <v>-2227.4075182400002</v>
      </c>
      <c r="BS18" s="58">
        <v>-2218.6666780400001</v>
      </c>
      <c r="BT18" s="58">
        <v>-2967.3210131000001</v>
      </c>
      <c r="BU18" s="58">
        <v>-2083.9212997999998</v>
      </c>
      <c r="BV18" s="58">
        <v>-5248.0560742999996</v>
      </c>
      <c r="BW18" s="58">
        <v>-2335.8763908000001</v>
      </c>
      <c r="BX18" s="58">
        <v>-1652.31024901</v>
      </c>
      <c r="BY18" s="58">
        <v>-1106.97964183</v>
      </c>
      <c r="BZ18" s="58">
        <v>-859.45105716</v>
      </c>
      <c r="CA18" s="58">
        <v>254.9565964</v>
      </c>
      <c r="CB18" s="58">
        <v>-956.18924805999995</v>
      </c>
      <c r="CC18" s="58">
        <v>-1335.6367068</v>
      </c>
      <c r="CD18" s="58">
        <v>193.852419</v>
      </c>
      <c r="CE18" s="58">
        <v>-1190.5114098399999</v>
      </c>
      <c r="CF18" s="58">
        <v>-1953.5522281000001</v>
      </c>
      <c r="CG18" s="58">
        <v>-283.19136632999999</v>
      </c>
      <c r="CH18" s="58">
        <v>-862.62227075999999</v>
      </c>
      <c r="CI18" s="58">
        <v>-388.20086147900003</v>
      </c>
      <c r="CJ18" s="58">
        <v>-405.54721570800001</v>
      </c>
      <c r="CK18" s="58">
        <v>-1528.8458370000001</v>
      </c>
      <c r="CL18" s="58">
        <v>-419.87380630000001</v>
      </c>
      <c r="CM18" s="58">
        <v>116.52921974</v>
      </c>
      <c r="CN18" s="58">
        <v>-288.88987802299999</v>
      </c>
      <c r="CO18" s="58">
        <v>-60.167743190000003</v>
      </c>
      <c r="CP18" s="58">
        <v>-195.59718255999999</v>
      </c>
      <c r="CQ18" s="58">
        <v>-523.53713125000002</v>
      </c>
      <c r="CR18" s="58">
        <v>-141.7664077</v>
      </c>
      <c r="CS18" s="58">
        <v>-443.51247153999998</v>
      </c>
      <c r="CT18" s="58">
        <v>-753.20163199000001</v>
      </c>
      <c r="CU18" s="58">
        <v>-476.49290888000002</v>
      </c>
      <c r="CV18" s="58">
        <v>-396.82951965000001</v>
      </c>
      <c r="CW18" s="58">
        <v>-828.07834866999997</v>
      </c>
      <c r="CX18" s="58">
        <v>92.362537660000001</v>
      </c>
      <c r="CY18" s="58">
        <v>72.493324990000005</v>
      </c>
      <c r="CZ18" s="58">
        <v>42.763939000000001</v>
      </c>
      <c r="DA18" s="58">
        <v>-219.986891171</v>
      </c>
    </row>
    <row r="22" spans="1:105">
      <c r="A22" s="49" t="s">
        <v>130</v>
      </c>
      <c r="B22" s="55" t="s">
        <v>132</v>
      </c>
      <c r="C22" s="57" t="s">
        <v>440</v>
      </c>
      <c r="D22" s="57" t="s">
        <v>441</v>
      </c>
      <c r="E22" s="57" t="s">
        <v>442</v>
      </c>
      <c r="F22" s="57" t="s">
        <v>443</v>
      </c>
      <c r="G22" s="57" t="s">
        <v>444</v>
      </c>
      <c r="H22" s="57" t="s">
        <v>442</v>
      </c>
      <c r="I22" s="57" t="s">
        <v>443</v>
      </c>
      <c r="J22" s="57" t="s">
        <v>445</v>
      </c>
      <c r="K22" s="57" t="s">
        <v>442</v>
      </c>
      <c r="L22" s="57" t="s">
        <v>443</v>
      </c>
      <c r="M22" s="57" t="s">
        <v>446</v>
      </c>
      <c r="N22" s="57" t="s">
        <v>442</v>
      </c>
      <c r="O22" s="57" t="s">
        <v>443</v>
      </c>
      <c r="P22" s="57" t="s">
        <v>447</v>
      </c>
      <c r="Q22" s="57" t="s">
        <v>448</v>
      </c>
      <c r="R22" s="57" t="s">
        <v>355</v>
      </c>
    </row>
    <row r="23" spans="1:105">
      <c r="A23" s="51">
        <v>43831</v>
      </c>
      <c r="B23" s="49" t="s">
        <v>405</v>
      </c>
      <c r="C23" s="58">
        <v>-1735.2640699999999</v>
      </c>
      <c r="D23" s="58">
        <v>-1924.096372</v>
      </c>
      <c r="E23" s="58">
        <v>1250.5033673</v>
      </c>
      <c r="F23" s="58">
        <v>3174.5997395999998</v>
      </c>
      <c r="G23" s="58">
        <v>-167.5652642</v>
      </c>
      <c r="H23" s="58">
        <v>-870.09335160000001</v>
      </c>
      <c r="I23" s="58">
        <v>-702.5280874</v>
      </c>
      <c r="J23" s="58">
        <v>148.99982664999999</v>
      </c>
      <c r="K23" s="58">
        <v>-41.54565341</v>
      </c>
      <c r="L23" s="58">
        <v>-190.54548009999999</v>
      </c>
      <c r="M23" s="58">
        <v>378.57590508999999</v>
      </c>
      <c r="N23" s="58">
        <v>1700.4956927000001</v>
      </c>
      <c r="O23" s="58">
        <v>1321.9197876000001</v>
      </c>
      <c r="P23" s="58">
        <v>-171.17816479999999</v>
      </c>
      <c r="Q23" s="58">
        <v>559.93567083999994</v>
      </c>
      <c r="R23" s="58">
        <v>-1564.0859052000001</v>
      </c>
    </row>
    <row r="24" spans="1:105">
      <c r="A24" s="51">
        <v>43832</v>
      </c>
      <c r="B24" s="49" t="s">
        <v>404</v>
      </c>
      <c r="C24" s="58">
        <v>-1937.5092629999999</v>
      </c>
      <c r="D24" s="58">
        <v>-1724.834214</v>
      </c>
      <c r="E24" s="58">
        <v>-353.45318370000001</v>
      </c>
      <c r="F24" s="58">
        <v>1371.38103</v>
      </c>
      <c r="G24" s="58">
        <v>-3429.2090950000002</v>
      </c>
      <c r="H24" s="58">
        <v>1252.4186738000001</v>
      </c>
      <c r="I24" s="58">
        <v>4681.6277687000002</v>
      </c>
      <c r="J24" s="58">
        <v>-130.02681419999999</v>
      </c>
      <c r="K24" s="58">
        <v>-436.41672340000002</v>
      </c>
      <c r="L24" s="58">
        <v>-306.38990919999998</v>
      </c>
      <c r="M24" s="58">
        <v>756.75748728999997</v>
      </c>
      <c r="N24" s="58">
        <v>1443.8015971</v>
      </c>
      <c r="O24" s="58">
        <v>687.04410977999999</v>
      </c>
      <c r="P24" s="58">
        <v>2589.8033724000002</v>
      </c>
      <c r="Q24" s="58">
        <v>24.562002767999999</v>
      </c>
      <c r="R24" s="58">
        <v>-4527.3126353999996</v>
      </c>
    </row>
    <row r="25" spans="1:105">
      <c r="A25" s="51">
        <v>43833</v>
      </c>
      <c r="B25" s="49" t="s">
        <v>403</v>
      </c>
      <c r="C25" s="58">
        <v>-1857.0479560000001</v>
      </c>
      <c r="D25" s="58">
        <v>-258.41570339999998</v>
      </c>
      <c r="E25" s="58">
        <v>585.57290953999996</v>
      </c>
      <c r="F25" s="58">
        <v>843.98861293000004</v>
      </c>
      <c r="G25" s="58">
        <v>322.73472513000002</v>
      </c>
      <c r="H25" s="58">
        <v>2281.8829814999999</v>
      </c>
      <c r="I25" s="58">
        <v>1959.1482563</v>
      </c>
      <c r="J25" s="58">
        <v>28.736269082</v>
      </c>
      <c r="K25" s="58">
        <v>-41.199593380000003</v>
      </c>
      <c r="L25" s="58">
        <v>-69.935862459999996</v>
      </c>
      <c r="M25" s="58">
        <v>-2155.2412330000002</v>
      </c>
      <c r="N25" s="58">
        <v>-1346.5886829999999</v>
      </c>
      <c r="O25" s="58">
        <v>808.65255002000004</v>
      </c>
      <c r="P25" s="58">
        <v>205.13798645</v>
      </c>
      <c r="Q25" s="58">
        <v>155.49739511000001</v>
      </c>
      <c r="R25" s="58">
        <v>-2062.1859424499999</v>
      </c>
    </row>
    <row r="26" spans="1:105">
      <c r="A26" s="51">
        <v>43834</v>
      </c>
      <c r="B26" s="49" t="s">
        <v>402</v>
      </c>
      <c r="C26" s="58">
        <v>-2583.6427530000001</v>
      </c>
      <c r="D26" s="58">
        <v>-1817.830072</v>
      </c>
      <c r="E26" s="58">
        <v>250.82552978000001</v>
      </c>
      <c r="F26" s="58">
        <v>2068.6556016999998</v>
      </c>
      <c r="G26" s="58">
        <v>1505.9343418999999</v>
      </c>
      <c r="H26" s="58">
        <v>3082.7380683000001</v>
      </c>
      <c r="I26" s="58">
        <v>1576.8037263000001</v>
      </c>
      <c r="J26" s="58">
        <v>-560.92558229999997</v>
      </c>
      <c r="K26" s="58">
        <v>-561.72482609999997</v>
      </c>
      <c r="L26" s="58">
        <v>-0.799243759</v>
      </c>
      <c r="M26" s="58">
        <v>-3415.5540500000002</v>
      </c>
      <c r="N26" s="58">
        <v>1687.6083716999999</v>
      </c>
      <c r="O26" s="58">
        <v>5103.1624220000003</v>
      </c>
      <c r="P26" s="58">
        <v>1704.7326101000001</v>
      </c>
      <c r="Q26" s="58">
        <v>413.35437719999999</v>
      </c>
      <c r="R26" s="58">
        <v>-4288.3753631</v>
      </c>
    </row>
    <row r="27" spans="1:105">
      <c r="A27" s="51">
        <v>44197</v>
      </c>
      <c r="B27" s="49" t="s">
        <v>405</v>
      </c>
      <c r="C27" s="58">
        <v>-2789.0141640000002</v>
      </c>
      <c r="D27" s="58">
        <v>-1438.1447740000001</v>
      </c>
      <c r="E27" s="58">
        <v>868.70867410000005</v>
      </c>
      <c r="F27" s="58">
        <v>2306.8534476999998</v>
      </c>
      <c r="G27" s="58">
        <v>1318.8280556</v>
      </c>
      <c r="H27" s="58">
        <v>422.03813277</v>
      </c>
      <c r="I27" s="58">
        <v>-896.78992289999997</v>
      </c>
      <c r="J27" s="58">
        <v>-320.86280019999998</v>
      </c>
      <c r="K27" s="58">
        <v>-331.63655999999997</v>
      </c>
      <c r="L27" s="58">
        <v>-10.773759800000001</v>
      </c>
      <c r="M27" s="58">
        <v>-2538.9623329999999</v>
      </c>
      <c r="N27" s="58">
        <v>-3634.383327</v>
      </c>
      <c r="O27" s="58">
        <v>-1095.4209940000001</v>
      </c>
      <c r="P27" s="58">
        <v>190.12768700000001</v>
      </c>
      <c r="Q27" s="58">
        <v>316.07914606000003</v>
      </c>
      <c r="R27" s="58">
        <v>-2979.1418509999999</v>
      </c>
    </row>
    <row r="28" spans="1:105">
      <c r="A28" s="51">
        <v>44198</v>
      </c>
      <c r="B28" s="49" t="s">
        <v>404</v>
      </c>
      <c r="C28" s="58">
        <v>-3760.5681380000001</v>
      </c>
      <c r="D28" s="58">
        <v>-1012.617587</v>
      </c>
      <c r="E28" s="58">
        <v>984.40661153999997</v>
      </c>
      <c r="F28" s="58">
        <v>1997.0241986000001</v>
      </c>
      <c r="G28" s="58">
        <v>-6089.3846750000002</v>
      </c>
      <c r="H28" s="58">
        <v>-159.10247749999999</v>
      </c>
      <c r="I28" s="58">
        <v>5930.2821977000003</v>
      </c>
      <c r="J28" s="58">
        <v>181.65367391999999</v>
      </c>
      <c r="K28" s="58">
        <v>0</v>
      </c>
      <c r="L28" s="58">
        <v>-181.6536739</v>
      </c>
      <c r="M28" s="58">
        <v>2985.7916681000002</v>
      </c>
      <c r="N28" s="58">
        <v>3466.0220562999998</v>
      </c>
      <c r="O28" s="58">
        <v>480.23038822000001</v>
      </c>
      <c r="P28" s="58">
        <v>173.98878264999999</v>
      </c>
      <c r="Q28" s="58">
        <v>286.66530455999998</v>
      </c>
      <c r="R28" s="58">
        <v>-3934.5569206499999</v>
      </c>
    </row>
    <row r="29" spans="1:105">
      <c r="A29" s="51">
        <v>44199</v>
      </c>
      <c r="B29" s="49" t="s">
        <v>403</v>
      </c>
      <c r="C29" s="58">
        <v>-4503.8031899999996</v>
      </c>
      <c r="D29" s="58">
        <v>-2527.8875939999998</v>
      </c>
      <c r="E29" s="58">
        <v>179.10135572999999</v>
      </c>
      <c r="F29" s="58">
        <v>2706.9889496000001</v>
      </c>
      <c r="G29" s="58">
        <v>850.56586331999995</v>
      </c>
      <c r="H29" s="58">
        <v>1693.4784302</v>
      </c>
      <c r="I29" s="58">
        <v>842.91256683999995</v>
      </c>
      <c r="J29" s="58">
        <v>356.06058618999998</v>
      </c>
      <c r="K29" s="58">
        <v>0</v>
      </c>
      <c r="L29" s="58">
        <v>-356.06058619999999</v>
      </c>
      <c r="M29" s="58">
        <v>-3336.998298</v>
      </c>
      <c r="N29" s="58">
        <v>4445.1501859999998</v>
      </c>
      <c r="O29" s="58">
        <v>7782.1484836999998</v>
      </c>
      <c r="P29" s="58">
        <v>154.45625244999999</v>
      </c>
      <c r="Q29" s="58">
        <v>331.03132462999997</v>
      </c>
      <c r="R29" s="58">
        <v>-4658.2594424500003</v>
      </c>
    </row>
    <row r="30" spans="1:105">
      <c r="A30" s="51">
        <v>44200</v>
      </c>
      <c r="B30" s="49" t="s">
        <v>402</v>
      </c>
      <c r="C30" s="58">
        <v>-5639.7417480000004</v>
      </c>
      <c r="D30" s="58">
        <v>-1401.8715480000001</v>
      </c>
      <c r="E30" s="58">
        <v>1148.5971323000001</v>
      </c>
      <c r="F30" s="58">
        <v>2550.4686808000001</v>
      </c>
      <c r="G30" s="58">
        <v>-675.38217320000001</v>
      </c>
      <c r="H30" s="58">
        <v>1794.7911994999999</v>
      </c>
      <c r="I30" s="58">
        <v>2470.1733727000001</v>
      </c>
      <c r="J30" s="58">
        <v>148.30763382000001</v>
      </c>
      <c r="K30" s="58">
        <v>-87.155201579999996</v>
      </c>
      <c r="L30" s="58">
        <v>-235.46283539999999</v>
      </c>
      <c r="M30" s="58">
        <v>-3845.76811</v>
      </c>
      <c r="N30" s="58">
        <v>-1505.5998099999999</v>
      </c>
      <c r="O30" s="58">
        <v>2340.1682996999998</v>
      </c>
      <c r="P30" s="58">
        <v>134.97245000000001</v>
      </c>
      <c r="Q30" s="58">
        <v>322.49993233999999</v>
      </c>
      <c r="R30" s="58">
        <v>-5774.7141979999997</v>
      </c>
    </row>
    <row r="31" spans="1:105">
      <c r="A31" s="51">
        <v>44562</v>
      </c>
      <c r="B31" s="49" t="s">
        <v>405</v>
      </c>
      <c r="C31" s="58">
        <v>-5036.7238520000001</v>
      </c>
      <c r="D31" s="58">
        <v>-3650.5735209999998</v>
      </c>
      <c r="E31" s="58">
        <v>1283.9154618</v>
      </c>
      <c r="F31" s="58">
        <v>4934.4889829000003</v>
      </c>
      <c r="G31" s="58">
        <v>1865.9167996000001</v>
      </c>
      <c r="H31" s="58">
        <v>2666.3395875000001</v>
      </c>
      <c r="I31" s="58">
        <v>800.42278791000001</v>
      </c>
      <c r="J31" s="58">
        <v>-377.13607869999998</v>
      </c>
      <c r="K31" s="58">
        <v>-377.13607869999998</v>
      </c>
      <c r="L31" s="58">
        <v>0</v>
      </c>
      <c r="M31" s="58">
        <v>-3001.8772269999999</v>
      </c>
      <c r="N31" s="58">
        <v>-612.02535660000001</v>
      </c>
      <c r="O31" s="58">
        <v>2389.8518703</v>
      </c>
      <c r="P31" s="58">
        <v>126.94617491</v>
      </c>
      <c r="Q31" s="58">
        <v>361.15219102999998</v>
      </c>
      <c r="R31" s="58">
        <v>-5163.6700269100002</v>
      </c>
    </row>
    <row r="32" spans="1:105">
      <c r="A32" s="51">
        <v>44563</v>
      </c>
      <c r="B32" s="49" t="s">
        <v>404</v>
      </c>
      <c r="C32" s="58">
        <v>-4951.7704540000004</v>
      </c>
      <c r="D32" s="58">
        <v>-3660.5871059999999</v>
      </c>
      <c r="E32" s="58">
        <v>1382.0135775000001</v>
      </c>
      <c r="F32" s="58">
        <v>5042.6006838000003</v>
      </c>
      <c r="G32" s="58">
        <v>-759.03031510000005</v>
      </c>
      <c r="H32" s="58">
        <v>662.57911091999995</v>
      </c>
      <c r="I32" s="58">
        <v>1421.609426</v>
      </c>
      <c r="J32" s="58">
        <v>36.169823274000002</v>
      </c>
      <c r="K32" s="58">
        <v>-104.0308539</v>
      </c>
      <c r="L32" s="58">
        <v>-140.2006772</v>
      </c>
      <c r="M32" s="58">
        <v>-642.40141700000004</v>
      </c>
      <c r="N32" s="58">
        <v>1799.0040097999999</v>
      </c>
      <c r="O32" s="58">
        <v>2441.4054268</v>
      </c>
      <c r="P32" s="58">
        <v>74.07856108</v>
      </c>
      <c r="Q32" s="58">
        <v>-203.73304469999999</v>
      </c>
      <c r="R32" s="58">
        <v>-5025.8490150799998</v>
      </c>
    </row>
    <row r="33" spans="1:18">
      <c r="A33" s="51">
        <v>44564</v>
      </c>
      <c r="B33" s="49" t="s">
        <v>403</v>
      </c>
      <c r="C33" s="58">
        <v>-5735.7590399999999</v>
      </c>
      <c r="D33" s="58">
        <v>-2958.9113550000002</v>
      </c>
      <c r="E33" s="58">
        <v>154.30704786999999</v>
      </c>
      <c r="F33" s="58">
        <v>3113.2184031000002</v>
      </c>
      <c r="G33" s="58">
        <v>-233.03538560000001</v>
      </c>
      <c r="H33" s="58">
        <v>410.76047270999999</v>
      </c>
      <c r="I33" s="58">
        <v>643.79585835</v>
      </c>
      <c r="J33" s="58">
        <v>487.33717306</v>
      </c>
      <c r="K33" s="58">
        <v>0</v>
      </c>
      <c r="L33" s="58">
        <v>-487.33717309999997</v>
      </c>
      <c r="M33" s="58">
        <v>-3190.5331310000001</v>
      </c>
      <c r="N33" s="58">
        <v>-73.718827090000005</v>
      </c>
      <c r="O33" s="58">
        <v>3116.8143042000002</v>
      </c>
      <c r="P33" s="58">
        <v>159.38365880999999</v>
      </c>
      <c r="Q33" s="58">
        <v>371.46966849</v>
      </c>
      <c r="R33" s="58">
        <v>-5895.1426988100002</v>
      </c>
    </row>
    <row r="34" spans="1:18">
      <c r="A34" s="51">
        <v>44565</v>
      </c>
      <c r="B34" s="49" t="s">
        <v>402</v>
      </c>
      <c r="C34" s="58">
        <v>-4741.4090820000001</v>
      </c>
      <c r="D34" s="58">
        <v>-3528.6486420000001</v>
      </c>
      <c r="E34" s="58">
        <v>563.26878603</v>
      </c>
      <c r="F34" s="58">
        <v>4091.9174281000001</v>
      </c>
      <c r="G34" s="58">
        <v>-446.84972670000002</v>
      </c>
      <c r="H34" s="58">
        <v>-432.85185589999998</v>
      </c>
      <c r="I34" s="58">
        <v>13.997870797999999</v>
      </c>
      <c r="J34" s="58">
        <v>676.96965304000003</v>
      </c>
      <c r="K34" s="58">
        <v>0</v>
      </c>
      <c r="L34" s="58">
        <v>-676.96965299999999</v>
      </c>
      <c r="M34" s="58">
        <v>-1653.3628659999999</v>
      </c>
      <c r="N34" s="58">
        <v>2971.1472689000002</v>
      </c>
      <c r="O34" s="58">
        <v>4624.5101347</v>
      </c>
      <c r="P34" s="58">
        <v>210.48249969</v>
      </c>
      <c r="Q34" s="58">
        <v>-116.475369</v>
      </c>
      <c r="R34" s="58">
        <v>-4951.8915816899998</v>
      </c>
    </row>
    <row r="35" spans="1:18">
      <c r="A35" s="51">
        <v>44927</v>
      </c>
      <c r="B35" s="49" t="s">
        <v>405</v>
      </c>
      <c r="C35" s="58">
        <v>-2590.7079920000001</v>
      </c>
      <c r="D35" s="58">
        <v>-3600.4136250000001</v>
      </c>
      <c r="E35" s="58">
        <v>563.48995252999998</v>
      </c>
      <c r="F35" s="58">
        <v>4163.9035777999998</v>
      </c>
      <c r="G35" s="58">
        <v>1111.2809603000001</v>
      </c>
      <c r="H35" s="58">
        <v>2101.3245086000002</v>
      </c>
      <c r="I35" s="58">
        <v>990.04354826999997</v>
      </c>
      <c r="J35" s="58">
        <v>-248.37005310000001</v>
      </c>
      <c r="K35" s="58">
        <v>-248.37005310000001</v>
      </c>
      <c r="L35" s="58">
        <v>0</v>
      </c>
      <c r="M35" s="58">
        <v>-218.92539249999999</v>
      </c>
      <c r="N35" s="58">
        <v>268.93083824000001</v>
      </c>
      <c r="O35" s="58">
        <v>487.85623077000002</v>
      </c>
      <c r="P35" s="58">
        <v>365.72011872000002</v>
      </c>
      <c r="Q35" s="58">
        <v>218.94526576000001</v>
      </c>
      <c r="R35" s="58">
        <v>-2956.4281107199999</v>
      </c>
    </row>
    <row r="36" spans="1:18">
      <c r="A36" s="51">
        <v>44928</v>
      </c>
      <c r="B36" s="49" t="s">
        <v>404</v>
      </c>
      <c r="C36" s="58">
        <v>-2699.1471969999998</v>
      </c>
      <c r="D36" s="58">
        <v>-5441.7419250000003</v>
      </c>
      <c r="E36" s="58">
        <v>-106.9773016</v>
      </c>
      <c r="F36" s="58">
        <v>5334.7646230999999</v>
      </c>
      <c r="G36" s="58">
        <v>1519.8078743000001</v>
      </c>
      <c r="H36" s="58">
        <v>1100.3013599000001</v>
      </c>
      <c r="I36" s="58">
        <v>-419.50651440000001</v>
      </c>
      <c r="J36" s="58">
        <v>-756.28899639999997</v>
      </c>
      <c r="K36" s="58">
        <v>-756.28899639999997</v>
      </c>
      <c r="L36" s="58">
        <v>0</v>
      </c>
      <c r="M36" s="58">
        <v>1579.9864915999999</v>
      </c>
      <c r="N36" s="58">
        <v>1031.5428102000001</v>
      </c>
      <c r="O36" s="58">
        <v>-548.44368139999995</v>
      </c>
      <c r="P36" s="58">
        <v>399.08935855999999</v>
      </c>
      <c r="Q36" s="58">
        <v>-615.65091180000002</v>
      </c>
      <c r="R36" s="58">
        <v>-3098.2365555599999</v>
      </c>
    </row>
    <row r="37" spans="1:18">
      <c r="A37" s="51">
        <v>44929</v>
      </c>
      <c r="B37" s="49" t="s">
        <v>403</v>
      </c>
      <c r="C37" s="58">
        <v>-1376.2322280000001</v>
      </c>
      <c r="D37" s="58">
        <v>-3334.7105759999999</v>
      </c>
      <c r="E37" s="58">
        <v>503.26247907999999</v>
      </c>
      <c r="F37" s="58">
        <v>3837.9730555000001</v>
      </c>
      <c r="G37" s="58">
        <v>4527.3294861000004</v>
      </c>
      <c r="H37" s="58">
        <v>2975.5265393</v>
      </c>
      <c r="I37" s="58">
        <v>-1551.8029469999999</v>
      </c>
      <c r="J37" s="58">
        <v>-690.52362960000005</v>
      </c>
      <c r="K37" s="58">
        <v>-690.52362960000005</v>
      </c>
      <c r="L37" s="58">
        <v>0</v>
      </c>
      <c r="M37" s="58">
        <v>-2335.7994560000002</v>
      </c>
      <c r="N37" s="58">
        <v>65.301002830000002</v>
      </c>
      <c r="O37" s="58">
        <v>2401.1004588999999</v>
      </c>
      <c r="P37" s="58">
        <v>457.47194811000003</v>
      </c>
      <c r="Q37" s="58">
        <v>170.69041867000001</v>
      </c>
      <c r="R37" s="58">
        <v>-1833.7041761099999</v>
      </c>
    </row>
    <row r="38" spans="1:18">
      <c r="A38" s="51">
        <v>44930</v>
      </c>
      <c r="B38" s="49" t="s">
        <v>402</v>
      </c>
      <c r="C38" s="58">
        <v>-1182.4189260000001</v>
      </c>
      <c r="D38" s="58">
        <v>-3148.039894</v>
      </c>
      <c r="E38" s="58">
        <v>309.02157828999998</v>
      </c>
      <c r="F38" s="58">
        <v>3457.0614721000002</v>
      </c>
      <c r="G38" s="58">
        <v>1504.3073412000001</v>
      </c>
      <c r="H38" s="58">
        <v>3602.4234931000001</v>
      </c>
      <c r="I38" s="58">
        <v>2098.1161519000002</v>
      </c>
      <c r="J38" s="58">
        <v>-879.40544580000005</v>
      </c>
      <c r="K38" s="58">
        <v>-879.40544580000005</v>
      </c>
      <c r="L38" s="58">
        <v>0</v>
      </c>
      <c r="M38" s="58">
        <v>844.61254584000005</v>
      </c>
      <c r="N38" s="58">
        <v>2700.7368336999998</v>
      </c>
      <c r="O38" s="58">
        <v>1856.1242878</v>
      </c>
      <c r="P38" s="58">
        <v>496.10652671999998</v>
      </c>
      <c r="Q38" s="58">
        <v>697.45675787000005</v>
      </c>
      <c r="R38" s="58">
        <v>-1678.52545272</v>
      </c>
    </row>
    <row r="39" spans="1:18">
      <c r="A39" s="51">
        <v>45292</v>
      </c>
      <c r="B39" s="49" t="s">
        <v>405</v>
      </c>
      <c r="C39" s="58">
        <v>-1485.6599590000001</v>
      </c>
      <c r="D39" s="58">
        <v>-2407.8678650000002</v>
      </c>
      <c r="E39" s="58">
        <v>1139.6195069</v>
      </c>
      <c r="F39" s="58">
        <v>3547.4873717</v>
      </c>
      <c r="G39" s="58">
        <v>1415.8371325000001</v>
      </c>
      <c r="H39" s="58">
        <v>1999.1305913000001</v>
      </c>
      <c r="I39" s="58">
        <v>583.29345880000005</v>
      </c>
      <c r="J39" s="58">
        <v>-575.17204990000005</v>
      </c>
      <c r="K39" s="58">
        <v>-575.17204990000005</v>
      </c>
      <c r="L39" s="58">
        <v>0</v>
      </c>
      <c r="M39" s="58">
        <v>-869.83180259999995</v>
      </c>
      <c r="N39" s="58">
        <v>-1334.665244</v>
      </c>
      <c r="O39" s="58">
        <v>-464.8334418</v>
      </c>
      <c r="P39" s="58">
        <v>951.37462548999997</v>
      </c>
      <c r="Q39" s="58">
        <v>116.59699534000001</v>
      </c>
      <c r="R39" s="58">
        <v>-2437.0345844899998</v>
      </c>
    </row>
    <row r="40" spans="1:18">
      <c r="A40" s="51">
        <v>45293</v>
      </c>
      <c r="B40" s="49" t="s">
        <v>404</v>
      </c>
      <c r="C40" s="58">
        <v>-1079.5542399999999</v>
      </c>
      <c r="D40" s="58">
        <v>-1646.3809650000001</v>
      </c>
      <c r="E40" s="58">
        <v>1119.5248022000001</v>
      </c>
      <c r="F40" s="58">
        <v>2765.9057671999999</v>
      </c>
      <c r="G40" s="58">
        <v>-451.2502465</v>
      </c>
      <c r="H40" s="58">
        <v>1225.4572926000001</v>
      </c>
      <c r="I40" s="58">
        <v>1676.7075391000001</v>
      </c>
      <c r="J40" s="58">
        <v>80.169823273999995</v>
      </c>
      <c r="K40" s="58">
        <v>0</v>
      </c>
      <c r="L40" s="58">
        <v>-80.169823269999995</v>
      </c>
      <c r="M40" s="58">
        <v>23.453202714</v>
      </c>
      <c r="N40" s="58">
        <v>204.98322458999999</v>
      </c>
      <c r="O40" s="58">
        <v>181.53002187999999</v>
      </c>
      <c r="P40" s="58">
        <v>914.45394584999997</v>
      </c>
      <c r="Q40" s="58">
        <v>348.17930938000001</v>
      </c>
      <c r="R40" s="58">
        <v>-1994.00818585</v>
      </c>
    </row>
    <row r="41" spans="1:18">
      <c r="A41" s="51">
        <v>45294</v>
      </c>
      <c r="B41" s="49" t="s">
        <v>403</v>
      </c>
      <c r="C41" s="58">
        <v>-1024.3852039999999</v>
      </c>
      <c r="D41" s="58">
        <v>-2455.6266839999998</v>
      </c>
      <c r="E41" s="58">
        <v>848.92260409999994</v>
      </c>
      <c r="F41" s="58">
        <v>3304.5492883000002</v>
      </c>
      <c r="G41" s="58">
        <v>3489.4302171999998</v>
      </c>
      <c r="H41" s="58">
        <v>2417.0796022999998</v>
      </c>
      <c r="I41" s="58">
        <v>-1072.3506150000001</v>
      </c>
      <c r="J41" s="58">
        <v>281.66982326999999</v>
      </c>
      <c r="K41" s="58">
        <v>0</v>
      </c>
      <c r="L41" s="58">
        <v>-281.66982330000002</v>
      </c>
      <c r="M41" s="58">
        <v>-3385.3810990000002</v>
      </c>
      <c r="N41" s="58">
        <v>-1847.314185</v>
      </c>
      <c r="O41" s="58">
        <v>1538.0669141999999</v>
      </c>
      <c r="P41" s="58">
        <v>1045.5225390000001</v>
      </c>
      <c r="Q41" s="58">
        <v>625.21185617000003</v>
      </c>
      <c r="R41" s="58">
        <v>-2069.9077430000002</v>
      </c>
    </row>
    <row r="42" spans="1:18">
      <c r="A42" s="51">
        <v>45295</v>
      </c>
      <c r="B42" s="49" t="s">
        <v>402</v>
      </c>
      <c r="C42" s="58">
        <v>-1987.706218</v>
      </c>
      <c r="D42" s="58">
        <v>-2662.207457</v>
      </c>
      <c r="E42" s="58">
        <v>1403.7262708999999</v>
      </c>
      <c r="F42" s="58">
        <v>4065.9337280999998</v>
      </c>
      <c r="G42" s="58">
        <v>-2182.4410849999999</v>
      </c>
      <c r="H42" s="58">
        <v>-257.33814569999998</v>
      </c>
      <c r="I42" s="58">
        <v>1925.1029390000001</v>
      </c>
      <c r="J42" s="58">
        <v>156.66982326999999</v>
      </c>
      <c r="K42" s="58">
        <v>0</v>
      </c>
      <c r="L42" s="58">
        <v>-156.66982329999999</v>
      </c>
      <c r="M42" s="58">
        <v>2018.3096446</v>
      </c>
      <c r="N42" s="58">
        <v>3078.7127856000002</v>
      </c>
      <c r="O42" s="58">
        <v>1060.4031411000001</v>
      </c>
      <c r="P42" s="58">
        <v>681.96285583999997</v>
      </c>
      <c r="Q42" s="58">
        <v>345.06182345000002</v>
      </c>
      <c r="R42" s="58">
        <v>-2669.6690738399998</v>
      </c>
    </row>
    <row r="43" spans="1:18">
      <c r="A43" s="51">
        <v>45658</v>
      </c>
      <c r="B43" s="49" t="s">
        <v>405</v>
      </c>
      <c r="C43" s="58">
        <v>-1474.8760589999999</v>
      </c>
      <c r="D43" s="58">
        <v>-2127.9737500000001</v>
      </c>
      <c r="E43" s="58">
        <v>638.27243872999998</v>
      </c>
      <c r="F43" s="58">
        <v>2766.2461883999999</v>
      </c>
      <c r="G43" s="58">
        <v>2941.0469398999999</v>
      </c>
      <c r="H43" s="58">
        <v>4147.8933854999996</v>
      </c>
      <c r="I43" s="58">
        <v>1206.8464455999999</v>
      </c>
      <c r="J43" s="58">
        <v>-422.282895</v>
      </c>
      <c r="K43" s="58">
        <v>-422.282895</v>
      </c>
      <c r="L43" s="58">
        <v>0</v>
      </c>
      <c r="M43" s="58">
        <v>-2429.2437020000002</v>
      </c>
      <c r="N43" s="58">
        <v>-1958.58107</v>
      </c>
      <c r="O43" s="58">
        <v>470.66263192000002</v>
      </c>
      <c r="P43" s="58">
        <v>563.57734721999998</v>
      </c>
      <c r="Q43" s="58">
        <v>221.06861771000001</v>
      </c>
      <c r="R43" s="58">
        <v>-2038.45340622</v>
      </c>
    </row>
    <row r="44" spans="1:18">
      <c r="A44" s="51">
        <v>45659</v>
      </c>
      <c r="B44" s="49" t="s">
        <v>404</v>
      </c>
      <c r="C44" s="58">
        <v>-1850.448926</v>
      </c>
      <c r="D44" s="58">
        <v>-1561.2484030000001</v>
      </c>
      <c r="E44" s="58">
        <v>1736.8969411</v>
      </c>
      <c r="F44" s="58">
        <v>3298.1453437</v>
      </c>
      <c r="G44" s="58">
        <v>-3760.1064540000002</v>
      </c>
      <c r="H44" s="58">
        <v>2510.7488843000001</v>
      </c>
      <c r="I44" s="58">
        <v>6270.8553379000004</v>
      </c>
      <c r="J44" s="58">
        <v>-448.318195</v>
      </c>
      <c r="K44" s="58">
        <v>-448.318195</v>
      </c>
      <c r="L44" s="58">
        <v>0</v>
      </c>
      <c r="M44" s="58">
        <v>3394.6394282000001</v>
      </c>
      <c r="N44" s="58">
        <v>559.87601246999998</v>
      </c>
      <c r="O44" s="58">
        <v>-2834.7634159999998</v>
      </c>
      <c r="P44" s="58">
        <v>524.58469700000001</v>
      </c>
      <c r="Q44" s="58">
        <v>607.09748311999999</v>
      </c>
      <c r="R44" s="58">
        <v>-2375.0336229999998</v>
      </c>
    </row>
    <row r="45" spans="1:18">
      <c r="A45" s="51">
        <v>45660</v>
      </c>
      <c r="B45" s="49" t="s">
        <v>403</v>
      </c>
      <c r="C45" s="58">
        <v>-2251.1671299999998</v>
      </c>
      <c r="D45" s="58">
        <v>-1858.9645599999999</v>
      </c>
      <c r="E45" s="58">
        <v>1024.1860988999999</v>
      </c>
      <c r="F45" s="58">
        <v>2883.1506591000002</v>
      </c>
      <c r="G45" s="58">
        <v>-4963.3955640000004</v>
      </c>
      <c r="H45" s="58">
        <v>1393.4634738</v>
      </c>
      <c r="I45" s="58">
        <v>6356.8590373999996</v>
      </c>
      <c r="J45" s="58">
        <v>-398.30489499999999</v>
      </c>
      <c r="K45" s="58">
        <v>-398.30489499999999</v>
      </c>
      <c r="L45" s="58">
        <v>0</v>
      </c>
      <c r="M45" s="58">
        <v>4435.3333892000001</v>
      </c>
      <c r="N45" s="58">
        <v>5458.4723763000002</v>
      </c>
      <c r="O45" s="58">
        <v>1023.138987</v>
      </c>
      <c r="P45" s="58">
        <v>534.16449928999998</v>
      </c>
      <c r="Q45" s="58">
        <v>566.06532962000006</v>
      </c>
      <c r="R45" s="58">
        <v>-2785.3316292899999</v>
      </c>
    </row>
    <row r="46" spans="1:18">
      <c r="A46" s="51">
        <v>45661</v>
      </c>
      <c r="B46" s="49" t="s">
        <v>402</v>
      </c>
      <c r="C46" s="58">
        <v>-3470.9265140000002</v>
      </c>
      <c r="D46" s="58">
        <v>-1761.7595699999999</v>
      </c>
      <c r="E46" s="58">
        <v>760.02191275999996</v>
      </c>
      <c r="F46" s="58">
        <v>2521.7814825999999</v>
      </c>
      <c r="G46" s="58">
        <v>-1697.9149159999999</v>
      </c>
      <c r="H46" s="58">
        <v>4338.6565146000003</v>
      </c>
      <c r="I46" s="58">
        <v>6036.5714306999998</v>
      </c>
      <c r="J46" s="58">
        <v>-438.526095</v>
      </c>
      <c r="K46" s="58">
        <v>-438.526095</v>
      </c>
      <c r="L46" s="58">
        <v>0</v>
      </c>
      <c r="M46" s="58">
        <v>-115.6393827</v>
      </c>
      <c r="N46" s="58">
        <v>2074.9796599000001</v>
      </c>
      <c r="O46" s="58">
        <v>2190.6190425999998</v>
      </c>
      <c r="P46" s="58">
        <v>542.91344924999999</v>
      </c>
      <c r="Q46" s="58">
        <v>441.2437372</v>
      </c>
      <c r="R46" s="58">
        <v>-4013.83996325</v>
      </c>
    </row>
    <row r="53" spans="9:13">
      <c r="I53" s="58">
        <v>-1438.1447740000001</v>
      </c>
      <c r="J53" s="58">
        <v>1318.8280556</v>
      </c>
      <c r="K53" s="58">
        <v>-320.86280019999998</v>
      </c>
      <c r="L53" s="58">
        <v>-2538.9623329999999</v>
      </c>
      <c r="M53" s="58">
        <v>190.12768700000001</v>
      </c>
    </row>
    <row r="54" spans="9:13">
      <c r="I54" s="58">
        <v>-1012.617587</v>
      </c>
      <c r="J54" s="58">
        <v>-6089.3846750000002</v>
      </c>
      <c r="K54" s="58">
        <v>181.65367391999999</v>
      </c>
      <c r="L54" s="58">
        <v>2985.7916681000002</v>
      </c>
      <c r="M54" s="58">
        <v>173.98878264999999</v>
      </c>
    </row>
    <row r="55" spans="9:13">
      <c r="I55" s="58">
        <v>-2527.8875939999998</v>
      </c>
      <c r="J55" s="58">
        <v>850.56586331999995</v>
      </c>
      <c r="K55" s="58">
        <v>356.06058618999998</v>
      </c>
      <c r="L55" s="58">
        <v>-3336.998298</v>
      </c>
      <c r="M55" s="58">
        <v>154.45625244999999</v>
      </c>
    </row>
    <row r="56" spans="9:13">
      <c r="I56" s="58">
        <v>-1401.8715480000001</v>
      </c>
      <c r="J56" s="58">
        <v>-675.38217320000001</v>
      </c>
      <c r="K56" s="58">
        <v>148.30763382000001</v>
      </c>
      <c r="L56" s="58">
        <v>-3845.76811</v>
      </c>
      <c r="M56" s="58">
        <v>134.97245000000001</v>
      </c>
    </row>
    <row r="57" spans="9:13">
      <c r="I57" s="58">
        <v>-3650.5735209999998</v>
      </c>
      <c r="J57" s="58">
        <v>1865.9167996000001</v>
      </c>
      <c r="K57" s="58">
        <v>-377.13607869999998</v>
      </c>
      <c r="L57" s="58">
        <v>-3001.8772269999999</v>
      </c>
      <c r="M57" s="58">
        <v>126.94617491</v>
      </c>
    </row>
    <row r="58" spans="9:13">
      <c r="I58" s="58">
        <v>-3660.5871059999999</v>
      </c>
      <c r="J58" s="58">
        <v>-759.03031510000005</v>
      </c>
      <c r="K58" s="58">
        <v>36.169823274000002</v>
      </c>
      <c r="L58" s="58">
        <v>-642.40141700000004</v>
      </c>
      <c r="M58" s="58">
        <v>74.07856108</v>
      </c>
    </row>
    <row r="59" spans="9:13">
      <c r="I59" s="58">
        <v>-2958.9113550000002</v>
      </c>
      <c r="J59" s="58">
        <v>-233.03538560000001</v>
      </c>
      <c r="K59" s="58">
        <v>487.33717306</v>
      </c>
      <c r="L59" s="58">
        <v>-3190.5331310000001</v>
      </c>
      <c r="M59" s="58">
        <v>159.38365880999999</v>
      </c>
    </row>
    <row r="60" spans="9:13">
      <c r="I60" s="58">
        <v>-3528.6486420000001</v>
      </c>
      <c r="J60" s="58">
        <v>-446.84972670000002</v>
      </c>
      <c r="K60" s="58">
        <v>676.96965304000003</v>
      </c>
      <c r="L60" s="58">
        <v>-1653.3628659999999</v>
      </c>
      <c r="M60" s="58">
        <v>210.48249969</v>
      </c>
    </row>
    <row r="61" spans="9:13">
      <c r="I61" s="58">
        <v>-3600.4136250000001</v>
      </c>
      <c r="J61" s="58">
        <v>1111.2809603000001</v>
      </c>
      <c r="K61" s="58">
        <v>-248.37005310000001</v>
      </c>
      <c r="L61" s="58">
        <v>-218.92539249999999</v>
      </c>
      <c r="M61" s="58">
        <v>365.72011872000002</v>
      </c>
    </row>
    <row r="62" spans="9:13">
      <c r="I62" s="58">
        <v>-5441.7419250000003</v>
      </c>
      <c r="J62" s="58">
        <v>1519.8078743000001</v>
      </c>
      <c r="K62" s="58">
        <v>-756.28899639999997</v>
      </c>
      <c r="L62" s="58">
        <v>1579.9864915999999</v>
      </c>
      <c r="M62" s="58">
        <v>399.08935855999999</v>
      </c>
    </row>
    <row r="63" spans="9:13">
      <c r="I63" s="58">
        <v>-3334.7105759999999</v>
      </c>
      <c r="J63" s="58">
        <v>4527.3294861000004</v>
      </c>
      <c r="K63" s="58">
        <v>-690.52362960000005</v>
      </c>
      <c r="L63" s="58">
        <v>-2335.7994560000002</v>
      </c>
      <c r="M63" s="58">
        <v>457.47194811000003</v>
      </c>
    </row>
    <row r="64" spans="9:13">
      <c r="I64" s="58">
        <v>-3148.039894</v>
      </c>
      <c r="J64" s="58">
        <v>1504.3073412000001</v>
      </c>
      <c r="K64" s="58">
        <v>-879.40544580000005</v>
      </c>
      <c r="L64" s="58">
        <v>844.61254584000005</v>
      </c>
      <c r="M64" s="58">
        <v>496.10652671999998</v>
      </c>
    </row>
    <row r="65" spans="9:13">
      <c r="I65" s="58">
        <v>-2407.8678650000002</v>
      </c>
      <c r="J65" s="58">
        <v>1415.8371325000001</v>
      </c>
      <c r="K65" s="58">
        <v>-575.17204990000005</v>
      </c>
      <c r="L65" s="58">
        <v>-869.83180259999995</v>
      </c>
      <c r="M65" s="58">
        <v>951.37462548999997</v>
      </c>
    </row>
    <row r="66" spans="9:13">
      <c r="I66" s="58">
        <v>-1646.3809650000001</v>
      </c>
      <c r="J66" s="58">
        <v>-451.2502465</v>
      </c>
      <c r="K66" s="58">
        <v>80.169823273999995</v>
      </c>
      <c r="L66" s="58">
        <v>23.453202714</v>
      </c>
      <c r="M66" s="58">
        <v>914.45394584999997</v>
      </c>
    </row>
    <row r="67" spans="9:13">
      <c r="I67" s="58">
        <v>-2455.6266839999998</v>
      </c>
      <c r="J67" s="58">
        <v>3489.4302171999998</v>
      </c>
      <c r="K67" s="58">
        <v>281.66982326999999</v>
      </c>
      <c r="L67" s="58">
        <v>-3385.3810990000002</v>
      </c>
      <c r="M67" s="58">
        <v>1045.5225390000001</v>
      </c>
    </row>
    <row r="68" spans="9:13">
      <c r="I68" s="58">
        <v>-2662.207457</v>
      </c>
      <c r="J68" s="58">
        <v>-2182.4410849999999</v>
      </c>
      <c r="K68" s="58">
        <v>156.66982326999999</v>
      </c>
      <c r="L68" s="58">
        <v>2018.3096446</v>
      </c>
      <c r="M68" s="58">
        <v>681.96285583999997</v>
      </c>
    </row>
    <row r="69" spans="9:13">
      <c r="I69" s="58">
        <v>-2127.9737500000001</v>
      </c>
      <c r="J69" s="58">
        <v>2941.0469398999999</v>
      </c>
      <c r="K69" s="58">
        <v>-422.282895</v>
      </c>
      <c r="L69" s="58">
        <v>-2429.2437020000002</v>
      </c>
      <c r="M69" s="58">
        <v>563.57734721999998</v>
      </c>
    </row>
    <row r="70" spans="9:13">
      <c r="I70" s="58">
        <v>-1561.2484030000001</v>
      </c>
      <c r="J70" s="58">
        <v>-3760.1064540000002</v>
      </c>
      <c r="K70" s="58">
        <v>-448.318195</v>
      </c>
      <c r="L70" s="58">
        <v>3394.6394282000001</v>
      </c>
      <c r="M70" s="58">
        <v>524.58469700000001</v>
      </c>
    </row>
    <row r="71" spans="9:13">
      <c r="I71" s="58">
        <v>-1858.9645599999999</v>
      </c>
      <c r="J71" s="58">
        <v>-4963.3955640000004</v>
      </c>
      <c r="K71" s="58">
        <v>-398.30489499999999</v>
      </c>
      <c r="L71" s="58">
        <v>4435.3333892000001</v>
      </c>
      <c r="M71" s="58">
        <v>534.16449928999998</v>
      </c>
    </row>
    <row r="72" spans="9:13">
      <c r="I72" s="58">
        <v>-1761.7595699999999</v>
      </c>
      <c r="J72" s="58">
        <v>-1697.9149159999999</v>
      </c>
      <c r="K72" s="58">
        <v>-438.526095</v>
      </c>
      <c r="L72" s="58">
        <v>-115.6393827</v>
      </c>
      <c r="M72" s="58">
        <v>542.91344924999999</v>
      </c>
    </row>
  </sheetData>
  <autoFilter ref="A22:R22" xr:uid="{ED8283A9-C106-2F4F-B7BA-DBF4AD34B2CB}">
    <sortState xmlns:xlrd2="http://schemas.microsoft.com/office/spreadsheetml/2017/richdata2" ref="A23:R46">
      <sortCondition ref="A22:A46"/>
    </sortState>
  </autoFilter>
  <mergeCells count="26">
    <mergeCell ref="V1:Y1"/>
    <mergeCell ref="Z1:AC1"/>
    <mergeCell ref="AD1:AG1"/>
    <mergeCell ref="AH1:AK1"/>
    <mergeCell ref="B1:E1"/>
    <mergeCell ref="F1:I1"/>
    <mergeCell ref="J1:M1"/>
    <mergeCell ref="N1:Q1"/>
    <mergeCell ref="R1:U1"/>
    <mergeCell ref="CD1:CG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H1:CK1"/>
    <mergeCell ref="CL1:CO1"/>
    <mergeCell ref="CP1:CS1"/>
    <mergeCell ref="CT1:CW1"/>
    <mergeCell ref="CX1:DA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E64B-969D-D344-A7D9-A4E66F271AAE}">
  <dimension ref="A1:O51"/>
  <sheetViews>
    <sheetView topLeftCell="J1" zoomScale="167" workbookViewId="0">
      <selection activeCell="W41" sqref="W41"/>
    </sheetView>
  </sheetViews>
  <sheetFormatPr baseColWidth="10" defaultRowHeight="15"/>
  <cols>
    <col min="3" max="3" width="16.6640625" bestFit="1" customWidth="1"/>
    <col min="4" max="4" width="24" bestFit="1" customWidth="1"/>
    <col min="5" max="5" width="32" bestFit="1" customWidth="1"/>
    <col min="6" max="6" width="39.5" bestFit="1" customWidth="1"/>
    <col min="7" max="7" width="23.5" bestFit="1" customWidth="1"/>
    <col min="8" max="8" width="22.1640625" bestFit="1" customWidth="1"/>
    <col min="9" max="9" width="14.83203125" bestFit="1" customWidth="1"/>
    <col min="10" max="10" width="48.33203125" bestFit="1" customWidth="1"/>
    <col min="11" max="11" width="38.6640625" bestFit="1" customWidth="1"/>
    <col min="12" max="12" width="32" bestFit="1" customWidth="1"/>
    <col min="13" max="13" width="35.5" bestFit="1" customWidth="1"/>
    <col min="14" max="14" width="26" bestFit="1" customWidth="1"/>
  </cols>
  <sheetData>
    <row r="1" spans="1:15">
      <c r="A1" s="55" t="s">
        <v>400</v>
      </c>
      <c r="B1" s="55" t="s">
        <v>401</v>
      </c>
      <c r="C1" s="49" t="s">
        <v>377</v>
      </c>
      <c r="D1" s="49" t="s">
        <v>378</v>
      </c>
      <c r="E1" s="49" t="s">
        <v>379</v>
      </c>
      <c r="F1" s="49" t="s">
        <v>380</v>
      </c>
      <c r="G1" s="49" t="s">
        <v>381</v>
      </c>
      <c r="H1" s="49" t="s">
        <v>382</v>
      </c>
      <c r="I1" s="49" t="s">
        <v>383</v>
      </c>
      <c r="J1" s="49" t="s">
        <v>384</v>
      </c>
      <c r="K1" s="49" t="s">
        <v>385</v>
      </c>
      <c r="L1" s="49" t="s">
        <v>386</v>
      </c>
      <c r="M1" s="49" t="s">
        <v>387</v>
      </c>
      <c r="N1" s="49" t="s">
        <v>388</v>
      </c>
    </row>
    <row r="2" spans="1:15">
      <c r="A2" s="55">
        <v>2019</v>
      </c>
      <c r="B2" s="57" t="s">
        <v>402</v>
      </c>
      <c r="C2" s="99">
        <v>470.28068254449897</v>
      </c>
      <c r="D2" s="99">
        <v>2871.9226160523199</v>
      </c>
      <c r="E2" s="99">
        <v>86.245540767278101</v>
      </c>
      <c r="F2" s="99">
        <v>129.30523401594601</v>
      </c>
      <c r="G2" s="99">
        <v>242.123187395016</v>
      </c>
      <c r="H2" s="99">
        <v>25.8725375542267</v>
      </c>
      <c r="I2" s="99">
        <v>288.80829530884699</v>
      </c>
      <c r="J2" s="99">
        <v>1276.1557830017</v>
      </c>
      <c r="K2" s="99">
        <v>174.53429064142099</v>
      </c>
      <c r="L2" s="99">
        <v>502.565958562074</v>
      </c>
      <c r="M2" s="99">
        <v>146.31178880581399</v>
      </c>
      <c r="N2" s="99">
        <v>3342.2032985968199</v>
      </c>
    </row>
    <row r="3" spans="1:15">
      <c r="A3" s="55">
        <v>2019</v>
      </c>
      <c r="B3" s="57" t="s">
        <v>403</v>
      </c>
      <c r="C3" s="99">
        <v>716.86525149171905</v>
      </c>
      <c r="D3" s="99">
        <v>2446.22789528575</v>
      </c>
      <c r="E3" s="99">
        <v>120.419971501072</v>
      </c>
      <c r="F3" s="99">
        <v>73.309150900379095</v>
      </c>
      <c r="G3" s="99">
        <v>286.83116270271398</v>
      </c>
      <c r="H3" s="99">
        <v>71.761399035600704</v>
      </c>
      <c r="I3" s="99">
        <v>298.17747898499601</v>
      </c>
      <c r="J3" s="99">
        <v>217.29697231221101</v>
      </c>
      <c r="K3" s="99">
        <v>327.35136488254898</v>
      </c>
      <c r="L3" s="99">
        <v>976.50760923777602</v>
      </c>
      <c r="M3" s="99">
        <v>74.572785728453198</v>
      </c>
      <c r="N3" s="99">
        <v>3163.0931467774699</v>
      </c>
    </row>
    <row r="4" spans="1:15">
      <c r="A4" s="55">
        <v>2019</v>
      </c>
      <c r="B4" s="57" t="s">
        <v>404</v>
      </c>
      <c r="C4" s="99">
        <v>733.40749743472998</v>
      </c>
      <c r="D4" s="99">
        <v>3356.7481933916602</v>
      </c>
      <c r="E4" s="99">
        <v>84.496411748318806</v>
      </c>
      <c r="F4" s="99">
        <v>652.99210004265797</v>
      </c>
      <c r="G4" s="99">
        <v>519.190058084616</v>
      </c>
      <c r="H4" s="99">
        <v>44.194350813513701</v>
      </c>
      <c r="I4" s="99">
        <v>142.08676603131201</v>
      </c>
      <c r="J4" s="99">
        <v>357.20364300602898</v>
      </c>
      <c r="K4" s="99">
        <v>284.99482750602999</v>
      </c>
      <c r="L4" s="99">
        <v>1090.1806215704</v>
      </c>
      <c r="M4" s="99">
        <v>181.40941458877799</v>
      </c>
      <c r="N4" s="99">
        <v>4090.1556908263901</v>
      </c>
    </row>
    <row r="5" spans="1:15">
      <c r="A5" s="55">
        <v>2019</v>
      </c>
      <c r="B5" s="57" t="s">
        <v>405</v>
      </c>
      <c r="C5" s="99">
        <v>834.89924501025405</v>
      </c>
      <c r="D5" s="99">
        <v>2558.8026471573799</v>
      </c>
      <c r="E5" s="99">
        <v>73.7930540270563</v>
      </c>
      <c r="F5" s="99">
        <v>505.931376438722</v>
      </c>
      <c r="G5" s="99">
        <v>451.10214137752598</v>
      </c>
      <c r="H5" s="99">
        <v>174.20462958220901</v>
      </c>
      <c r="I5" s="99">
        <v>152.34440103868201</v>
      </c>
      <c r="J5" s="99">
        <v>274.65052845215001</v>
      </c>
      <c r="K5" s="99">
        <v>219.25636486006999</v>
      </c>
      <c r="L5" s="99">
        <v>563.03927503921398</v>
      </c>
      <c r="M5" s="99">
        <v>144.48087634175101</v>
      </c>
      <c r="N5" s="99">
        <v>3393.7018921676299</v>
      </c>
    </row>
    <row r="6" spans="1:15">
      <c r="A6" s="100">
        <v>2020</v>
      </c>
      <c r="B6" s="57" t="s">
        <v>402</v>
      </c>
      <c r="C6" s="99">
        <v>-136.178709332306</v>
      </c>
      <c r="D6" s="99">
        <v>2204.8343110392698</v>
      </c>
      <c r="E6" s="99">
        <v>72.223507122649295</v>
      </c>
      <c r="F6" s="99">
        <v>399.93957433913602</v>
      </c>
      <c r="G6" s="99">
        <v>110.388196372647</v>
      </c>
      <c r="H6" s="99">
        <v>27.6007337600272</v>
      </c>
      <c r="I6" s="99">
        <v>28.819691327340902</v>
      </c>
      <c r="J6" s="99">
        <v>214.17980851413299</v>
      </c>
      <c r="K6" s="99">
        <v>518.467698187407</v>
      </c>
      <c r="L6" s="99">
        <v>640.12350733052995</v>
      </c>
      <c r="M6" s="99">
        <v>193.09159408539799</v>
      </c>
      <c r="N6" s="99">
        <v>2068.6556017069602</v>
      </c>
      <c r="O6" s="103">
        <f>+SUM(E6:M6)</f>
        <v>2204.8343110392684</v>
      </c>
    </row>
    <row r="7" spans="1:15">
      <c r="A7" s="100">
        <v>2020</v>
      </c>
      <c r="B7" s="57" t="s">
        <v>403</v>
      </c>
      <c r="C7" s="99">
        <v>-104.919145527754</v>
      </c>
      <c r="D7" s="99">
        <v>948.90775845925805</v>
      </c>
      <c r="E7" s="99">
        <v>-2.2816117799216</v>
      </c>
      <c r="F7" s="99">
        <v>-313.77491821960899</v>
      </c>
      <c r="G7" s="99">
        <v>358.77978130110898</v>
      </c>
      <c r="H7" s="99">
        <v>73.033788414303203</v>
      </c>
      <c r="I7" s="99">
        <v>73.181422279558902</v>
      </c>
      <c r="J7" s="99">
        <v>153.90861747044099</v>
      </c>
      <c r="K7" s="99">
        <v>-130.18507582009201</v>
      </c>
      <c r="L7" s="99">
        <v>466.39617203063102</v>
      </c>
      <c r="M7" s="99">
        <v>269.84958278283699</v>
      </c>
      <c r="N7" s="99">
        <v>843.98861293150401</v>
      </c>
    </row>
    <row r="8" spans="1:15">
      <c r="A8" s="100">
        <v>2020</v>
      </c>
      <c r="B8" s="57" t="s">
        <v>404</v>
      </c>
      <c r="C8" s="99">
        <v>226.62907775179099</v>
      </c>
      <c r="D8" s="99">
        <v>1144.75195221837</v>
      </c>
      <c r="E8" s="99">
        <v>60.434584079471101</v>
      </c>
      <c r="F8" s="99">
        <v>3.9780400169230501</v>
      </c>
      <c r="G8" s="99">
        <v>117.74140033904099</v>
      </c>
      <c r="H8" s="99">
        <v>2.5322994093808</v>
      </c>
      <c r="I8" s="99">
        <v>107.590308852974</v>
      </c>
      <c r="J8" s="99">
        <v>237.18163773606199</v>
      </c>
      <c r="K8" s="99">
        <v>10.458194579715601</v>
      </c>
      <c r="L8" s="99">
        <v>396.52691632136799</v>
      </c>
      <c r="M8" s="99">
        <v>208.30857088343799</v>
      </c>
      <c r="N8" s="99">
        <v>1371.3810299701599</v>
      </c>
    </row>
    <row r="9" spans="1:15">
      <c r="A9" s="100">
        <v>2020</v>
      </c>
      <c r="B9" s="57" t="s">
        <v>405</v>
      </c>
      <c r="C9" s="99">
        <v>471.798820244544</v>
      </c>
      <c r="D9" s="99">
        <v>2702.8009193661301</v>
      </c>
      <c r="E9" s="99">
        <v>62.384675011015801</v>
      </c>
      <c r="F9" s="99">
        <v>348.278883057494</v>
      </c>
      <c r="G9" s="99">
        <v>307.03492556049702</v>
      </c>
      <c r="H9" s="99">
        <v>660.68489690577803</v>
      </c>
      <c r="I9" s="99">
        <v>199.694164444964</v>
      </c>
      <c r="J9" s="99">
        <v>241.309972540546</v>
      </c>
      <c r="K9" s="99">
        <v>138.89447273841401</v>
      </c>
      <c r="L9" s="99">
        <v>417.41784572304499</v>
      </c>
      <c r="M9" s="99">
        <v>327.101083384378</v>
      </c>
      <c r="N9" s="99">
        <v>3174.59973961068</v>
      </c>
    </row>
    <row r="10" spans="1:15">
      <c r="A10" s="100">
        <v>2021</v>
      </c>
      <c r="B10" s="57" t="s">
        <v>402</v>
      </c>
      <c r="C10" s="99">
        <v>438.49904339636902</v>
      </c>
      <c r="D10" s="99">
        <v>2111.9696373973002</v>
      </c>
      <c r="E10" s="99">
        <v>88.103980606051294</v>
      </c>
      <c r="F10" s="99">
        <v>186.873646039649</v>
      </c>
      <c r="G10" s="99">
        <v>340.76543963223497</v>
      </c>
      <c r="H10" s="99">
        <v>492.46247577249699</v>
      </c>
      <c r="I10" s="99">
        <v>28.182569428937501</v>
      </c>
      <c r="J10" s="99">
        <v>248.488144446608</v>
      </c>
      <c r="K10" s="99">
        <v>-81.867220920148696</v>
      </c>
      <c r="L10" s="99">
        <v>657.97644109968599</v>
      </c>
      <c r="M10" s="99">
        <v>150.98416129178</v>
      </c>
      <c r="N10" s="99">
        <v>2550.46868079366</v>
      </c>
    </row>
    <row r="11" spans="1:15">
      <c r="A11" s="100">
        <v>2021</v>
      </c>
      <c r="B11" s="57" t="s">
        <v>403</v>
      </c>
      <c r="C11" s="99">
        <v>103.272205001476</v>
      </c>
      <c r="D11" s="99">
        <v>2603.7167446421399</v>
      </c>
      <c r="E11" s="99">
        <v>71.297654920730196</v>
      </c>
      <c r="F11" s="99">
        <v>-131.82970741068499</v>
      </c>
      <c r="G11" s="99">
        <v>1054.13776624309</v>
      </c>
      <c r="H11" s="99">
        <v>110.445302911371</v>
      </c>
      <c r="I11" s="99">
        <v>99.815739779817406</v>
      </c>
      <c r="J11" s="99">
        <v>265.78787451838298</v>
      </c>
      <c r="K11" s="99">
        <v>297.31183965623899</v>
      </c>
      <c r="L11" s="99">
        <v>690.57556280204005</v>
      </c>
      <c r="M11" s="99">
        <v>146.17471122115299</v>
      </c>
      <c r="N11" s="99">
        <v>2706.9889496436099</v>
      </c>
    </row>
    <row r="12" spans="1:15">
      <c r="A12" s="100">
        <v>2021</v>
      </c>
      <c r="B12" s="57" t="s">
        <v>404</v>
      </c>
      <c r="C12" s="99">
        <v>206.175129940592</v>
      </c>
      <c r="D12" s="99">
        <v>1790.84906863431</v>
      </c>
      <c r="E12" s="99">
        <v>54.873634809441398</v>
      </c>
      <c r="F12" s="99">
        <v>-172.04545738192101</v>
      </c>
      <c r="G12" s="99">
        <v>251.96624044161501</v>
      </c>
      <c r="H12" s="99">
        <v>313.30709370877702</v>
      </c>
      <c r="I12" s="99">
        <v>86.970998163128598</v>
      </c>
      <c r="J12" s="99">
        <v>252.98382274520901</v>
      </c>
      <c r="K12" s="99">
        <v>300.63534812526302</v>
      </c>
      <c r="L12" s="99">
        <v>588.460020512646</v>
      </c>
      <c r="M12" s="99">
        <v>113.69736751014899</v>
      </c>
      <c r="N12" s="99">
        <v>1997.0241985749001</v>
      </c>
    </row>
    <row r="13" spans="1:15">
      <c r="A13" s="100">
        <v>2021</v>
      </c>
      <c r="B13" s="57" t="s">
        <v>405</v>
      </c>
      <c r="C13" s="99">
        <v>167.67057201466599</v>
      </c>
      <c r="D13" s="99">
        <v>2139.1828756488699</v>
      </c>
      <c r="E13" s="99">
        <v>66.846095845824806</v>
      </c>
      <c r="F13" s="99">
        <v>351.59532469218698</v>
      </c>
      <c r="G13" s="99">
        <v>72.331219912364205</v>
      </c>
      <c r="H13" s="99">
        <v>125.054624580043</v>
      </c>
      <c r="I13" s="99">
        <v>82.687958090162098</v>
      </c>
      <c r="J13" s="99">
        <v>190.09084227139201</v>
      </c>
      <c r="K13" s="99">
        <v>616.73398787121698</v>
      </c>
      <c r="L13" s="99">
        <v>465.35874702920398</v>
      </c>
      <c r="M13" s="99">
        <v>168.48407535647601</v>
      </c>
      <c r="N13" s="99">
        <v>2306.85344766354</v>
      </c>
    </row>
    <row r="14" spans="1:15">
      <c r="A14" s="100">
        <v>2022</v>
      </c>
      <c r="B14" s="57" t="s">
        <v>402</v>
      </c>
      <c r="C14" s="99">
        <v>527.23046036268295</v>
      </c>
      <c r="D14" s="99">
        <v>3564.6869677657101</v>
      </c>
      <c r="E14" s="99">
        <v>115.349899689616</v>
      </c>
      <c r="F14" s="99">
        <v>322.682934645437</v>
      </c>
      <c r="G14" s="99">
        <v>406.23277122790302</v>
      </c>
      <c r="H14" s="99">
        <v>143.51598079713</v>
      </c>
      <c r="I14" s="99">
        <v>121.786719954772</v>
      </c>
      <c r="J14" s="99">
        <v>464.10427550237398</v>
      </c>
      <c r="K14" s="99">
        <v>454.680049998051</v>
      </c>
      <c r="L14" s="99">
        <v>1292.4814969686299</v>
      </c>
      <c r="M14" s="99">
        <v>243.85283898179401</v>
      </c>
      <c r="N14" s="99">
        <v>4091.9174281283899</v>
      </c>
    </row>
    <row r="15" spans="1:15">
      <c r="A15" s="100">
        <v>2022</v>
      </c>
      <c r="B15" s="57" t="s">
        <v>403</v>
      </c>
      <c r="C15" s="99">
        <v>713.24453665230897</v>
      </c>
      <c r="D15" s="99">
        <v>2399.9738664285401</v>
      </c>
      <c r="E15" s="99">
        <v>59.4279517544188</v>
      </c>
      <c r="F15" s="99">
        <v>21.0817613239177</v>
      </c>
      <c r="G15" s="99">
        <v>468.78303802436602</v>
      </c>
      <c r="H15" s="99">
        <v>281.22489742935102</v>
      </c>
      <c r="I15" s="99">
        <v>106.36425309999299</v>
      </c>
      <c r="J15" s="99">
        <v>546.97826535662296</v>
      </c>
      <c r="K15" s="99">
        <v>274.28459582212702</v>
      </c>
      <c r="L15" s="99">
        <v>639.366232492314</v>
      </c>
      <c r="M15" s="99">
        <v>2.46287112543141</v>
      </c>
      <c r="N15" s="99">
        <v>3113.2184030808498</v>
      </c>
    </row>
    <row r="16" spans="1:15">
      <c r="A16" s="100">
        <v>2022</v>
      </c>
      <c r="B16" s="57" t="s">
        <v>404</v>
      </c>
      <c r="C16" s="99">
        <v>1100.6115703059099</v>
      </c>
      <c r="D16" s="99">
        <v>3941.9891134541699</v>
      </c>
      <c r="E16" s="99">
        <v>74.516629060392503</v>
      </c>
      <c r="F16" s="99">
        <v>667.74889571373603</v>
      </c>
      <c r="G16" s="99">
        <v>108.511744995936</v>
      </c>
      <c r="H16" s="99">
        <v>346.14139220337597</v>
      </c>
      <c r="I16" s="99">
        <v>116.971221483863</v>
      </c>
      <c r="J16" s="99">
        <v>304.76121923802202</v>
      </c>
      <c r="K16" s="99">
        <v>231.51824556576599</v>
      </c>
      <c r="L16" s="99">
        <v>1951.25032316026</v>
      </c>
      <c r="M16" s="99">
        <v>140.569442032821</v>
      </c>
      <c r="N16" s="99">
        <v>5042.6006837600798</v>
      </c>
    </row>
    <row r="17" spans="1:14">
      <c r="A17" s="100">
        <v>2022</v>
      </c>
      <c r="B17" s="57" t="s">
        <v>405</v>
      </c>
      <c r="C17" s="99">
        <v>524.62997635211002</v>
      </c>
      <c r="D17" s="99">
        <v>4409.8590065845001</v>
      </c>
      <c r="E17" s="99">
        <v>76.268439319817801</v>
      </c>
      <c r="F17" s="99">
        <v>177.30997270394701</v>
      </c>
      <c r="G17" s="99">
        <v>524.49341752302098</v>
      </c>
      <c r="H17" s="99">
        <v>197.23122967481399</v>
      </c>
      <c r="I17" s="99">
        <v>82.562655252490003</v>
      </c>
      <c r="J17" s="99">
        <v>225.87002242228201</v>
      </c>
      <c r="K17" s="99">
        <v>803.08925598460996</v>
      </c>
      <c r="L17" s="99">
        <v>2174.26599190566</v>
      </c>
      <c r="M17" s="99">
        <v>148.76802179786</v>
      </c>
      <c r="N17" s="99">
        <v>4934.4889829366202</v>
      </c>
    </row>
    <row r="18" spans="1:14">
      <c r="A18" s="100">
        <v>2023</v>
      </c>
      <c r="B18" s="57" t="s">
        <v>402</v>
      </c>
      <c r="C18" s="99">
        <v>457.87268474409802</v>
      </c>
      <c r="D18" s="99">
        <v>2999.1887873956398</v>
      </c>
      <c r="E18" s="99">
        <v>85.432603279109998</v>
      </c>
      <c r="F18" s="99">
        <v>97.327813298011307</v>
      </c>
      <c r="G18" s="99">
        <v>1116.57458493374</v>
      </c>
      <c r="H18" s="99">
        <v>162.06488735391099</v>
      </c>
      <c r="I18" s="99">
        <v>157.77310081413501</v>
      </c>
      <c r="J18" s="99">
        <v>276.45734691443698</v>
      </c>
      <c r="K18" s="99">
        <v>151.63216266049</v>
      </c>
      <c r="L18" s="99">
        <v>862.19265111066602</v>
      </c>
      <c r="M18" s="99">
        <v>89.733637031142393</v>
      </c>
      <c r="N18" s="99">
        <v>3457.0614721397401</v>
      </c>
    </row>
    <row r="19" spans="1:14">
      <c r="A19" s="100">
        <v>2023</v>
      </c>
      <c r="B19" s="57" t="s">
        <v>403</v>
      </c>
      <c r="C19" s="99">
        <v>696.33905121114606</v>
      </c>
      <c r="D19" s="99">
        <v>3141.63400430718</v>
      </c>
      <c r="E19" s="99">
        <v>123.46537035043001</v>
      </c>
      <c r="F19" s="99">
        <v>306.51452984043499</v>
      </c>
      <c r="G19" s="99">
        <v>794.28680565118395</v>
      </c>
      <c r="H19" s="99">
        <v>265.57359853836402</v>
      </c>
      <c r="I19" s="99">
        <v>126.56046126840801</v>
      </c>
      <c r="J19" s="99">
        <v>297.79714992816702</v>
      </c>
      <c r="K19" s="99">
        <v>231.56708926082399</v>
      </c>
      <c r="L19" s="99">
        <v>893.63386238111605</v>
      </c>
      <c r="M19" s="99">
        <v>102.23513708825099</v>
      </c>
      <c r="N19" s="99">
        <v>3837.9730555183201</v>
      </c>
    </row>
    <row r="20" spans="1:14">
      <c r="A20" s="100">
        <v>2023</v>
      </c>
      <c r="B20" s="57" t="s">
        <v>404</v>
      </c>
      <c r="C20" s="99">
        <v>1057.5067777389199</v>
      </c>
      <c r="D20" s="99">
        <v>4277.2578453288997</v>
      </c>
      <c r="E20" s="99">
        <v>67.185140143070399</v>
      </c>
      <c r="F20" s="99">
        <v>2329.0189745511898</v>
      </c>
      <c r="G20" s="99">
        <v>494.672397734958</v>
      </c>
      <c r="H20" s="99">
        <v>157.18590559034899</v>
      </c>
      <c r="I20" s="99">
        <v>148.269576599982</v>
      </c>
      <c r="J20" s="99">
        <v>450.38986023872502</v>
      </c>
      <c r="K20" s="99">
        <v>313.09479941582401</v>
      </c>
      <c r="L20" s="99">
        <v>306.55213411405498</v>
      </c>
      <c r="M20" s="99">
        <v>10.889056940749899</v>
      </c>
      <c r="N20" s="99">
        <v>5334.7646230678301</v>
      </c>
    </row>
    <row r="21" spans="1:14">
      <c r="A21" s="100">
        <v>2023</v>
      </c>
      <c r="B21" s="57" t="s">
        <v>405</v>
      </c>
      <c r="C21" s="99">
        <v>846.51317810229602</v>
      </c>
      <c r="D21" s="99">
        <v>3317.3903996756098</v>
      </c>
      <c r="E21" s="99">
        <v>59.173726320110902</v>
      </c>
      <c r="F21" s="99">
        <v>709.56489011583301</v>
      </c>
      <c r="G21" s="99">
        <v>561.50836998123202</v>
      </c>
      <c r="H21" s="99">
        <v>259.27307347271</v>
      </c>
      <c r="I21" s="99">
        <v>144.46979776659001</v>
      </c>
      <c r="J21" s="99">
        <v>385.172595457988</v>
      </c>
      <c r="K21" s="99">
        <v>328.24650342485398</v>
      </c>
      <c r="L21" s="99">
        <v>668.18393849762197</v>
      </c>
      <c r="M21" s="99">
        <v>201.797504638672</v>
      </c>
      <c r="N21" s="99">
        <v>4163.90357777791</v>
      </c>
    </row>
    <row r="22" spans="1:14">
      <c r="A22" s="100">
        <v>2024</v>
      </c>
      <c r="B22" s="57" t="s">
        <v>402</v>
      </c>
      <c r="C22" s="99">
        <v>393.592479850063</v>
      </c>
      <c r="D22" s="99">
        <v>3672.34124825762</v>
      </c>
      <c r="E22" s="99">
        <v>39.097777194804401</v>
      </c>
      <c r="F22" s="99">
        <v>85.695339963900594</v>
      </c>
      <c r="G22" s="99">
        <v>379.806008901805</v>
      </c>
      <c r="H22" s="99">
        <v>235.459401435557</v>
      </c>
      <c r="I22" s="99">
        <v>196.649075748809</v>
      </c>
      <c r="J22" s="99">
        <v>685.26398334129897</v>
      </c>
      <c r="K22" s="99">
        <v>257.50581934760299</v>
      </c>
      <c r="L22" s="99">
        <v>1732.7569581144401</v>
      </c>
      <c r="M22" s="99">
        <v>60.106884209400903</v>
      </c>
      <c r="N22" s="99">
        <v>4065.9337281076901</v>
      </c>
    </row>
    <row r="23" spans="1:14">
      <c r="A23" s="100">
        <v>2024</v>
      </c>
      <c r="B23" s="57" t="s">
        <v>403</v>
      </c>
      <c r="C23" s="99">
        <v>435.45053361004801</v>
      </c>
      <c r="D23" s="99">
        <v>2869.0987547377499</v>
      </c>
      <c r="E23" s="99">
        <v>44.147792522205698</v>
      </c>
      <c r="F23" s="99">
        <v>184.24117599271199</v>
      </c>
      <c r="G23" s="99">
        <v>693.96901236824397</v>
      </c>
      <c r="H23" s="99">
        <v>191.585726409648</v>
      </c>
      <c r="I23" s="99">
        <v>203.13828477762999</v>
      </c>
      <c r="J23" s="99">
        <v>418.34046432393598</v>
      </c>
      <c r="K23" s="99">
        <v>64.095007383244393</v>
      </c>
      <c r="L23" s="99">
        <v>989.33654739837596</v>
      </c>
      <c r="M23" s="99">
        <v>80.244743561753396</v>
      </c>
      <c r="N23" s="99">
        <v>3304.5492883478</v>
      </c>
    </row>
    <row r="24" spans="1:14">
      <c r="A24" s="100">
        <v>2024</v>
      </c>
      <c r="B24" s="57" t="s">
        <v>404</v>
      </c>
      <c r="C24" s="99">
        <v>613.59805263727606</v>
      </c>
      <c r="D24" s="99">
        <v>2152.30771459468</v>
      </c>
      <c r="E24" s="99">
        <v>64.839919829237601</v>
      </c>
      <c r="F24" s="99">
        <v>359.075791948828</v>
      </c>
      <c r="G24" s="99">
        <v>724.97465280397705</v>
      </c>
      <c r="H24" s="99">
        <v>328.531889571379</v>
      </c>
      <c r="I24" s="99">
        <v>89.024656046270195</v>
      </c>
      <c r="J24" s="99">
        <v>282.87126823385398</v>
      </c>
      <c r="K24" s="99">
        <v>-293.97659547180899</v>
      </c>
      <c r="L24" s="99">
        <v>538.36105068242102</v>
      </c>
      <c r="M24" s="99">
        <v>58.605080950518001</v>
      </c>
      <c r="N24" s="99">
        <v>2765.90576723195</v>
      </c>
    </row>
    <row r="25" spans="1:14">
      <c r="A25" s="100">
        <v>2024</v>
      </c>
      <c r="B25" s="57" t="s">
        <v>405</v>
      </c>
      <c r="C25" s="99">
        <v>623.36470292515799</v>
      </c>
      <c r="D25" s="99">
        <v>2924.1226688001302</v>
      </c>
      <c r="E25" s="99">
        <v>43.296882085147097</v>
      </c>
      <c r="F25" s="99">
        <v>503.36136023546197</v>
      </c>
      <c r="G25" s="99">
        <v>308.39619005735898</v>
      </c>
      <c r="H25" s="99">
        <v>156.69642539204699</v>
      </c>
      <c r="I25" s="99">
        <v>110.488398214349</v>
      </c>
      <c r="J25" s="99">
        <v>527.99806877266894</v>
      </c>
      <c r="K25" s="99">
        <v>231.93538794318599</v>
      </c>
      <c r="L25" s="99">
        <v>985.39503107726296</v>
      </c>
      <c r="M25" s="99">
        <v>56.5549250226479</v>
      </c>
      <c r="N25" s="99">
        <v>3547.4873717252899</v>
      </c>
    </row>
    <row r="26" spans="1:14">
      <c r="A26" s="100">
        <v>2025</v>
      </c>
      <c r="B26" s="57" t="s">
        <v>402</v>
      </c>
      <c r="C26" s="99">
        <v>633.66361726346304</v>
      </c>
      <c r="D26" s="99">
        <v>1888.11786536004</v>
      </c>
      <c r="E26" s="99">
        <v>60.156249779051201</v>
      </c>
      <c r="F26" s="99">
        <v>-319.88187824080399</v>
      </c>
      <c r="G26" s="99">
        <v>142.02182038593401</v>
      </c>
      <c r="H26" s="99">
        <v>155.46969042942999</v>
      </c>
      <c r="I26" s="99">
        <v>153.92967792347099</v>
      </c>
      <c r="J26" s="99">
        <v>307.50311801740799</v>
      </c>
      <c r="K26" s="99">
        <v>106.457632398318</v>
      </c>
      <c r="L26" s="99">
        <v>1231.3328513940601</v>
      </c>
      <c r="M26" s="99">
        <v>51.128703273169101</v>
      </c>
      <c r="N26" s="99">
        <v>2521.7814826234999</v>
      </c>
    </row>
    <row r="27" spans="1:14">
      <c r="A27" s="100">
        <v>2025</v>
      </c>
      <c r="B27" s="57" t="s">
        <v>403</v>
      </c>
      <c r="C27" s="99">
        <v>614.89217629699601</v>
      </c>
      <c r="D27" s="99">
        <v>2268.25848278579</v>
      </c>
      <c r="E27" s="99">
        <v>58.924174266118001</v>
      </c>
      <c r="F27" s="99">
        <v>32.708477246277802</v>
      </c>
      <c r="G27" s="99">
        <v>465.85054881806599</v>
      </c>
      <c r="H27" s="99">
        <v>310.43025327828002</v>
      </c>
      <c r="I27" s="99">
        <v>99.181513480559602</v>
      </c>
      <c r="J27" s="99">
        <v>303.58877665842499</v>
      </c>
      <c r="K27" s="99">
        <v>164.686921165445</v>
      </c>
      <c r="L27" s="99">
        <v>795.806311431675</v>
      </c>
      <c r="M27" s="99">
        <v>37.081506440943002</v>
      </c>
      <c r="N27" s="99">
        <v>2883.1506590827898</v>
      </c>
    </row>
    <row r="28" spans="1:14">
      <c r="A28" s="100">
        <v>2025</v>
      </c>
      <c r="B28" s="57" t="s">
        <v>404</v>
      </c>
      <c r="C28" s="99">
        <v>680.63484371912</v>
      </c>
      <c r="D28" s="99">
        <v>2617.51049995524</v>
      </c>
      <c r="E28" s="99">
        <v>29.8467729726861</v>
      </c>
      <c r="F28" s="99">
        <v>106.91225682877401</v>
      </c>
      <c r="G28" s="99">
        <v>812.50148418739195</v>
      </c>
      <c r="H28" s="99">
        <v>109.44876947601</v>
      </c>
      <c r="I28" s="99">
        <v>130.826332589647</v>
      </c>
      <c r="J28" s="99">
        <v>400.36037491142702</v>
      </c>
      <c r="K28" s="99">
        <v>175.70967499875201</v>
      </c>
      <c r="L28" s="99">
        <v>830.31883986660705</v>
      </c>
      <c r="M28" s="99">
        <v>21.585994123942601</v>
      </c>
      <c r="N28" s="99">
        <v>3298.14534367436</v>
      </c>
    </row>
    <row r="29" spans="1:14">
      <c r="A29" s="100">
        <v>2025</v>
      </c>
      <c r="B29" s="57" t="s">
        <v>405</v>
      </c>
      <c r="C29" s="99">
        <v>568.950040416143</v>
      </c>
      <c r="D29" s="99">
        <v>2197.2961479990599</v>
      </c>
      <c r="E29" s="99">
        <v>57.587599484155</v>
      </c>
      <c r="F29" s="99">
        <v>339.23966960609198</v>
      </c>
      <c r="G29" s="99">
        <v>276.50554801001999</v>
      </c>
      <c r="H29" s="99">
        <v>199.010159071489</v>
      </c>
      <c r="I29" s="99">
        <v>163.54793570021201</v>
      </c>
      <c r="J29" s="99">
        <v>92.354159438106706</v>
      </c>
      <c r="K29" s="99">
        <v>237.794400565769</v>
      </c>
      <c r="L29" s="99">
        <v>755.69187047726803</v>
      </c>
      <c r="M29" s="99">
        <v>75.564805645950997</v>
      </c>
      <c r="N29" s="99">
        <v>2766.2461884151999</v>
      </c>
    </row>
    <row r="33" spans="2:15">
      <c r="B33" t="s">
        <v>406</v>
      </c>
      <c r="C33" s="101" t="s">
        <v>377</v>
      </c>
      <c r="D33" s="101" t="s">
        <v>378</v>
      </c>
      <c r="E33" s="101" t="s">
        <v>379</v>
      </c>
      <c r="F33" s="101" t="s">
        <v>380</v>
      </c>
      <c r="G33" s="101" t="s">
        <v>381</v>
      </c>
      <c r="H33" s="101" t="s">
        <v>382</v>
      </c>
      <c r="I33" s="101" t="s">
        <v>383</v>
      </c>
      <c r="J33" s="101" t="s">
        <v>384</v>
      </c>
      <c r="K33" s="101" t="s">
        <v>385</v>
      </c>
      <c r="L33" s="101" t="s">
        <v>386</v>
      </c>
      <c r="M33" s="101" t="s">
        <v>387</v>
      </c>
      <c r="N33" s="101" t="s">
        <v>388</v>
      </c>
    </row>
    <row r="34" spans="2:15">
      <c r="B34">
        <v>2019</v>
      </c>
      <c r="C34">
        <f t="shared" ref="C34:N40" si="0">SUMIF($A$2:$A$29,$B34,C$2:C$29)</f>
        <v>2755.4526764812022</v>
      </c>
      <c r="D34">
        <f t="shared" si="0"/>
        <v>11233.70135188711</v>
      </c>
      <c r="E34">
        <f t="shared" si="0"/>
        <v>364.95497804372519</v>
      </c>
      <c r="F34">
        <f t="shared" si="0"/>
        <v>1361.537861397705</v>
      </c>
      <c r="G34">
        <f t="shared" si="0"/>
        <v>1499.2465495598722</v>
      </c>
      <c r="H34">
        <f t="shared" si="0"/>
        <v>316.03291698555012</v>
      </c>
      <c r="I34">
        <f t="shared" si="0"/>
        <v>881.41694136383694</v>
      </c>
      <c r="J34">
        <f t="shared" si="0"/>
        <v>2125.3069267720898</v>
      </c>
      <c r="K34">
        <f t="shared" si="0"/>
        <v>1006.1368478900699</v>
      </c>
      <c r="L34">
        <f t="shared" si="0"/>
        <v>3132.2934644094639</v>
      </c>
      <c r="M34">
        <f t="shared" si="0"/>
        <v>546.77486546479622</v>
      </c>
      <c r="N34">
        <f t="shared" si="0"/>
        <v>13989.15402836831</v>
      </c>
    </row>
    <row r="35" spans="2:15">
      <c r="B35">
        <v>2020</v>
      </c>
      <c r="C35">
        <f t="shared" si="0"/>
        <v>457.33004313627498</v>
      </c>
      <c r="D35">
        <f t="shared" si="0"/>
        <v>7001.2949410830279</v>
      </c>
      <c r="E35">
        <f t="shared" si="0"/>
        <v>192.76115443321459</v>
      </c>
      <c r="F35">
        <f t="shared" si="0"/>
        <v>438.42157919394407</v>
      </c>
      <c r="G35">
        <f t="shared" si="0"/>
        <v>893.94430357329406</v>
      </c>
      <c r="H35">
        <f t="shared" si="0"/>
        <v>763.85171848948926</v>
      </c>
      <c r="I35">
        <f t="shared" si="0"/>
        <v>409.28558690483783</v>
      </c>
      <c r="J35">
        <f t="shared" si="0"/>
        <v>846.58003626118204</v>
      </c>
      <c r="K35">
        <f t="shared" si="0"/>
        <v>537.6352896854446</v>
      </c>
      <c r="L35">
        <f t="shared" si="0"/>
        <v>1920.464441405574</v>
      </c>
      <c r="M35">
        <f t="shared" si="0"/>
        <v>998.35083113605083</v>
      </c>
      <c r="N35">
        <f t="shared" si="0"/>
        <v>7458.6249842193047</v>
      </c>
    </row>
    <row r="36" spans="2:15">
      <c r="B36">
        <v>2021</v>
      </c>
      <c r="C36">
        <f t="shared" si="0"/>
        <v>915.61695035310299</v>
      </c>
      <c r="D36">
        <f t="shared" si="0"/>
        <v>8645.7183263226198</v>
      </c>
      <c r="E36">
        <f t="shared" si="0"/>
        <v>281.12136618204772</v>
      </c>
      <c r="F36">
        <f t="shared" si="0"/>
        <v>234.59380593922998</v>
      </c>
      <c r="G36">
        <f t="shared" si="0"/>
        <v>1719.2006662293043</v>
      </c>
      <c r="H36">
        <f t="shared" si="0"/>
        <v>1041.2694969726881</v>
      </c>
      <c r="I36">
        <f t="shared" si="0"/>
        <v>297.65726546204559</v>
      </c>
      <c r="J36">
        <f t="shared" si="0"/>
        <v>957.35068398159194</v>
      </c>
      <c r="K36">
        <f t="shared" si="0"/>
        <v>1132.8139547325704</v>
      </c>
      <c r="L36">
        <f t="shared" si="0"/>
        <v>2402.3707714435759</v>
      </c>
      <c r="M36">
        <f t="shared" si="0"/>
        <v>579.34031537955798</v>
      </c>
      <c r="N36">
        <f t="shared" si="0"/>
        <v>9561.3352766757089</v>
      </c>
    </row>
    <row r="37" spans="2:15">
      <c r="B37">
        <v>2022</v>
      </c>
      <c r="C37">
        <f t="shared" si="0"/>
        <v>2865.716543673012</v>
      </c>
      <c r="D37">
        <f t="shared" si="0"/>
        <v>14316.508954232921</v>
      </c>
      <c r="E37">
        <f t="shared" si="0"/>
        <v>325.56291982424511</v>
      </c>
      <c r="F37">
        <f t="shared" si="0"/>
        <v>1188.8235643870378</v>
      </c>
      <c r="G37">
        <f t="shared" si="0"/>
        <v>1508.020971771226</v>
      </c>
      <c r="H37">
        <f t="shared" si="0"/>
        <v>968.11350010467106</v>
      </c>
      <c r="I37">
        <f t="shared" si="0"/>
        <v>427.68484979111798</v>
      </c>
      <c r="J37">
        <f t="shared" si="0"/>
        <v>1541.713782519301</v>
      </c>
      <c r="K37">
        <f t="shared" si="0"/>
        <v>1763.5721473705539</v>
      </c>
      <c r="L37">
        <f t="shared" si="0"/>
        <v>6057.3640445268638</v>
      </c>
      <c r="M37">
        <f t="shared" si="0"/>
        <v>535.65317393790644</v>
      </c>
      <c r="N37">
        <f t="shared" si="0"/>
        <v>17182.22549790594</v>
      </c>
    </row>
    <row r="38" spans="2:15">
      <c r="B38">
        <v>2023</v>
      </c>
      <c r="C38">
        <f t="shared" si="0"/>
        <v>3058.2316917964599</v>
      </c>
      <c r="D38">
        <f t="shared" si="0"/>
        <v>13735.471036707328</v>
      </c>
      <c r="E38">
        <f t="shared" si="0"/>
        <v>335.25684009272129</v>
      </c>
      <c r="F38">
        <f t="shared" si="0"/>
        <v>3442.4262078054689</v>
      </c>
      <c r="G38">
        <f t="shared" si="0"/>
        <v>2967.0421583011139</v>
      </c>
      <c r="H38">
        <f t="shared" si="0"/>
        <v>844.09746495533409</v>
      </c>
      <c r="I38">
        <f t="shared" si="0"/>
        <v>577.07293644911499</v>
      </c>
      <c r="J38">
        <f t="shared" si="0"/>
        <v>1409.8169525393168</v>
      </c>
      <c r="K38">
        <f t="shared" si="0"/>
        <v>1024.5405547619919</v>
      </c>
      <c r="L38">
        <f t="shared" si="0"/>
        <v>2730.5625861034587</v>
      </c>
      <c r="M38">
        <f t="shared" si="0"/>
        <v>404.65533569881529</v>
      </c>
      <c r="N38">
        <f t="shared" si="0"/>
        <v>16793.702728503798</v>
      </c>
    </row>
    <row r="39" spans="2:15">
      <c r="B39">
        <v>2024</v>
      </c>
      <c r="C39">
        <f t="shared" si="0"/>
        <v>2066.0057690225449</v>
      </c>
      <c r="D39">
        <f t="shared" si="0"/>
        <v>11617.870386390179</v>
      </c>
      <c r="E39">
        <f t="shared" si="0"/>
        <v>191.38237163139479</v>
      </c>
      <c r="F39">
        <f t="shared" si="0"/>
        <v>1132.3736681409025</v>
      </c>
      <c r="G39">
        <f t="shared" si="0"/>
        <v>2107.1458641313848</v>
      </c>
      <c r="H39">
        <f t="shared" si="0"/>
        <v>912.27344280863099</v>
      </c>
      <c r="I39">
        <f t="shared" si="0"/>
        <v>599.30041478705823</v>
      </c>
      <c r="J39">
        <f t="shared" si="0"/>
        <v>1914.473784671758</v>
      </c>
      <c r="K39">
        <f t="shared" si="0"/>
        <v>259.55961920222444</v>
      </c>
      <c r="L39">
        <f t="shared" si="0"/>
        <v>4245.8495872724998</v>
      </c>
      <c r="M39">
        <f t="shared" si="0"/>
        <v>255.51163374432022</v>
      </c>
      <c r="N39">
        <f t="shared" si="0"/>
        <v>13683.87615541273</v>
      </c>
    </row>
    <row r="40" spans="2:15">
      <c r="B40">
        <v>2025</v>
      </c>
      <c r="C40">
        <f t="shared" si="0"/>
        <v>2498.1406776957219</v>
      </c>
      <c r="D40">
        <f t="shared" si="0"/>
        <v>8971.1829961001313</v>
      </c>
      <c r="E40">
        <f t="shared" si="0"/>
        <v>206.51479650201028</v>
      </c>
      <c r="F40">
        <f t="shared" si="0"/>
        <v>158.97852544033981</v>
      </c>
      <c r="G40">
        <f t="shared" si="0"/>
        <v>1696.879401401412</v>
      </c>
      <c r="H40">
        <f t="shared" si="0"/>
        <v>774.35887225520901</v>
      </c>
      <c r="I40">
        <f t="shared" si="0"/>
        <v>547.48545969388965</v>
      </c>
      <c r="J40">
        <f t="shared" si="0"/>
        <v>1103.8064290253667</v>
      </c>
      <c r="K40">
        <f t="shared" si="0"/>
        <v>684.64862912828403</v>
      </c>
      <c r="L40">
        <f t="shared" si="0"/>
        <v>3613.1498731696101</v>
      </c>
      <c r="M40">
        <f t="shared" si="0"/>
        <v>185.36100948400571</v>
      </c>
      <c r="N40">
        <f t="shared" si="0"/>
        <v>11469.323673795849</v>
      </c>
    </row>
    <row r="44" spans="2:15">
      <c r="B44" t="s">
        <v>406</v>
      </c>
      <c r="C44" s="101" t="s">
        <v>377</v>
      </c>
      <c r="D44" s="101" t="s">
        <v>378</v>
      </c>
      <c r="E44" s="101" t="s">
        <v>379</v>
      </c>
      <c r="F44" s="101" t="s">
        <v>380</v>
      </c>
      <c r="G44" s="101" t="s">
        <v>381</v>
      </c>
      <c r="H44" s="101" t="s">
        <v>382</v>
      </c>
      <c r="I44" s="101" t="s">
        <v>383</v>
      </c>
      <c r="J44" s="101" t="s">
        <v>384</v>
      </c>
      <c r="K44" s="101" t="s">
        <v>385</v>
      </c>
      <c r="L44" s="101" t="s">
        <v>386</v>
      </c>
      <c r="M44" s="101" t="s">
        <v>387</v>
      </c>
      <c r="N44" s="102" t="s">
        <v>389</v>
      </c>
      <c r="O44" s="102" t="s">
        <v>407</v>
      </c>
    </row>
    <row r="45" spans="2:15">
      <c r="B45">
        <v>2019</v>
      </c>
      <c r="C45">
        <f>+C34/$N34</f>
        <v>0.19697064389265267</v>
      </c>
      <c r="D45">
        <f t="shared" ref="D45:M45" si="1">+D34/$N34</f>
        <v>0.80302935610734749</v>
      </c>
      <c r="E45">
        <f t="shared" si="1"/>
        <v>2.6088423739108219E-2</v>
      </c>
      <c r="F45">
        <f t="shared" si="1"/>
        <v>9.7328105662191661E-2</v>
      </c>
      <c r="G45">
        <f t="shared" si="1"/>
        <v>0.10717206676826789</v>
      </c>
      <c r="H45">
        <f t="shared" si="1"/>
        <v>2.2591281527437158E-2</v>
      </c>
      <c r="I45">
        <f t="shared" si="1"/>
        <v>6.3007165378008573E-2</v>
      </c>
      <c r="J45">
        <f t="shared" si="1"/>
        <v>0.15192533604692784</v>
      </c>
      <c r="K45">
        <f t="shared" si="1"/>
        <v>7.1922637055088987E-2</v>
      </c>
      <c r="L45">
        <f t="shared" si="1"/>
        <v>0.22390871228221179</v>
      </c>
      <c r="M45">
        <f t="shared" si="1"/>
        <v>3.908562764810531E-2</v>
      </c>
      <c r="N45">
        <f>+Tabla24[[#This Row],[Agricultura, caza, silvicultura y pesca]]+Tabla24[[#This Row],[Electricidad, gas y agua]]+Tabla24[[#This Row],[Construcción]]+Tabla24[[#This Row],[Transportes, almacenamiento y comunicaciones]]+Tabla24[[#This Row],[Servicios comunales sociales y personales]]</f>
        <v>0.22269513534774824</v>
      </c>
      <c r="O45">
        <f>+Tabla24[[#This Row],[Otros]]+Tabla24[[#This Row],[Servicios financieros y empresariales]]+Tabla24[[#This Row],[Comercio al por mayor y al por menor, restaurantes y hoteles]]+Tabla24[[#This Row],[Industrias manufactureras]]++Tabla24[[#This Row],[Explotación de minas y canteras (incluye carbón)]]+Tabla24[[#This Row],[Sector petrolero]]</f>
        <v>1</v>
      </c>
    </row>
    <row r="46" spans="2:15">
      <c r="B46">
        <v>2020</v>
      </c>
      <c r="C46">
        <f t="shared" ref="C46:C51" si="2">+C35/N35</f>
        <v>6.1315596923545254E-2</v>
      </c>
      <c r="D46">
        <f t="shared" ref="D46:M46" si="3">+D35/$N35</f>
        <v>0.93868440307645451</v>
      </c>
      <c r="E46">
        <f t="shared" si="3"/>
        <v>2.5844060378561979E-2</v>
      </c>
      <c r="F46">
        <f t="shared" si="3"/>
        <v>5.8780483014166947E-2</v>
      </c>
      <c r="G46">
        <f t="shared" si="3"/>
        <v>0.11985376734514336</v>
      </c>
      <c r="H46">
        <f t="shared" si="3"/>
        <v>0.10241186815339554</v>
      </c>
      <c r="I46">
        <f t="shared" si="3"/>
        <v>5.4874134008720078E-2</v>
      </c>
      <c r="J46">
        <f t="shared" si="3"/>
        <v>0.11350349937855117</v>
      </c>
      <c r="K46">
        <f t="shared" si="3"/>
        <v>7.2082359794594097E-2</v>
      </c>
      <c r="L46">
        <f t="shared" si="3"/>
        <v>0.25748237047295242</v>
      </c>
      <c r="M46">
        <f t="shared" si="3"/>
        <v>0.13385186053036938</v>
      </c>
      <c r="N46">
        <f>+Tabla24[[#This Row],[Agricultura, caza, silvicultura y pesca]]+Tabla24[[#This Row],[Electricidad, gas y agua]]+Tabla24[[#This Row],[Construcción]]+Tabla24[[#This Row],[Transportes, almacenamiento y comunicaciones]]+Tabla24[[#This Row],[Servicios comunales sociales y personales]]</f>
        <v>0.3890642828656411</v>
      </c>
      <c r="O46">
        <f>+Tabla24[[#This Row],[Otros]]+Tabla24[[#This Row],[Servicios financieros y empresariales]]+Tabla24[[#This Row],[Comercio al por mayor y al por menor, restaurantes y hoteles]]+Tabla24[[#This Row],[Industrias manufactureras]]++Tabla24[[#This Row],[Explotación de minas y canteras (incluye carbón)]]+Tabla24[[#This Row],[Sector petrolero]]</f>
        <v>1.0000000000000002</v>
      </c>
    </row>
    <row r="47" spans="2:15">
      <c r="B47">
        <v>2021</v>
      </c>
      <c r="C47">
        <f t="shared" si="2"/>
        <v>9.5762456169348475E-2</v>
      </c>
      <c r="D47">
        <f t="shared" ref="D47:M47" si="4">+D36/$N36</f>
        <v>0.90423754383065302</v>
      </c>
      <c r="E47">
        <f t="shared" si="4"/>
        <v>2.9401893987320585E-2</v>
      </c>
      <c r="F47">
        <f t="shared" si="4"/>
        <v>2.4535674061290078E-2</v>
      </c>
      <c r="G47">
        <f t="shared" si="4"/>
        <v>0.17980759135423155</v>
      </c>
      <c r="H47">
        <f t="shared" si="4"/>
        <v>0.10890419244190727</v>
      </c>
      <c r="I47">
        <f t="shared" si="4"/>
        <v>3.1131349006049629E-2</v>
      </c>
      <c r="J47">
        <f t="shared" si="4"/>
        <v>0.10012729982568337</v>
      </c>
      <c r="K47">
        <f t="shared" si="4"/>
        <v>0.11847863524836333</v>
      </c>
      <c r="L47">
        <f t="shared" si="4"/>
        <v>0.25125891958877461</v>
      </c>
      <c r="M47">
        <f t="shared" si="4"/>
        <v>6.0591988317031741E-2</v>
      </c>
      <c r="N47">
        <f>+Tabla24[[#This Row],[Agricultura, caza, silvicultura y pesca]]+Tabla24[[#This Row],[Electricidad, gas y agua]]+Tabla24[[#This Row],[Construcción]]+Tabla24[[#This Row],[Transportes, almacenamiento y comunicaciones]]+Tabla24[[#This Row],[Servicios comunales sociales y personales]]</f>
        <v>0.34850805900067255</v>
      </c>
      <c r="O47">
        <f>+Tabla24[[#This Row],[Otros]]+Tabla24[[#This Row],[Servicios financieros y empresariales]]+Tabla24[[#This Row],[Comercio al por mayor y al por menor, restaurantes y hoteles]]+Tabla24[[#This Row],[Industrias manufactureras]]++Tabla24[[#This Row],[Explotación de minas y canteras (incluye carbón)]]+Tabla24[[#This Row],[Sector petrolero]]</f>
        <v>1.0000000000000007</v>
      </c>
    </row>
    <row r="48" spans="2:15">
      <c r="B48">
        <v>2022</v>
      </c>
      <c r="C48">
        <f t="shared" si="2"/>
        <v>0.16678378153180839</v>
      </c>
      <c r="D48">
        <f t="shared" ref="D48:M48" si="5">+D37/$N37</f>
        <v>0.83321621846819116</v>
      </c>
      <c r="E48">
        <f t="shared" si="5"/>
        <v>1.8947657267326789E-2</v>
      </c>
      <c r="F48">
        <f t="shared" si="5"/>
        <v>6.9189149247978615E-2</v>
      </c>
      <c r="G48">
        <f t="shared" si="5"/>
        <v>8.7766335737766557E-2</v>
      </c>
      <c r="H48">
        <f t="shared" si="5"/>
        <v>5.6343894463651324E-2</v>
      </c>
      <c r="I48">
        <f t="shared" si="5"/>
        <v>2.4891120759836464E-2</v>
      </c>
      <c r="J48">
        <f t="shared" si="5"/>
        <v>8.9727246491276419E-2</v>
      </c>
      <c r="K48">
        <f t="shared" si="5"/>
        <v>0.10263933199954144</v>
      </c>
      <c r="L48">
        <f t="shared" si="5"/>
        <v>0.3525366399867757</v>
      </c>
      <c r="M48">
        <f t="shared" si="5"/>
        <v>3.1174842514038036E-2</v>
      </c>
      <c r="N48">
        <f>+Tabla24[[#This Row],[Agricultura, caza, silvicultura y pesca]]+Tabla24[[#This Row],[Electricidad, gas y agua]]+Tabla24[[#This Row],[Construcción]]+Tabla24[[#This Row],[Transportes, almacenamiento y comunicaciones]]+Tabla24[[#This Row],[Servicios comunales sociales y personales]]</f>
        <v>0.23399684700439405</v>
      </c>
      <c r="O48">
        <f>+Tabla24[[#This Row],[Otros]]+Tabla24[[#This Row],[Servicios financieros y empresariales]]+Tabla24[[#This Row],[Comercio al por mayor y al por menor, restaurantes y hoteles]]+Tabla24[[#This Row],[Industrias manufactureras]]++Tabla24[[#This Row],[Explotación de minas y canteras (incluye carbón)]]+Tabla24[[#This Row],[Sector petrolero]]</f>
        <v>0.99999999999999978</v>
      </c>
    </row>
    <row r="49" spans="2:15">
      <c r="B49">
        <v>2023</v>
      </c>
      <c r="C49">
        <f t="shared" si="2"/>
        <v>0.18210586082399513</v>
      </c>
      <c r="D49">
        <f t="shared" ref="D49:M49" si="6">+D38/$N38</f>
        <v>0.81789413917600418</v>
      </c>
      <c r="E49">
        <f t="shared" si="6"/>
        <v>1.9963247266708666E-2</v>
      </c>
      <c r="F49">
        <f t="shared" si="6"/>
        <v>0.20498315728565747</v>
      </c>
      <c r="G49">
        <f t="shared" si="6"/>
        <v>0.17667587703962273</v>
      </c>
      <c r="H49">
        <f t="shared" si="6"/>
        <v>5.0262737086720917E-2</v>
      </c>
      <c r="I49">
        <f t="shared" si="6"/>
        <v>3.4362459892162696E-2</v>
      </c>
      <c r="J49">
        <f t="shared" si="6"/>
        <v>8.3949143040768934E-2</v>
      </c>
      <c r="K49">
        <f t="shared" si="6"/>
        <v>6.1007424707062878E-2</v>
      </c>
      <c r="L49">
        <f t="shared" si="6"/>
        <v>0.16259443377361324</v>
      </c>
      <c r="M49">
        <f t="shared" si="6"/>
        <v>2.4095659083687212E-2</v>
      </c>
      <c r="N49">
        <f>+Tabla24[[#This Row],[Agricultura, caza, silvicultura y pesca]]+Tabla24[[#This Row],[Electricidad, gas y agua]]+Tabla24[[#This Row],[Construcción]]+Tabla24[[#This Row],[Transportes, almacenamiento y comunicaciones]]+Tabla24[[#This Row],[Servicios comunales sociales y personales]]</f>
        <v>0.18969152803634237</v>
      </c>
      <c r="O49">
        <f>+Tabla24[[#This Row],[Otros]]+Tabla24[[#This Row],[Servicios financieros y empresariales]]+Tabla24[[#This Row],[Comercio al por mayor y al por menor, restaurantes y hoteles]]+Tabla24[[#This Row],[Industrias manufactureras]]++Tabla24[[#This Row],[Explotación de minas y canteras (incluye carbón)]]+Tabla24[[#This Row],[Sector petrolero]]</f>
        <v>1</v>
      </c>
    </row>
    <row r="50" spans="2:15">
      <c r="B50">
        <v>2024</v>
      </c>
      <c r="C50">
        <f t="shared" si="2"/>
        <v>0.15098103385021686</v>
      </c>
      <c r="D50">
        <f t="shared" ref="D50:M50" si="7">+D39/$N39</f>
        <v>0.84901896614978267</v>
      </c>
      <c r="E50">
        <f t="shared" si="7"/>
        <v>1.3985976594482146E-2</v>
      </c>
      <c r="F50">
        <f t="shared" si="7"/>
        <v>8.2752405479275412E-2</v>
      </c>
      <c r="G50">
        <f t="shared" si="7"/>
        <v>0.1539874988782248</v>
      </c>
      <c r="H50">
        <f t="shared" si="7"/>
        <v>6.6667765218539801E-2</v>
      </c>
      <c r="I50">
        <f t="shared" si="7"/>
        <v>4.3796100460175659E-2</v>
      </c>
      <c r="J50">
        <f t="shared" si="7"/>
        <v>0.13990727210100318</v>
      </c>
      <c r="K50">
        <f t="shared" si="7"/>
        <v>1.8968281812427414E-2</v>
      </c>
      <c r="L50">
        <f t="shared" si="7"/>
        <v>0.31028120534348969</v>
      </c>
      <c r="M50">
        <f t="shared" si="7"/>
        <v>1.8672460262164185E-2</v>
      </c>
      <c r="N50">
        <f>+Tabla24[[#This Row],[Agricultura, caza, silvicultura y pesca]]+Tabla24[[#This Row],[Electricidad, gas y agua]]+Tabla24[[#This Row],[Construcción]]+Tabla24[[#This Row],[Transportes, almacenamiento y comunicaciones]]+Tabla24[[#This Row],[Servicios comunales sociales y personales]]</f>
        <v>0.1620905843477892</v>
      </c>
      <c r="O50">
        <f>+Tabla24[[#This Row],[Otros]]+Tabla24[[#This Row],[Servicios financieros y empresariales]]+Tabla24[[#This Row],[Comercio al por mayor y al por menor, restaurantes y hoteles]]+Tabla24[[#This Row],[Industrias manufactureras]]++Tabla24[[#This Row],[Explotación de minas y canteras (incluye carbón)]]+Tabla24[[#This Row],[Sector petrolero]]</f>
        <v>0.99999999999999922</v>
      </c>
    </row>
    <row r="51" spans="2:15">
      <c r="B51">
        <v>2025</v>
      </c>
      <c r="C51">
        <f t="shared" si="2"/>
        <v>0.21781063546085674</v>
      </c>
      <c r="D51">
        <f t="shared" ref="D51:M51" si="8">+D40/$N40</f>
        <v>0.78218936453914367</v>
      </c>
      <c r="E51">
        <f t="shared" si="8"/>
        <v>1.8005839086557302E-2</v>
      </c>
      <c r="F51">
        <f t="shared" si="8"/>
        <v>1.3861194431504331E-2</v>
      </c>
      <c r="G51">
        <f t="shared" si="8"/>
        <v>0.14794938652558043</v>
      </c>
      <c r="H51">
        <f t="shared" si="8"/>
        <v>6.751565255974068E-2</v>
      </c>
      <c r="I51">
        <f t="shared" si="8"/>
        <v>4.773476407721744E-2</v>
      </c>
      <c r="J51">
        <f t="shared" si="8"/>
        <v>9.623988828105455E-2</v>
      </c>
      <c r="K51">
        <f t="shared" si="8"/>
        <v>5.9693897268982998E-2</v>
      </c>
      <c r="L51">
        <f t="shared" si="8"/>
        <v>0.31502728285754394</v>
      </c>
      <c r="M51">
        <f t="shared" si="8"/>
        <v>1.6161459450961615E-2</v>
      </c>
      <c r="N51">
        <f>+Tabla24[[#This Row],[Agricultura, caza, silvicultura y pesca]]+Tabla24[[#This Row],[Electricidad, gas y agua]]+Tabla24[[#This Row],[Construcción]]+Tabla24[[#This Row],[Transportes, almacenamiento y comunicaciones]]+Tabla24[[#This Row],[Servicios comunales sociales y personales]]</f>
        <v>0.20911161244346002</v>
      </c>
      <c r="O51">
        <f>+Tabla24[[#This Row],[Otros]]+Tabla24[[#This Row],[Servicios financieros y empresariales]]+Tabla24[[#This Row],[Comercio al por mayor y al por menor, restaurantes y hoteles]]+Tabla24[[#This Row],[Industrias manufactureras]]++Tabla24[[#This Row],[Explotación de minas y canteras (incluye carbón)]]+Tabla24[[#This Row],[Sector petrolero]]</f>
        <v>1</v>
      </c>
    </row>
  </sheetData>
  <autoFilter ref="A1:N29" xr:uid="{5E89E64B-969D-D344-A7D9-A4E66F271AAE}">
    <sortState xmlns:xlrd2="http://schemas.microsoft.com/office/spreadsheetml/2017/richdata2" ref="A2:N29">
      <sortCondition ref="A1:A29"/>
    </sortState>
  </autoFilter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Cuenta Corriente</vt:lpstr>
      <vt:lpstr>PIB</vt:lpstr>
      <vt:lpstr>Cuenta Financiera </vt:lpstr>
      <vt:lpstr>Participación Exportaciones</vt:lpstr>
      <vt:lpstr>Exportaciones tradicionales</vt:lpstr>
      <vt:lpstr>Participaciones Rubros CF</vt:lpstr>
      <vt:lpstr>Cuenta corriente - semestre</vt:lpstr>
      <vt:lpstr>Cuenta corriente - anual</vt:lpstr>
      <vt:lpstr>Data-cuentacorriente</vt:lpstr>
      <vt:lpstr>Cuenta financiera - Anual</vt:lpstr>
      <vt:lpstr>Data-cuentafin</vt:lpstr>
      <vt:lpstr>participaciones 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Espinal Valencia</dc:creator>
  <cp:lastModifiedBy>Santiago Tupaz Ramirez</cp:lastModifiedBy>
  <dcterms:created xsi:type="dcterms:W3CDTF">2025-03-27T02:28:36Z</dcterms:created>
  <dcterms:modified xsi:type="dcterms:W3CDTF">2026-04-27T15:07:29Z</dcterms:modified>
</cp:coreProperties>
</file>